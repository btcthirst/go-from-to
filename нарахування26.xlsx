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ічень" sheetId="1" state="visible" r:id="rId3"/>
    <sheet name="лютий" sheetId="2" state="visible" r:id="rId4"/>
    <sheet name="березень" sheetId="3" state="visible" r:id="rId5"/>
    <sheet name="квітень" sheetId="4" state="visible" r:id="rId6"/>
    <sheet name="травень" sheetId="5" state="visible" r:id="rId7"/>
    <sheet name="червень" sheetId="6" state="visible" r:id="rId8"/>
    <sheet name="липень" sheetId="7" state="visible" r:id="rId9"/>
    <sheet name="серпень" sheetId="8" state="visible" r:id="rId10"/>
    <sheet name="вересень" sheetId="9" state="visible" r:id="rId11"/>
    <sheet name="жовтень" sheetId="10" state="visible" r:id="rId12"/>
    <sheet name="листопад" sheetId="11" state="visible" r:id="rId13"/>
    <sheet name="грудень" sheetId="12" state="visible" r:id="rId14"/>
    <sheet name="підсумок" sheetId="13" state="visible" r:id="rId15"/>
  </sheets>
  <externalReferences>
    <externalReference r:id="rId16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<sst xmlns="http://schemas.openxmlformats.org/spreadsheetml/2006/main" count="5859" uniqueCount="678">
  <si>
    <t xml:space="preserve">ОСББ "Карбишева - 22"</t>
  </si>
  <si>
    <t xml:space="preserve">37465042</t>
  </si>
  <si>
    <t xml:space="preserve">Відомість нарахувань та оплати мешканців за утримання будинку  </t>
  </si>
  <si>
    <t xml:space="preserve">у      січні    2026 року</t>
  </si>
  <si>
    <t xml:space="preserve">№
кв.</t>
  </si>
  <si>
    <t xml:space="preserve">ПІБ</t>
  </si>
  <si>
    <t xml:space="preserve">Особ. рах.</t>
  </si>
  <si>
    <t xml:space="preserve">Д-Т</t>
  </si>
  <si>
    <t xml:space="preserve">К-Т</t>
  </si>
  <si>
    <t xml:space="preserve">Пільга
%</t>
  </si>
  <si>
    <t xml:space="preserve">Заг.площа</t>
  </si>
  <si>
    <t xml:space="preserve">Пільг.
Площа</t>
  </si>
  <si>
    <t xml:space="preserve">Тариф</t>
  </si>
  <si>
    <t xml:space="preserve">100%
нарах.</t>
  </si>
  <si>
    <t xml:space="preserve">Пільгова
сума</t>
  </si>
  <si>
    <t xml:space="preserve">сплачені  суми пільг за реєстрами</t>
  </si>
  <si>
    <t xml:space="preserve">Коригування</t>
  </si>
  <si>
    <t xml:space="preserve">До
сплати</t>
  </si>
  <si>
    <t xml:space="preserve">Сплачено</t>
  </si>
  <si>
    <t xml:space="preserve">1</t>
  </si>
  <si>
    <t xml:space="preserve">Бережний В.М.</t>
  </si>
  <si>
    <t xml:space="preserve">1001</t>
  </si>
  <si>
    <t xml:space="preserve">2</t>
  </si>
  <si>
    <t xml:space="preserve">Старикова Т.О.</t>
  </si>
  <si>
    <t xml:space="preserve">1002</t>
  </si>
  <si>
    <t xml:space="preserve">3</t>
  </si>
  <si>
    <t xml:space="preserve">Мазур Т.В.</t>
  </si>
  <si>
    <t xml:space="preserve">1003</t>
  </si>
  <si>
    <t xml:space="preserve">4</t>
  </si>
  <si>
    <t xml:space="preserve">Сокол О.В.</t>
  </si>
  <si>
    <t xml:space="preserve">1004</t>
  </si>
  <si>
    <t xml:space="preserve">5</t>
  </si>
  <si>
    <t xml:space="preserve">Семко Л.І.</t>
  </si>
  <si>
    <t xml:space="preserve">1005</t>
  </si>
  <si>
    <t xml:space="preserve">Гаркуша Н.І.</t>
  </si>
  <si>
    <t xml:space="preserve">1005-а</t>
  </si>
  <si>
    <t xml:space="preserve">6</t>
  </si>
  <si>
    <t xml:space="preserve">Андріяшев В.М</t>
  </si>
  <si>
    <t xml:space="preserve">1006</t>
  </si>
  <si>
    <t xml:space="preserve">7</t>
  </si>
  <si>
    <t xml:space="preserve">Старчикова О.М.</t>
  </si>
  <si>
    <t xml:space="preserve">1007</t>
  </si>
  <si>
    <t xml:space="preserve">8</t>
  </si>
  <si>
    <t xml:space="preserve">Безер Т.М</t>
  </si>
  <si>
    <t xml:space="preserve">1008</t>
  </si>
  <si>
    <t xml:space="preserve">9</t>
  </si>
  <si>
    <t xml:space="preserve">Решетило М.М</t>
  </si>
  <si>
    <t xml:space="preserve">1009</t>
  </si>
  <si>
    <t xml:space="preserve">10</t>
  </si>
  <si>
    <t xml:space="preserve">Фесенко О.В.</t>
  </si>
  <si>
    <t xml:space="preserve">1010</t>
  </si>
  <si>
    <t xml:space="preserve">11</t>
  </si>
  <si>
    <t xml:space="preserve">Петренко О.М.</t>
  </si>
  <si>
    <t xml:space="preserve">1011</t>
  </si>
  <si>
    <t xml:space="preserve">12</t>
  </si>
  <si>
    <t xml:space="preserve">Зеленюк А.Д</t>
  </si>
  <si>
    <t xml:space="preserve">1012</t>
  </si>
  <si>
    <t xml:space="preserve">13</t>
  </si>
  <si>
    <t xml:space="preserve">Вовк І.В</t>
  </si>
  <si>
    <t xml:space="preserve">1013</t>
  </si>
  <si>
    <t xml:space="preserve">Романовський В.М</t>
  </si>
  <si>
    <t xml:space="preserve">1013-а</t>
  </si>
  <si>
    <t xml:space="preserve">14</t>
  </si>
  <si>
    <t xml:space="preserve">Ряба Л.І</t>
  </si>
  <si>
    <t xml:space="preserve">1014</t>
  </si>
  <si>
    <t xml:space="preserve">15</t>
  </si>
  <si>
    <t xml:space="preserve">Кас'янова О.А.</t>
  </si>
  <si>
    <t xml:space="preserve">1015</t>
  </si>
  <si>
    <t xml:space="preserve">16</t>
  </si>
  <si>
    <t xml:space="preserve">Корякіна М.В.</t>
  </si>
  <si>
    <t xml:space="preserve">1016</t>
  </si>
  <si>
    <t xml:space="preserve">17</t>
  </si>
  <si>
    <t xml:space="preserve">Сокерчак А.В.</t>
  </si>
  <si>
    <t xml:space="preserve">1017</t>
  </si>
  <si>
    <t xml:space="preserve">18</t>
  </si>
  <si>
    <t xml:space="preserve">Кравченко В.А</t>
  </si>
  <si>
    <t xml:space="preserve">1018</t>
  </si>
  <si>
    <t xml:space="preserve">19</t>
  </si>
  <si>
    <t xml:space="preserve">Чичикало А.С</t>
  </si>
  <si>
    <t xml:space="preserve">1019</t>
  </si>
  <si>
    <t xml:space="preserve">20</t>
  </si>
  <si>
    <t xml:space="preserve">Сільващук А.А</t>
  </si>
  <si>
    <t xml:space="preserve">1020</t>
  </si>
  <si>
    <t xml:space="preserve">21</t>
  </si>
  <si>
    <t xml:space="preserve">Стеценко Г.М</t>
  </si>
  <si>
    <t xml:space="preserve">1021</t>
  </si>
  <si>
    <t xml:space="preserve">22</t>
  </si>
  <si>
    <t xml:space="preserve">Кирдячкіна П.А</t>
  </si>
  <si>
    <t xml:space="preserve">1022</t>
  </si>
  <si>
    <t xml:space="preserve">23</t>
  </si>
  <si>
    <t xml:space="preserve">Фоміченко Л.А</t>
  </si>
  <si>
    <t xml:space="preserve">1023</t>
  </si>
  <si>
    <t xml:space="preserve">24</t>
  </si>
  <si>
    <t xml:space="preserve">Сердюк А.Г</t>
  </si>
  <si>
    <t xml:space="preserve">1024</t>
  </si>
  <si>
    <t xml:space="preserve">25</t>
  </si>
  <si>
    <t xml:space="preserve">Михальченко Г.М</t>
  </si>
  <si>
    <t xml:space="preserve">1025</t>
  </si>
  <si>
    <t xml:space="preserve">26</t>
  </si>
  <si>
    <t xml:space="preserve">Замуховська Я.С</t>
  </si>
  <si>
    <t xml:space="preserve">1026</t>
  </si>
  <si>
    <t xml:space="preserve">27</t>
  </si>
  <si>
    <t xml:space="preserve">Мержиєвська Г.К</t>
  </si>
  <si>
    <t xml:space="preserve">1027</t>
  </si>
  <si>
    <t xml:space="preserve">28</t>
  </si>
  <si>
    <t xml:space="preserve">Кулакова Л.В.</t>
  </si>
  <si>
    <t xml:space="preserve">1028</t>
  </si>
  <si>
    <t xml:space="preserve">29</t>
  </si>
  <si>
    <t xml:space="preserve">Бочаров В.Л.</t>
  </si>
  <si>
    <t xml:space="preserve">1029</t>
  </si>
  <si>
    <t xml:space="preserve">30</t>
  </si>
  <si>
    <t xml:space="preserve">Лучков В.Л.</t>
  </si>
  <si>
    <t xml:space="preserve">1030</t>
  </si>
  <si>
    <t xml:space="preserve">31</t>
  </si>
  <si>
    <t xml:space="preserve">Кашкар Т.М.</t>
  </si>
  <si>
    <t xml:space="preserve">1031</t>
  </si>
  <si>
    <t xml:space="preserve">32</t>
  </si>
  <si>
    <t xml:space="preserve">Стецюк Н.П.</t>
  </si>
  <si>
    <t xml:space="preserve">1032</t>
  </si>
  <si>
    <t xml:space="preserve">33</t>
  </si>
  <si>
    <t xml:space="preserve">Маханько В.О.</t>
  </si>
  <si>
    <t xml:space="preserve">1033</t>
  </si>
  <si>
    <t xml:space="preserve">34</t>
  </si>
  <si>
    <t xml:space="preserve">Реуцька Р.С.</t>
  </si>
  <si>
    <t xml:space="preserve">1034</t>
  </si>
  <si>
    <t xml:space="preserve">35</t>
  </si>
  <si>
    <t xml:space="preserve">Колесникова Р.Г.</t>
  </si>
  <si>
    <t xml:space="preserve">1035</t>
  </si>
  <si>
    <t xml:space="preserve">36</t>
  </si>
  <si>
    <t xml:space="preserve">Кучеренко М.М.</t>
  </si>
  <si>
    <t xml:space="preserve">1036</t>
  </si>
  <si>
    <t xml:space="preserve">37</t>
  </si>
  <si>
    <t xml:space="preserve">Гурова О.М.</t>
  </si>
  <si>
    <t xml:space="preserve">2037</t>
  </si>
  <si>
    <t xml:space="preserve">38</t>
  </si>
  <si>
    <t xml:space="preserve">Федорова В.І.</t>
  </si>
  <si>
    <t xml:space="preserve">2038</t>
  </si>
  <si>
    <t xml:space="preserve">39</t>
  </si>
  <si>
    <t xml:space="preserve">Лаптєв В.І.</t>
  </si>
  <si>
    <t xml:space="preserve">2039</t>
  </si>
  <si>
    <t xml:space="preserve">40</t>
  </si>
  <si>
    <t xml:space="preserve">Тимощук О.Є.</t>
  </si>
  <si>
    <t xml:space="preserve">2040</t>
  </si>
  <si>
    <t xml:space="preserve">41</t>
  </si>
  <si>
    <t xml:space="preserve">Котяш О.В.</t>
  </si>
  <si>
    <t xml:space="preserve">2041</t>
  </si>
  <si>
    <t xml:space="preserve">42</t>
  </si>
  <si>
    <t xml:space="preserve">Токовило-Паращенко Л.П.</t>
  </si>
  <si>
    <t xml:space="preserve">2042</t>
  </si>
  <si>
    <t xml:space="preserve">43</t>
  </si>
  <si>
    <t xml:space="preserve">Бєлая К.В.</t>
  </si>
  <si>
    <t xml:space="preserve">2043</t>
  </si>
  <si>
    <t xml:space="preserve">44</t>
  </si>
  <si>
    <t xml:space="preserve">Стадник О.Ф.</t>
  </si>
  <si>
    <t xml:space="preserve">2044</t>
  </si>
  <si>
    <t xml:space="preserve">45</t>
  </si>
  <si>
    <t xml:space="preserve">Ляшенко В.М.</t>
  </si>
  <si>
    <t xml:space="preserve">2045</t>
  </si>
  <si>
    <t xml:space="preserve">46</t>
  </si>
  <si>
    <t xml:space="preserve">Смоленська Т.О.</t>
  </si>
  <si>
    <t xml:space="preserve">2046</t>
  </si>
  <si>
    <t xml:space="preserve">47</t>
  </si>
  <si>
    <t xml:space="preserve">Дудка І.В.</t>
  </si>
  <si>
    <t xml:space="preserve">2047</t>
  </si>
  <si>
    <t xml:space="preserve">48</t>
  </si>
  <si>
    <t xml:space="preserve">Буланова Л.І.</t>
  </si>
  <si>
    <t xml:space="preserve">2048</t>
  </si>
  <si>
    <t xml:space="preserve">49</t>
  </si>
  <si>
    <t xml:space="preserve">Шалімова О.О.</t>
  </si>
  <si>
    <t xml:space="preserve">2049</t>
  </si>
  <si>
    <t xml:space="preserve">50</t>
  </si>
  <si>
    <t xml:space="preserve">Андросик О.О.</t>
  </si>
  <si>
    <t xml:space="preserve">2050</t>
  </si>
  <si>
    <t xml:space="preserve">51</t>
  </si>
  <si>
    <t xml:space="preserve">Токар Є.А.</t>
  </si>
  <si>
    <t xml:space="preserve">2051</t>
  </si>
  <si>
    <t xml:space="preserve">52</t>
  </si>
  <si>
    <t xml:space="preserve">Констанчук І.В.</t>
  </si>
  <si>
    <t xml:space="preserve">2052</t>
  </si>
  <si>
    <t xml:space="preserve">53</t>
  </si>
  <si>
    <t xml:space="preserve">Гончаров В.В.</t>
  </si>
  <si>
    <t xml:space="preserve">2053</t>
  </si>
  <si>
    <t xml:space="preserve">54</t>
  </si>
  <si>
    <t xml:space="preserve">Ляхомський В.О.</t>
  </si>
  <si>
    <t xml:space="preserve">2054</t>
  </si>
  <si>
    <t xml:space="preserve">55</t>
  </si>
  <si>
    <t xml:space="preserve">Крамаренко В.П.</t>
  </si>
  <si>
    <t xml:space="preserve">2055</t>
  </si>
  <si>
    <t xml:space="preserve">56</t>
  </si>
  <si>
    <t xml:space="preserve">Родзик С.Г.</t>
  </si>
  <si>
    <t xml:space="preserve">2056</t>
  </si>
  <si>
    <t xml:space="preserve">57</t>
  </si>
  <si>
    <t xml:space="preserve">Никоненко Н.С.</t>
  </si>
  <si>
    <t xml:space="preserve">2057</t>
  </si>
  <si>
    <t xml:space="preserve">58</t>
  </si>
  <si>
    <t xml:space="preserve">Чепок О.В.</t>
  </si>
  <si>
    <t xml:space="preserve">2058</t>
  </si>
  <si>
    <t xml:space="preserve">59</t>
  </si>
  <si>
    <t xml:space="preserve">Горошенко Л.С.</t>
  </si>
  <si>
    <t xml:space="preserve">2059</t>
  </si>
  <si>
    <t xml:space="preserve">60</t>
  </si>
  <si>
    <t xml:space="preserve">Неграчева Л.Г.</t>
  </si>
  <si>
    <t xml:space="preserve">2060</t>
  </si>
  <si>
    <t xml:space="preserve">61</t>
  </si>
  <si>
    <t xml:space="preserve">Брежнєв О.В.</t>
  </si>
  <si>
    <t xml:space="preserve">2061</t>
  </si>
  <si>
    <t xml:space="preserve">62</t>
  </si>
  <si>
    <t xml:space="preserve">Горбатюк К.О.</t>
  </si>
  <si>
    <t xml:space="preserve">2062</t>
  </si>
  <si>
    <t xml:space="preserve">63</t>
  </si>
  <si>
    <t xml:space="preserve">Божик М.О.</t>
  </si>
  <si>
    <t xml:space="preserve">2063</t>
  </si>
  <si>
    <t xml:space="preserve">64</t>
  </si>
  <si>
    <t xml:space="preserve">Зайченко С.Л</t>
  </si>
  <si>
    <t xml:space="preserve">2064</t>
  </si>
  <si>
    <t xml:space="preserve">65</t>
  </si>
  <si>
    <t xml:space="preserve">Бессараб Н.Г.</t>
  </si>
  <si>
    <t xml:space="preserve">2065</t>
  </si>
  <si>
    <t xml:space="preserve">66</t>
  </si>
  <si>
    <t xml:space="preserve">Прохорова С.І.</t>
  </si>
  <si>
    <t xml:space="preserve">2066</t>
  </si>
  <si>
    <t xml:space="preserve">67</t>
  </si>
  <si>
    <t xml:space="preserve">Браташ А.Ф.</t>
  </si>
  <si>
    <t xml:space="preserve">2067</t>
  </si>
  <si>
    <t xml:space="preserve">68</t>
  </si>
  <si>
    <t xml:space="preserve">Кудас Д.О.</t>
  </si>
  <si>
    <t xml:space="preserve">2068</t>
  </si>
  <si>
    <t xml:space="preserve">69</t>
  </si>
  <si>
    <t xml:space="preserve">Шушлєбін Б.В.</t>
  </si>
  <si>
    <t xml:space="preserve">2069</t>
  </si>
  <si>
    <t xml:space="preserve">70</t>
  </si>
  <si>
    <t xml:space="preserve">Бородіна І.О.</t>
  </si>
  <si>
    <t xml:space="preserve">2070</t>
  </si>
  <si>
    <t xml:space="preserve">71</t>
  </si>
  <si>
    <t xml:space="preserve">Котурга Л.Й.</t>
  </si>
  <si>
    <t xml:space="preserve">2071</t>
  </si>
  <si>
    <t xml:space="preserve">72</t>
  </si>
  <si>
    <t xml:space="preserve">Горова О.І.</t>
  </si>
  <si>
    <t xml:space="preserve">2072</t>
  </si>
  <si>
    <t xml:space="preserve">73</t>
  </si>
  <si>
    <t xml:space="preserve">Рибакевич М.П.</t>
  </si>
  <si>
    <t xml:space="preserve">3073</t>
  </si>
  <si>
    <t xml:space="preserve">74</t>
  </si>
  <si>
    <t xml:space="preserve">Башкалов В.В.</t>
  </si>
  <si>
    <t xml:space="preserve">3074</t>
  </si>
  <si>
    <t xml:space="preserve">75</t>
  </si>
  <si>
    <t xml:space="preserve">Тіхенко Г.Д.</t>
  </si>
  <si>
    <t xml:space="preserve">3075</t>
  </si>
  <si>
    <t xml:space="preserve">76</t>
  </si>
  <si>
    <t xml:space="preserve">Головченко В.Г.</t>
  </si>
  <si>
    <t xml:space="preserve">3076</t>
  </si>
  <si>
    <t xml:space="preserve">77</t>
  </si>
  <si>
    <t xml:space="preserve">Семанішина Є.С.</t>
  </si>
  <si>
    <t xml:space="preserve">3077</t>
  </si>
  <si>
    <t xml:space="preserve">78</t>
  </si>
  <si>
    <t xml:space="preserve">Зінченко Ю.В.</t>
  </si>
  <si>
    <t xml:space="preserve">3078</t>
  </si>
  <si>
    <t xml:space="preserve">79</t>
  </si>
  <si>
    <t xml:space="preserve">Рилова Г.П.</t>
  </si>
  <si>
    <t xml:space="preserve">3079</t>
  </si>
  <si>
    <t xml:space="preserve">80</t>
  </si>
  <si>
    <t xml:space="preserve">Ленський І.О.</t>
  </si>
  <si>
    <t xml:space="preserve">3080</t>
  </si>
  <si>
    <t xml:space="preserve">81</t>
  </si>
  <si>
    <t xml:space="preserve">Слюсар О.О.</t>
  </si>
  <si>
    <t xml:space="preserve">3081</t>
  </si>
  <si>
    <t xml:space="preserve">82</t>
  </si>
  <si>
    <t xml:space="preserve">Кісельов Г.О.</t>
  </si>
  <si>
    <t xml:space="preserve">3082</t>
  </si>
  <si>
    <t xml:space="preserve">83</t>
  </si>
  <si>
    <t xml:space="preserve">Губанова Н.С.</t>
  </si>
  <si>
    <t xml:space="preserve">3083</t>
  </si>
  <si>
    <t xml:space="preserve">84</t>
  </si>
  <si>
    <t xml:space="preserve">Попова А.В.</t>
  </si>
  <si>
    <t xml:space="preserve">3084</t>
  </si>
  <si>
    <t xml:space="preserve">85</t>
  </si>
  <si>
    <t xml:space="preserve">Стародубець О.К.</t>
  </si>
  <si>
    <t xml:space="preserve">3085</t>
  </si>
  <si>
    <t xml:space="preserve">86</t>
  </si>
  <si>
    <t xml:space="preserve">Сакун Т.А.</t>
  </si>
  <si>
    <t xml:space="preserve">3086</t>
  </si>
  <si>
    <t xml:space="preserve">87</t>
  </si>
  <si>
    <t xml:space="preserve">Фатєєв Ю.О.</t>
  </si>
  <si>
    <t xml:space="preserve">3087</t>
  </si>
  <si>
    <t xml:space="preserve">88</t>
  </si>
  <si>
    <t xml:space="preserve">Лукашов Є.В.</t>
  </si>
  <si>
    <t xml:space="preserve">3088</t>
  </si>
  <si>
    <t xml:space="preserve">89</t>
  </si>
  <si>
    <t xml:space="preserve">Довбета В.М.</t>
  </si>
  <si>
    <t xml:space="preserve">3089</t>
  </si>
  <si>
    <t xml:space="preserve">90</t>
  </si>
  <si>
    <t xml:space="preserve">Черняк К.В.</t>
  </si>
  <si>
    <t xml:space="preserve">3090</t>
  </si>
  <si>
    <t xml:space="preserve">91</t>
  </si>
  <si>
    <t xml:space="preserve">Довбета С.П.</t>
  </si>
  <si>
    <t xml:space="preserve">3091</t>
  </si>
  <si>
    <t xml:space="preserve">92</t>
  </si>
  <si>
    <t xml:space="preserve">Липка Г.Ю.</t>
  </si>
  <si>
    <t xml:space="preserve">3092</t>
  </si>
  <si>
    <t xml:space="preserve">93</t>
  </si>
  <si>
    <t xml:space="preserve">Утьосов Д.М.</t>
  </si>
  <si>
    <t xml:space="preserve">3093</t>
  </si>
  <si>
    <t xml:space="preserve">94</t>
  </si>
  <si>
    <t xml:space="preserve">Стеценко Д.М.</t>
  </si>
  <si>
    <t xml:space="preserve">3094</t>
  </si>
  <si>
    <t xml:space="preserve">95</t>
  </si>
  <si>
    <t xml:space="preserve">Задніпряна О.М.</t>
  </si>
  <si>
    <t xml:space="preserve">3095</t>
  </si>
  <si>
    <t xml:space="preserve">96</t>
  </si>
  <si>
    <t xml:space="preserve">Геращенко М.Д.</t>
  </si>
  <si>
    <t xml:space="preserve">3096</t>
  </si>
  <si>
    <t xml:space="preserve">97</t>
  </si>
  <si>
    <t xml:space="preserve">Горб В.М.</t>
  </si>
  <si>
    <t xml:space="preserve">3097</t>
  </si>
  <si>
    <t xml:space="preserve">98</t>
  </si>
  <si>
    <t xml:space="preserve">Нойок Г.К.</t>
  </si>
  <si>
    <t xml:space="preserve">3098</t>
  </si>
  <si>
    <t xml:space="preserve">99</t>
  </si>
  <si>
    <t xml:space="preserve">Сафонова О.В.</t>
  </si>
  <si>
    <t xml:space="preserve">3099</t>
  </si>
  <si>
    <t xml:space="preserve">100</t>
  </si>
  <si>
    <t xml:space="preserve">Вінарська Н.П.</t>
  </si>
  <si>
    <t xml:space="preserve">30100</t>
  </si>
  <si>
    <t xml:space="preserve">101</t>
  </si>
  <si>
    <t xml:space="preserve">Чернова Н.І.</t>
  </si>
  <si>
    <t xml:space="preserve">30101</t>
  </si>
  <si>
    <t xml:space="preserve">102</t>
  </si>
  <si>
    <t xml:space="preserve">Кошева Н.П</t>
  </si>
  <si>
    <t xml:space="preserve">30102</t>
  </si>
  <si>
    <t xml:space="preserve">103</t>
  </si>
  <si>
    <t xml:space="preserve">Уривський Д.Б.</t>
  </si>
  <si>
    <t xml:space="preserve">30103</t>
  </si>
  <si>
    <t xml:space="preserve">104</t>
  </si>
  <si>
    <t xml:space="preserve">АДПСУ (Чорноморець В.М.)</t>
  </si>
  <si>
    <t xml:space="preserve">30104</t>
  </si>
  <si>
    <t xml:space="preserve">105</t>
  </si>
  <si>
    <t xml:space="preserve">Дмитренко Г.В.</t>
  </si>
  <si>
    <t xml:space="preserve">30105</t>
  </si>
  <si>
    <t xml:space="preserve">106</t>
  </si>
  <si>
    <t xml:space="preserve">Номерова Т.В.</t>
  </si>
  <si>
    <t xml:space="preserve">30106</t>
  </si>
  <si>
    <t xml:space="preserve">107</t>
  </si>
  <si>
    <t xml:space="preserve">Самойлова О.В.</t>
  </si>
  <si>
    <t xml:space="preserve">30107</t>
  </si>
  <si>
    <t xml:space="preserve">108</t>
  </si>
  <si>
    <t xml:space="preserve">Випенко О.І.</t>
  </si>
  <si>
    <t xml:space="preserve">30108</t>
  </si>
  <si>
    <t xml:space="preserve">109</t>
  </si>
  <si>
    <t xml:space="preserve">Саприкін Ю.О.</t>
  </si>
  <si>
    <t xml:space="preserve">40109</t>
  </si>
  <si>
    <t xml:space="preserve">110</t>
  </si>
  <si>
    <t xml:space="preserve">Мовчан В.М.</t>
  </si>
  <si>
    <t xml:space="preserve">40110</t>
  </si>
  <si>
    <t xml:space="preserve">111</t>
  </si>
  <si>
    <t xml:space="preserve">Величко Н.М.</t>
  </si>
  <si>
    <t xml:space="preserve">40111</t>
  </si>
  <si>
    <t xml:space="preserve">112</t>
  </si>
  <si>
    <t xml:space="preserve">Бухлов С.В.</t>
  </si>
  <si>
    <t xml:space="preserve">40112</t>
  </si>
  <si>
    <t xml:space="preserve">113</t>
  </si>
  <si>
    <t xml:space="preserve">Перепеліцина Т.Ю.</t>
  </si>
  <si>
    <t xml:space="preserve">40113</t>
  </si>
  <si>
    <t xml:space="preserve">114</t>
  </si>
  <si>
    <t xml:space="preserve">Свєтлова Т.Ю.</t>
  </si>
  <si>
    <t xml:space="preserve">40114</t>
  </si>
  <si>
    <t xml:space="preserve">115</t>
  </si>
  <si>
    <t xml:space="preserve">Маркова О.М.</t>
  </si>
  <si>
    <t xml:space="preserve">40115</t>
  </si>
  <si>
    <t xml:space="preserve">116</t>
  </si>
  <si>
    <t xml:space="preserve">Ракитська А.М.</t>
  </si>
  <si>
    <t xml:space="preserve">40116</t>
  </si>
  <si>
    <t xml:space="preserve">117</t>
  </si>
  <si>
    <t xml:space="preserve">Гусак К.С.</t>
  </si>
  <si>
    <t xml:space="preserve">40117</t>
  </si>
  <si>
    <t xml:space="preserve">118</t>
  </si>
  <si>
    <t xml:space="preserve">Пісоченко М.Г.</t>
  </si>
  <si>
    <t xml:space="preserve">40118</t>
  </si>
  <si>
    <t xml:space="preserve">119</t>
  </si>
  <si>
    <t xml:space="preserve">Столяр О.М.</t>
  </si>
  <si>
    <t xml:space="preserve">40119</t>
  </si>
  <si>
    <t xml:space="preserve">120</t>
  </si>
  <si>
    <t xml:space="preserve">Рєзніков В.П.</t>
  </si>
  <si>
    <t xml:space="preserve">40120</t>
  </si>
  <si>
    <t xml:space="preserve">121</t>
  </si>
  <si>
    <t xml:space="preserve">Золотоверха Я.І.</t>
  </si>
  <si>
    <t xml:space="preserve">40121</t>
  </si>
  <si>
    <t xml:space="preserve">122</t>
  </si>
  <si>
    <t xml:space="preserve">Бурлаков А.В.</t>
  </si>
  <si>
    <t xml:space="preserve">40122</t>
  </si>
  <si>
    <t xml:space="preserve">123</t>
  </si>
  <si>
    <t xml:space="preserve">Сикула О.Ю.</t>
  </si>
  <si>
    <t xml:space="preserve">40123</t>
  </si>
  <si>
    <t xml:space="preserve">124</t>
  </si>
  <si>
    <t xml:space="preserve">Арістов О.О.</t>
  </si>
  <si>
    <t xml:space="preserve">40124</t>
  </si>
  <si>
    <t xml:space="preserve">125</t>
  </si>
  <si>
    <t xml:space="preserve">Бондаренко Т.О.</t>
  </si>
  <si>
    <t xml:space="preserve">40125</t>
  </si>
  <si>
    <t xml:space="preserve">126</t>
  </si>
  <si>
    <t xml:space="preserve">Гайчев П.В.</t>
  </si>
  <si>
    <t xml:space="preserve">40126</t>
  </si>
  <si>
    <t xml:space="preserve">127</t>
  </si>
  <si>
    <t xml:space="preserve">Радченко О.С.</t>
  </si>
  <si>
    <t xml:space="preserve">40127</t>
  </si>
  <si>
    <t xml:space="preserve">128</t>
  </si>
  <si>
    <t xml:space="preserve">Шилін С.М.</t>
  </si>
  <si>
    <t xml:space="preserve">40128</t>
  </si>
  <si>
    <t xml:space="preserve">129</t>
  </si>
  <si>
    <t xml:space="preserve">Корякін Л.М.</t>
  </si>
  <si>
    <t xml:space="preserve">40129</t>
  </si>
  <si>
    <t xml:space="preserve">130</t>
  </si>
  <si>
    <t xml:space="preserve">Кривошеєва Л.М.</t>
  </si>
  <si>
    <t xml:space="preserve">40130</t>
  </si>
  <si>
    <t xml:space="preserve">131</t>
  </si>
  <si>
    <t xml:space="preserve">Харченко І.С.</t>
  </si>
  <si>
    <t xml:space="preserve">40131</t>
  </si>
  <si>
    <t xml:space="preserve">132</t>
  </si>
  <si>
    <t xml:space="preserve">Куриленко І.О.</t>
  </si>
  <si>
    <t xml:space="preserve">40132</t>
  </si>
  <si>
    <t xml:space="preserve">133</t>
  </si>
  <si>
    <t xml:space="preserve">Єлсукова В.М.</t>
  </si>
  <si>
    <t xml:space="preserve">40133</t>
  </si>
  <si>
    <t xml:space="preserve">134</t>
  </si>
  <si>
    <t xml:space="preserve">Пімонова М.В.</t>
  </si>
  <si>
    <t xml:space="preserve">40134</t>
  </si>
  <si>
    <t xml:space="preserve">135</t>
  </si>
  <si>
    <t xml:space="preserve">Осипенко В.В.</t>
  </si>
  <si>
    <t xml:space="preserve">40135</t>
  </si>
  <si>
    <t xml:space="preserve">136</t>
  </si>
  <si>
    <t xml:space="preserve">Друзь О.О.</t>
  </si>
  <si>
    <t xml:space="preserve">40136</t>
  </si>
  <si>
    <t xml:space="preserve">137</t>
  </si>
  <si>
    <t xml:space="preserve">Вовченко Р.І.</t>
  </si>
  <si>
    <t xml:space="preserve">40137</t>
  </si>
  <si>
    <t xml:space="preserve">138</t>
  </si>
  <si>
    <t xml:space="preserve">Плакун Д.В.</t>
  </si>
  <si>
    <t xml:space="preserve">40138</t>
  </si>
  <si>
    <t xml:space="preserve">139</t>
  </si>
  <si>
    <t xml:space="preserve">Гаврилова Ю.О.</t>
  </si>
  <si>
    <t xml:space="preserve">40139</t>
  </si>
  <si>
    <t xml:space="preserve">140</t>
  </si>
  <si>
    <t xml:space="preserve">Корзун Г.М.</t>
  </si>
  <si>
    <t xml:space="preserve">40140</t>
  </si>
  <si>
    <t xml:space="preserve">141</t>
  </si>
  <si>
    <t xml:space="preserve">Бондаренко Л.Л.</t>
  </si>
  <si>
    <t xml:space="preserve">40141</t>
  </si>
  <si>
    <t xml:space="preserve">142</t>
  </si>
  <si>
    <t xml:space="preserve">Капелюш Н.А.</t>
  </si>
  <si>
    <t xml:space="preserve">40142</t>
  </si>
  <si>
    <t xml:space="preserve">143</t>
  </si>
  <si>
    <t xml:space="preserve">Кістрінь Л.П.</t>
  </si>
  <si>
    <t xml:space="preserve">40143</t>
  </si>
  <si>
    <t xml:space="preserve">144</t>
  </si>
  <si>
    <t xml:space="preserve">Козьміна І.В.</t>
  </si>
  <si>
    <t xml:space="preserve">50144</t>
  </si>
  <si>
    <t xml:space="preserve">145</t>
  </si>
  <si>
    <t xml:space="preserve">Чала С.С.</t>
  </si>
  <si>
    <t xml:space="preserve">50145</t>
  </si>
  <si>
    <t xml:space="preserve">146</t>
  </si>
  <si>
    <t xml:space="preserve">Свєтайлова І.М.</t>
  </si>
  <si>
    <t xml:space="preserve">50146</t>
  </si>
  <si>
    <t xml:space="preserve">147</t>
  </si>
  <si>
    <t xml:space="preserve">Неделько Д.І.</t>
  </si>
  <si>
    <t xml:space="preserve">50147</t>
  </si>
  <si>
    <t xml:space="preserve">148</t>
  </si>
  <si>
    <t xml:space="preserve">Самойленко Л.К.</t>
  </si>
  <si>
    <t xml:space="preserve">50148</t>
  </si>
  <si>
    <t xml:space="preserve">149</t>
  </si>
  <si>
    <t xml:space="preserve">Павлов Ю.В.</t>
  </si>
  <si>
    <t xml:space="preserve">50149</t>
  </si>
  <si>
    <t xml:space="preserve">150</t>
  </si>
  <si>
    <t xml:space="preserve">Коваленко Т.М.</t>
  </si>
  <si>
    <t xml:space="preserve">50150</t>
  </si>
  <si>
    <t xml:space="preserve">151</t>
  </si>
  <si>
    <t xml:space="preserve">Рощенко Л.Б.</t>
  </si>
  <si>
    <t xml:space="preserve">50151</t>
  </si>
  <si>
    <t xml:space="preserve">152</t>
  </si>
  <si>
    <t xml:space="preserve">Галушко С.Т.</t>
  </si>
  <si>
    <t xml:space="preserve">50152</t>
  </si>
  <si>
    <t xml:space="preserve">153</t>
  </si>
  <si>
    <t xml:space="preserve">Наумова Л.Я.</t>
  </si>
  <si>
    <t xml:space="preserve">50153</t>
  </si>
  <si>
    <t xml:space="preserve">154</t>
  </si>
  <si>
    <t xml:space="preserve">Грєк В.С.</t>
  </si>
  <si>
    <t xml:space="preserve">50154</t>
  </si>
  <si>
    <t xml:space="preserve">155</t>
  </si>
  <si>
    <t xml:space="preserve">Пермінов О.А.</t>
  </si>
  <si>
    <t xml:space="preserve">50155</t>
  </si>
  <si>
    <t xml:space="preserve">156</t>
  </si>
  <si>
    <t xml:space="preserve">Рябчук Л.П.</t>
  </si>
  <si>
    <t xml:space="preserve">50156</t>
  </si>
  <si>
    <t xml:space="preserve">157</t>
  </si>
  <si>
    <t xml:space="preserve">Копасова Л.Б.</t>
  </si>
  <si>
    <t xml:space="preserve">50157</t>
  </si>
  <si>
    <t xml:space="preserve">158</t>
  </si>
  <si>
    <t xml:space="preserve">Киричинська Г.Я.</t>
  </si>
  <si>
    <t xml:space="preserve">50158</t>
  </si>
  <si>
    <t xml:space="preserve">159</t>
  </si>
  <si>
    <t xml:space="preserve">Бутрій К.В.</t>
  </si>
  <si>
    <t xml:space="preserve">50159</t>
  </si>
  <si>
    <t xml:space="preserve">160</t>
  </si>
  <si>
    <t xml:space="preserve">Кузьома Г.І.</t>
  </si>
  <si>
    <t xml:space="preserve">50160</t>
  </si>
  <si>
    <t xml:space="preserve">161</t>
  </si>
  <si>
    <t xml:space="preserve">Павленко В.М.</t>
  </si>
  <si>
    <t xml:space="preserve">50161</t>
  </si>
  <si>
    <t xml:space="preserve">162</t>
  </si>
  <si>
    <t xml:space="preserve">Качуровська С.А.</t>
  </si>
  <si>
    <t xml:space="preserve">50162</t>
  </si>
  <si>
    <t xml:space="preserve">163</t>
  </si>
  <si>
    <t xml:space="preserve">Білецький Б.Г.</t>
  </si>
  <si>
    <t xml:space="preserve">50163</t>
  </si>
  <si>
    <t xml:space="preserve">164</t>
  </si>
  <si>
    <t xml:space="preserve">Кузнєцова В.В.</t>
  </si>
  <si>
    <t xml:space="preserve">50164</t>
  </si>
  <si>
    <t xml:space="preserve">165</t>
  </si>
  <si>
    <t xml:space="preserve">Сидоренко Б.Й.</t>
  </si>
  <si>
    <t xml:space="preserve">50165</t>
  </si>
  <si>
    <t xml:space="preserve">166</t>
  </si>
  <si>
    <t xml:space="preserve">Кузнєцова О.А.</t>
  </si>
  <si>
    <t xml:space="preserve">50166</t>
  </si>
  <si>
    <t xml:space="preserve">167</t>
  </si>
  <si>
    <t xml:space="preserve">Васильєва О.Г.</t>
  </si>
  <si>
    <t xml:space="preserve">50167</t>
  </si>
  <si>
    <t xml:space="preserve">168</t>
  </si>
  <si>
    <t xml:space="preserve">Кудінова Л.М.</t>
  </si>
  <si>
    <t xml:space="preserve">50168</t>
  </si>
  <si>
    <t xml:space="preserve">169</t>
  </si>
  <si>
    <t xml:space="preserve">Спільний І.В.</t>
  </si>
  <si>
    <t xml:space="preserve">50169</t>
  </si>
  <si>
    <t xml:space="preserve">170</t>
  </si>
  <si>
    <t xml:space="preserve">Кружаліна Т.А.</t>
  </si>
  <si>
    <t xml:space="preserve">50170</t>
  </si>
  <si>
    <t xml:space="preserve">171</t>
  </si>
  <si>
    <t xml:space="preserve">Григоренко Н.Е.</t>
  </si>
  <si>
    <t xml:space="preserve">50171</t>
  </si>
  <si>
    <t xml:space="preserve">172</t>
  </si>
  <si>
    <t xml:space="preserve">Бондарчук В.В.</t>
  </si>
  <si>
    <t xml:space="preserve">50172</t>
  </si>
  <si>
    <t xml:space="preserve">173</t>
  </si>
  <si>
    <t xml:space="preserve">Рябініна Н.І.</t>
  </si>
  <si>
    <t xml:space="preserve">50173</t>
  </si>
  <si>
    <t xml:space="preserve">174</t>
  </si>
  <si>
    <t xml:space="preserve">Шапіро В.І.</t>
  </si>
  <si>
    <t xml:space="preserve">50174</t>
  </si>
  <si>
    <t xml:space="preserve">175</t>
  </si>
  <si>
    <t xml:space="preserve">Крамаренко О.О.</t>
  </si>
  <si>
    <t xml:space="preserve">50175</t>
  </si>
  <si>
    <t xml:space="preserve">176</t>
  </si>
  <si>
    <t xml:space="preserve">Свиридов В.Ф.</t>
  </si>
  <si>
    <t xml:space="preserve">50176</t>
  </si>
  <si>
    <t xml:space="preserve">177</t>
  </si>
  <si>
    <t xml:space="preserve">Домацький В.А.</t>
  </si>
  <si>
    <t xml:space="preserve">50177</t>
  </si>
  <si>
    <t xml:space="preserve">178</t>
  </si>
  <si>
    <t xml:space="preserve">Шаповалова І.А.</t>
  </si>
  <si>
    <t xml:space="preserve">50178</t>
  </si>
  <si>
    <t xml:space="preserve">179</t>
  </si>
  <si>
    <t xml:space="preserve">Кононенко О.В.</t>
  </si>
  <si>
    <t xml:space="preserve">50179</t>
  </si>
  <si>
    <t xml:space="preserve">180</t>
  </si>
  <si>
    <t xml:space="preserve">Овчаренко Т.І.</t>
  </si>
  <si>
    <t xml:space="preserve">60180</t>
  </si>
  <si>
    <t xml:space="preserve">181</t>
  </si>
  <si>
    <t xml:space="preserve">Попукайло О.Г.</t>
  </si>
  <si>
    <t xml:space="preserve">60181</t>
  </si>
  <si>
    <t xml:space="preserve">182</t>
  </si>
  <si>
    <t xml:space="preserve">Онищенко А.В.</t>
  </si>
  <si>
    <t xml:space="preserve">60182</t>
  </si>
  <si>
    <t xml:space="preserve">183</t>
  </si>
  <si>
    <t xml:space="preserve">Соколова О.О.</t>
  </si>
  <si>
    <t xml:space="preserve">60183</t>
  </si>
  <si>
    <t xml:space="preserve">184</t>
  </si>
  <si>
    <t xml:space="preserve">Ільіна В.П.</t>
  </si>
  <si>
    <t xml:space="preserve">60184</t>
  </si>
  <si>
    <t xml:space="preserve">185</t>
  </si>
  <si>
    <t xml:space="preserve">Чешок Г.К.</t>
  </si>
  <si>
    <t xml:space="preserve">60185</t>
  </si>
  <si>
    <t xml:space="preserve">186</t>
  </si>
  <si>
    <t xml:space="preserve">Бердников В.А.</t>
  </si>
  <si>
    <t xml:space="preserve">60186</t>
  </si>
  <si>
    <t xml:space="preserve">187</t>
  </si>
  <si>
    <t xml:space="preserve">Щербак Н.В.</t>
  </si>
  <si>
    <t xml:space="preserve">60187</t>
  </si>
  <si>
    <t xml:space="preserve">188</t>
  </si>
  <si>
    <t xml:space="preserve">Рожков Ю.М.</t>
  </si>
  <si>
    <t xml:space="preserve">60188</t>
  </si>
  <si>
    <t xml:space="preserve">189</t>
  </si>
  <si>
    <t xml:space="preserve">Кобець В.В.</t>
  </si>
  <si>
    <t xml:space="preserve">60189</t>
  </si>
  <si>
    <t xml:space="preserve">190</t>
  </si>
  <si>
    <t xml:space="preserve">Щерба Л.О.</t>
  </si>
  <si>
    <t xml:space="preserve">60190</t>
  </si>
  <si>
    <t xml:space="preserve">191</t>
  </si>
  <si>
    <t xml:space="preserve">Сапунова І.В.</t>
  </si>
  <si>
    <t xml:space="preserve">60191</t>
  </si>
  <si>
    <t xml:space="preserve">192</t>
  </si>
  <si>
    <t xml:space="preserve">Саввідіс В.О.</t>
  </si>
  <si>
    <t xml:space="preserve">60192</t>
  </si>
  <si>
    <t xml:space="preserve">193</t>
  </si>
  <si>
    <t xml:space="preserve">Кашина Г.І.</t>
  </si>
  <si>
    <t xml:space="preserve">60193</t>
  </si>
  <si>
    <t xml:space="preserve">194</t>
  </si>
  <si>
    <t xml:space="preserve">Фадеєва Є.А.</t>
  </si>
  <si>
    <t xml:space="preserve">60194</t>
  </si>
  <si>
    <t xml:space="preserve">195</t>
  </si>
  <si>
    <t xml:space="preserve">Бойко О.А.</t>
  </si>
  <si>
    <t xml:space="preserve">60195</t>
  </si>
  <si>
    <t xml:space="preserve">196</t>
  </si>
  <si>
    <t xml:space="preserve">Дудник І.А.</t>
  </si>
  <si>
    <t xml:space="preserve">60196</t>
  </si>
  <si>
    <t xml:space="preserve">197</t>
  </si>
  <si>
    <t xml:space="preserve">Лебедєва Т.В.</t>
  </si>
  <si>
    <t xml:space="preserve">60197</t>
  </si>
  <si>
    <t xml:space="preserve">198</t>
  </si>
  <si>
    <t xml:space="preserve">Криницький Л.С.</t>
  </si>
  <si>
    <t xml:space="preserve">60198</t>
  </si>
  <si>
    <t xml:space="preserve">199</t>
  </si>
  <si>
    <t xml:space="preserve">Сафонов В.В.</t>
  </si>
  <si>
    <t xml:space="preserve">60199</t>
  </si>
  <si>
    <t xml:space="preserve">200</t>
  </si>
  <si>
    <t xml:space="preserve">Мільковська Р.Г.</t>
  </si>
  <si>
    <t xml:space="preserve">60200</t>
  </si>
  <si>
    <t xml:space="preserve">201</t>
  </si>
  <si>
    <t xml:space="preserve">Заранкін С.М.</t>
  </si>
  <si>
    <t xml:space="preserve">60201</t>
  </si>
  <si>
    <t xml:space="preserve">202</t>
  </si>
  <si>
    <t xml:space="preserve">Сіянко О.М.</t>
  </si>
  <si>
    <t xml:space="preserve">60202</t>
  </si>
  <si>
    <t xml:space="preserve">203</t>
  </si>
  <si>
    <t xml:space="preserve">Осипов В.В.</t>
  </si>
  <si>
    <t xml:space="preserve">60203</t>
  </si>
  <si>
    <t xml:space="preserve">204</t>
  </si>
  <si>
    <t xml:space="preserve">Перепьолкін А.Л.</t>
  </si>
  <si>
    <t xml:space="preserve">60204</t>
  </si>
  <si>
    <t xml:space="preserve">205</t>
  </si>
  <si>
    <t xml:space="preserve">Синегрибова В.В.</t>
  </si>
  <si>
    <t xml:space="preserve">60205</t>
  </si>
  <si>
    <t xml:space="preserve">206</t>
  </si>
  <si>
    <t xml:space="preserve">Юдін М.В.</t>
  </si>
  <si>
    <t xml:space="preserve">60206</t>
  </si>
  <si>
    <t xml:space="preserve">207</t>
  </si>
  <si>
    <t xml:space="preserve">Сергєєва Н.О.</t>
  </si>
  <si>
    <t xml:space="preserve">60207</t>
  </si>
  <si>
    <t xml:space="preserve">208</t>
  </si>
  <si>
    <t xml:space="preserve">Рева І.П.</t>
  </si>
  <si>
    <t xml:space="preserve">60208</t>
  </si>
  <si>
    <t xml:space="preserve">209</t>
  </si>
  <si>
    <t xml:space="preserve">Почапський Ю.Т.</t>
  </si>
  <si>
    <t xml:space="preserve">60209</t>
  </si>
  <si>
    <t xml:space="preserve">210</t>
  </si>
  <si>
    <t xml:space="preserve">Васильченко М.П.</t>
  </si>
  <si>
    <t xml:space="preserve">60210</t>
  </si>
  <si>
    <t xml:space="preserve">211</t>
  </si>
  <si>
    <t xml:space="preserve">Черненко Т.А.</t>
  </si>
  <si>
    <t xml:space="preserve">60211</t>
  </si>
  <si>
    <t xml:space="preserve">212</t>
  </si>
  <si>
    <t xml:space="preserve">Сиротенко Я.О.</t>
  </si>
  <si>
    <t xml:space="preserve">60212</t>
  </si>
  <si>
    <t xml:space="preserve">213</t>
  </si>
  <si>
    <t xml:space="preserve">Корнюшенко О.О.</t>
  </si>
  <si>
    <t xml:space="preserve">60213</t>
  </si>
  <si>
    <t xml:space="preserve">у      лютому    2026 року</t>
  </si>
  <si>
    <t xml:space="preserve">у      березні    2026 року</t>
  </si>
  <si>
    <t xml:space="preserve">у      квітні    2026 року</t>
  </si>
  <si>
    <t xml:space="preserve">у      травні    2026 року</t>
  </si>
  <si>
    <t xml:space="preserve">у      червні    2025 року</t>
  </si>
  <si>
    <t xml:space="preserve">у      липні    2026 року</t>
  </si>
  <si>
    <t xml:space="preserve">у      серпні    2026 року</t>
  </si>
  <si>
    <t xml:space="preserve">у      вересні    2026 року</t>
  </si>
  <si>
    <t xml:space="preserve">у      жовтні    2026 року</t>
  </si>
  <si>
    <t xml:space="preserve">у      листопаді    2026 року</t>
  </si>
  <si>
    <t xml:space="preserve">у      грудні    2026 року</t>
  </si>
  <si>
    <t xml:space="preserve">за 2025 рік</t>
  </si>
  <si>
    <t xml:space="preserve">сальдо поч </t>
  </si>
  <si>
    <t xml:space="preserve">месяц</t>
  </si>
  <si>
    <t xml:space="preserve">начислено</t>
  </si>
  <si>
    <t xml:space="preserve">оплачено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</si>
</sst>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204"/>
    </font>
    <font>
      <sz val="14"/>
      <name val="Arial"/>
      <family val="2"/>
      <charset val="204"/>
    </font>
    <font>
      <sz val="9"/>
      <name val="Tahoma"/>
      <family val="2"/>
      <charset val="1"/>
    </font>
    <font>
      <sz val="10"/>
      <name val="Tahoma"/>
      <family val="2"/>
      <charset val="1"/>
    </font>
    <font>
      <sz val="10"/>
      <name val="Tahoma"/>
      <family val="2"/>
      <charset val="204"/>
    </font>
    <font>
      <sz val="7"/>
      <name val="Tahoma"/>
      <family val="2"/>
      <charset val="1"/>
    </font>
    <font>
      <sz val="8"/>
      <name val="Tahoma"/>
      <family val="2"/>
      <charset val="1"/>
    </font>
    <font>
      <sz val="10"/>
      <color theme="1"/>
      <name val="Tahoma"/>
      <family val="2"/>
      <charset val="204"/>
    </font>
    <font>
      <sz val="7"/>
      <name val="Tahoma"/>
      <family val="2"/>
      <charset val="204"/>
    </font>
    <font>
      <sz val="8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externalLink" Target="externalLinks/externalLink1.xml"/><Relationship Id="rId1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&#1074;&#1110;&#1076;&#1086;&#1084;&#1110;&#1089;&#1090;&#1100;%20&#1087;&#1086;%20311-26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січень"/>
      <sheetName val="лютий"/>
      <sheetName val="березень"/>
      <sheetName val="квітень"/>
      <sheetName val="травень"/>
      <sheetName val="червень"/>
      <sheetName val="липень"/>
      <sheetName val="серпень"/>
      <sheetName val="вересень"/>
      <sheetName val="жовтень"/>
      <sheetName val="листопад"/>
      <sheetName val="грудень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0"/>
  <sheetViews>
    <sheetView showFormulas="false" showGridLines="true" showRowColHeaders="true" showZeros="false" rightToLeft="false" tabSelected="true" showOutlineSymbols="true" defaultGridColor="true" view="normal" topLeftCell="A208" colorId="64" zoomScale="90" zoomScaleNormal="90" zoomScalePageLayoutView="100" workbookViewId="0">
      <selection pane="topLeft" activeCell="T226" activeCellId="0" sqref="T22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76"/>
    <col collapsed="false" customWidth="true" hidden="false" outlineLevel="0" max="2" min="2" style="1" width="22.34"/>
    <col collapsed="false" customWidth="true" hidden="false" outlineLevel="0" max="3" min="3" style="1" width="7"/>
    <col collapsed="false" customWidth="true" hidden="false" outlineLevel="0" max="4" min="4" style="1" width="9.26"/>
    <col collapsed="false" customWidth="true" hidden="false" outlineLevel="0" max="5" min="5" style="1" width="8.37"/>
    <col collapsed="false" customWidth="true" hidden="false" outlineLevel="0" max="6" min="6" style="1" width="5.37"/>
    <col collapsed="false" customWidth="true" hidden="false" outlineLevel="0" max="7" min="7" style="1" width="7.75"/>
    <col collapsed="false" customWidth="true" hidden="false" outlineLevel="0" max="8" min="8" style="1" width="5.63"/>
    <col collapsed="false" customWidth="true" hidden="false" outlineLevel="0" max="9" min="9" style="1" width="6.25"/>
    <col collapsed="false" customWidth="true" hidden="false" outlineLevel="0" max="10" min="10" style="1" width="9.12"/>
    <col collapsed="false" customWidth="true" hidden="false" outlineLevel="0" max="11" min="11" style="1" width="6.63"/>
    <col collapsed="false" customWidth="true" hidden="false" outlineLevel="0" max="12" min="12" style="1" width="6.75"/>
    <col collapsed="false" customWidth="true" hidden="false" outlineLevel="0" max="13" min="13" style="1" width="7.25"/>
    <col collapsed="false" customWidth="true" hidden="false" outlineLevel="0" max="14" min="14" style="1" width="9.12"/>
    <col collapsed="false" customWidth="true" hidden="false" outlineLevel="0" max="15" min="15" style="1" width="9.63"/>
    <col collapsed="false" customWidth="true" hidden="false" outlineLevel="0" max="16" min="16" style="1" width="9.26"/>
    <col collapsed="false" customWidth="true" hidden="false" outlineLevel="0" max="17" min="17" style="1" width="9.12"/>
    <col collapsed="false" customWidth="true" hidden="false" outlineLevel="0" max="21" min="21" style="1" width="9.26"/>
  </cols>
  <sheetData>
    <row r="1" customFormat="false" ht="29.25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2" t="s">
        <v>1</v>
      </c>
      <c r="O1" s="2"/>
      <c r="P1" s="2"/>
      <c r="Q1" s="2"/>
      <c r="W1" s="1" t="n">
        <v>4.1</v>
      </c>
    </row>
    <row r="2" customFormat="false" ht="18" hidden="false" customHeight="true" outlineLevel="0" collapsed="false">
      <c r="A2" s="3"/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8.75" hidden="false" customHeight="true" outlineLevel="0" collapsed="false">
      <c r="A3" s="3"/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2.75" hidden="false" customHeight="true" outlineLevel="0" collapsed="false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15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60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7</v>
      </c>
      <c r="Q6" s="6" t="s">
        <v>8</v>
      </c>
    </row>
    <row r="7" customFormat="false" ht="15" hidden="false" customHeight="true" outlineLevel="0" collapsed="false">
      <c r="A7" s="7" t="s">
        <v>19</v>
      </c>
      <c r="B7" s="8" t="s">
        <v>20</v>
      </c>
      <c r="C7" s="7" t="s">
        <v>21</v>
      </c>
      <c r="D7" s="9" t="n">
        <v>823.15</v>
      </c>
      <c r="E7" s="9" t="n">
        <v>0</v>
      </c>
      <c r="F7" s="10" t="n">
        <v>0</v>
      </c>
      <c r="G7" s="10" t="n">
        <v>64.26</v>
      </c>
      <c r="H7" s="10" t="n">
        <v>0</v>
      </c>
      <c r="I7" s="10" t="n">
        <f aca="false">W$1</f>
        <v>4.1</v>
      </c>
      <c r="J7" s="11" t="n">
        <f aca="false">ROUND(G7*I7,2)</f>
        <v>263.47</v>
      </c>
      <c r="K7" s="11"/>
      <c r="L7" s="11"/>
      <c r="M7" s="11"/>
      <c r="N7" s="11" t="n">
        <f aca="false">ROUND((G7*I7)-K7-L7-M7,2)</f>
        <v>263.47</v>
      </c>
      <c r="O7" s="11"/>
      <c r="P7" s="11" t="n">
        <f aca="false">ROUND(IF(D7=0,IF((N7-E7-O7)&gt;0,(N7-E7-O7),0),IF((D7+N7-O7)&gt;0,(D7+N7-O7),0)),2)</f>
        <v>1086.62</v>
      </c>
      <c r="Q7" s="11" t="n">
        <f aca="false">ROUND(IF(E7=0,IF((D7+N7-O7)&lt;0,ABS(D7+N7-O7),0),IF((N7-E7-O7)&lt;0,ABS(N7-E7-O7),0)),2)</f>
        <v>0</v>
      </c>
    </row>
    <row r="8" customFormat="false" ht="15" hidden="false" customHeight="true" outlineLevel="0" collapsed="false">
      <c r="A8" s="12" t="s">
        <v>22</v>
      </c>
      <c r="B8" s="8" t="s">
        <v>23</v>
      </c>
      <c r="C8" s="12" t="s">
        <v>24</v>
      </c>
      <c r="D8" s="9" t="n">
        <v>199.71</v>
      </c>
      <c r="E8" s="9" t="n">
        <v>0</v>
      </c>
      <c r="F8" s="13" t="n">
        <v>0</v>
      </c>
      <c r="G8" s="13" t="n">
        <v>48.71</v>
      </c>
      <c r="H8" s="13" t="n">
        <v>0</v>
      </c>
      <c r="I8" s="13" t="n">
        <f aca="false">W$1</f>
        <v>4.1</v>
      </c>
      <c r="J8" s="14" t="n">
        <f aca="false">ROUND(G8*I8,2)</f>
        <v>199.71</v>
      </c>
      <c r="K8" s="14"/>
      <c r="L8" s="14"/>
      <c r="M8" s="14"/>
      <c r="N8" s="14" t="n">
        <f aca="false">ROUND((G8*I8)-K8-L8-M8,2)</f>
        <v>199.71</v>
      </c>
      <c r="O8" s="14" t="n">
        <v>199.71</v>
      </c>
      <c r="P8" s="11" t="n">
        <f aca="false">ROUND(IF(D8=0,IF((N8-E8-O8)&gt;0,(N8-E8-O8),0),IF((D8+N8-O8)&gt;0,(D8+N8-O8),0)),2)</f>
        <v>199.71</v>
      </c>
      <c r="Q8" s="11" t="n">
        <f aca="false">ROUND(IF(E8=0,IF((D8+N8-O8)&lt;0,ABS(D8+N8-O8),0),IF((N8-E8-O8)&lt;0,ABS(N8-E8-O8),0)),2)</f>
        <v>0</v>
      </c>
    </row>
    <row r="9" customFormat="false" ht="15" hidden="false" customHeight="true" outlineLevel="0" collapsed="false">
      <c r="A9" s="12" t="s">
        <v>25</v>
      </c>
      <c r="B9" s="8" t="s">
        <v>26</v>
      </c>
      <c r="C9" s="12" t="s">
        <v>27</v>
      </c>
      <c r="D9" s="9" t="n">
        <v>143.5</v>
      </c>
      <c r="E9" s="9" t="n">
        <v>0</v>
      </c>
      <c r="F9" s="13" t="n">
        <v>0</v>
      </c>
      <c r="G9" s="13" t="n">
        <v>35</v>
      </c>
      <c r="H9" s="13" t="n">
        <v>0</v>
      </c>
      <c r="I9" s="13" t="n">
        <f aca="false">W$1</f>
        <v>4.1</v>
      </c>
      <c r="J9" s="14" t="n">
        <f aca="false">ROUND(G9*I9,2)</f>
        <v>143.5</v>
      </c>
      <c r="K9" s="14"/>
      <c r="L9" s="14"/>
      <c r="M9" s="14"/>
      <c r="N9" s="14" t="n">
        <f aca="false">ROUND((G9*I9)-K9-L9-M9,2)</f>
        <v>143.5</v>
      </c>
      <c r="O9" s="14"/>
      <c r="P9" s="11" t="n">
        <f aca="false">ROUND(IF(D9=0,IF((N9-E9-O9)&gt;0,(N9-E9-O9),0),IF((D9+N9-O9)&gt;0,(D9+N9-O9),0)),2)</f>
        <v>287</v>
      </c>
      <c r="Q9" s="11" t="n">
        <f aca="false">ROUND(IF(E9=0,IF((D9+N9-O9)&lt;0,ABS(D9+N9-O9),0),IF((N9-E9-O9)&lt;0,ABS(N9-E9-O9),0)),2)</f>
        <v>0</v>
      </c>
    </row>
    <row r="10" customFormat="false" ht="15" hidden="false" customHeight="true" outlineLevel="0" collapsed="false">
      <c r="A10" s="12" t="s">
        <v>28</v>
      </c>
      <c r="B10" s="8" t="s">
        <v>29</v>
      </c>
      <c r="C10" s="12" t="s">
        <v>30</v>
      </c>
      <c r="D10" s="9" t="n">
        <v>0</v>
      </c>
      <c r="E10" s="9" t="n">
        <v>252.56</v>
      </c>
      <c r="F10" s="13" t="n">
        <v>0</v>
      </c>
      <c r="G10" s="13" t="n">
        <v>61.6</v>
      </c>
      <c r="H10" s="13" t="n">
        <v>0</v>
      </c>
      <c r="I10" s="13" t="n">
        <f aca="false">W$1</f>
        <v>4.1</v>
      </c>
      <c r="J10" s="14" t="n">
        <f aca="false">ROUND(G10*I10,2)</f>
        <v>252.56</v>
      </c>
      <c r="K10" s="14"/>
      <c r="L10" s="14"/>
      <c r="M10" s="14"/>
      <c r="N10" s="14" t="n">
        <f aca="false">ROUND((G10*I10)-K10-L10-M10,2)</f>
        <v>252.56</v>
      </c>
      <c r="O10" s="14"/>
      <c r="P10" s="11" t="n">
        <f aca="false">ROUND(IF(D10=0,IF((N10-E10-O10)&gt;0,(N10-E10-O10),0),IF((D10+N10-O10)&gt;0,(D10+N10-O10),0)),2)</f>
        <v>0</v>
      </c>
      <c r="Q10" s="11" t="n">
        <f aca="false">ROUND(IF(E10=0,IF((D10+N10-O10)&lt;0,ABS(D10+N10-O10),0),IF((N10-E10-O10)&lt;0,ABS(N10-E10-O10),0)),2)</f>
        <v>0</v>
      </c>
    </row>
    <row r="11" customFormat="false" ht="15" hidden="false" customHeight="true" outlineLevel="0" collapsed="false">
      <c r="A11" s="12" t="s">
        <v>31</v>
      </c>
      <c r="B11" s="8" t="s">
        <v>32</v>
      </c>
      <c r="C11" s="12" t="s">
        <v>33</v>
      </c>
      <c r="D11" s="9" t="n">
        <v>2643.87</v>
      </c>
      <c r="E11" s="9" t="n">
        <v>0</v>
      </c>
      <c r="F11" s="13" t="n">
        <v>0</v>
      </c>
      <c r="G11" s="13" t="n">
        <v>28.34</v>
      </c>
      <c r="H11" s="13" t="n">
        <v>0</v>
      </c>
      <c r="I11" s="13" t="n">
        <f aca="false">W$1</f>
        <v>4.1</v>
      </c>
      <c r="J11" s="14" t="n">
        <f aca="false">ROUND(G11*I11,2)</f>
        <v>116.19</v>
      </c>
      <c r="K11" s="14"/>
      <c r="L11" s="14"/>
      <c r="M11" s="14"/>
      <c r="N11" s="14" t="n">
        <f aca="false">ROUND((G11*I11)-K11-L11-M11,2)</f>
        <v>116.19</v>
      </c>
      <c r="O11" s="14"/>
      <c r="P11" s="11" t="n">
        <f aca="false">ROUND(IF(D11=0,IF((N11-E11-O11)&gt;0,(N11-E11-O11),0),IF((D11+N11-O11)&gt;0,(D11+N11-O11),0)),2)</f>
        <v>2760.06</v>
      </c>
      <c r="Q11" s="11" t="n">
        <f aca="false">ROUND(IF(E11=0,IF((D11+N11-O11)&lt;0,ABS(D11+N11-O11),0),IF((N11-E11-O11)&lt;0,ABS(N11-E11-O11),0)),2)</f>
        <v>0</v>
      </c>
    </row>
    <row r="12" customFormat="false" ht="15" hidden="false" customHeight="true" outlineLevel="0" collapsed="false">
      <c r="A12" s="12" t="s">
        <v>31</v>
      </c>
      <c r="B12" s="8" t="s">
        <v>34</v>
      </c>
      <c r="C12" s="12" t="s">
        <v>35</v>
      </c>
      <c r="D12" s="9" t="n">
        <v>809.26</v>
      </c>
      <c r="E12" s="9" t="n">
        <v>0</v>
      </c>
      <c r="F12" s="13" t="n">
        <v>0</v>
      </c>
      <c r="G12" s="13" t="n">
        <v>36.66</v>
      </c>
      <c r="H12" s="13" t="n">
        <v>0</v>
      </c>
      <c r="I12" s="13" t="n">
        <f aca="false">W$1</f>
        <v>4.1</v>
      </c>
      <c r="J12" s="14" t="n">
        <f aca="false">ROUND(G12*I12,2)</f>
        <v>150.31</v>
      </c>
      <c r="K12" s="14"/>
      <c r="L12" s="14"/>
      <c r="M12" s="14"/>
      <c r="N12" s="14" t="n">
        <f aca="false">ROUND((G12*I12)-K12-L12-M12,2)</f>
        <v>150.31</v>
      </c>
      <c r="O12" s="14"/>
      <c r="P12" s="11" t="n">
        <f aca="false">ROUND(IF(D12=0,IF((N12-E12-O12)&gt;0,(N12-E12-O12),0),IF((D12+N12-O12)&gt;0,(D12+N12-O12),0)),2)</f>
        <v>959.57</v>
      </c>
      <c r="Q12" s="11" t="n">
        <f aca="false">ROUND(IF(E12=0,IF((D12+N12-O12)&lt;0,ABS(D12+N12-O12),0),IF((N12-E12-O12)&lt;0,ABS(N12-E12-O12),0)),2)</f>
        <v>0</v>
      </c>
    </row>
    <row r="13" customFormat="false" ht="15" hidden="false" customHeight="true" outlineLevel="0" collapsed="false">
      <c r="A13" s="12" t="s">
        <v>36</v>
      </c>
      <c r="B13" s="8" t="s">
        <v>37</v>
      </c>
      <c r="C13" s="12" t="s">
        <v>38</v>
      </c>
      <c r="D13" s="9" t="n">
        <v>134.56</v>
      </c>
      <c r="E13" s="9" t="n">
        <v>0</v>
      </c>
      <c r="F13" s="13" t="n">
        <v>0</v>
      </c>
      <c r="G13" s="13" t="n">
        <v>49.8</v>
      </c>
      <c r="H13" s="13" t="n">
        <v>0</v>
      </c>
      <c r="I13" s="13" t="n">
        <f aca="false">W$1</f>
        <v>4.1</v>
      </c>
      <c r="J13" s="14" t="n">
        <f aca="false">ROUND(G13*I13,2)</f>
        <v>204.18</v>
      </c>
      <c r="K13" s="14"/>
      <c r="L13" s="14"/>
      <c r="M13" s="14"/>
      <c r="N13" s="14" t="n">
        <f aca="false">ROUND((G13*I13)-K13-L13-M13,2)</f>
        <v>204.18</v>
      </c>
      <c r="O13" s="14"/>
      <c r="P13" s="11" t="n">
        <f aca="false">ROUND(IF(D13=0,IF((N13-E13-O13)&gt;0,(N13-E13-O13),0),IF((D13+N13-O13)&gt;0,(D13+N13-O13),0)),2)</f>
        <v>338.74</v>
      </c>
      <c r="Q13" s="11" t="n">
        <f aca="false">ROUND(IF(E13=0,IF((D13+N13-O13)&lt;0,ABS(D13+N13-O13),0),IF((N13-E13-O13)&lt;0,ABS(N13-E13-O13),0)),2)</f>
        <v>0</v>
      </c>
    </row>
    <row r="14" customFormat="false" ht="15" hidden="false" customHeight="true" outlineLevel="0" collapsed="false">
      <c r="A14" s="12" t="s">
        <v>39</v>
      </c>
      <c r="B14" s="8" t="s">
        <v>40</v>
      </c>
      <c r="C14" s="12" t="s">
        <v>41</v>
      </c>
      <c r="D14" s="9" t="n">
        <v>142.07</v>
      </c>
      <c r="E14" s="9" t="n">
        <v>0</v>
      </c>
      <c r="F14" s="13" t="n">
        <v>0</v>
      </c>
      <c r="G14" s="13" t="n">
        <v>34.65</v>
      </c>
      <c r="H14" s="13" t="n">
        <v>0</v>
      </c>
      <c r="I14" s="13" t="n">
        <f aca="false">W$1</f>
        <v>4.1</v>
      </c>
      <c r="J14" s="14" t="n">
        <f aca="false">ROUND(G14*I14,2)</f>
        <v>142.07</v>
      </c>
      <c r="K14" s="14"/>
      <c r="L14" s="14"/>
      <c r="M14" s="14"/>
      <c r="N14" s="14" t="n">
        <f aca="false">ROUND((G14*I14)-K14-L14-M14,2)</f>
        <v>142.07</v>
      </c>
      <c r="O14" s="14"/>
      <c r="P14" s="11" t="n">
        <f aca="false">ROUND(IF(D14=0,IF((N14-E14-O14)&gt;0,(N14-E14-O14),0),IF((D14+N14-O14)&gt;0,(D14+N14-O14),0)),2)</f>
        <v>284.14</v>
      </c>
      <c r="Q14" s="11" t="n">
        <f aca="false">ROUND(IF(E14=0,IF((D14+N14-O14)&lt;0,ABS(D14+N14-O14),0),IF((N14-E14-O14)&lt;0,ABS(N14-E14-O14),0)),2)</f>
        <v>0</v>
      </c>
    </row>
    <row r="15" customFormat="false" ht="15" hidden="false" customHeight="true" outlineLevel="0" collapsed="false">
      <c r="A15" s="12" t="s">
        <v>42</v>
      </c>
      <c r="B15" s="8" t="s">
        <v>43</v>
      </c>
      <c r="C15" s="12" t="s">
        <v>44</v>
      </c>
      <c r="D15" s="9" t="n">
        <v>0</v>
      </c>
      <c r="E15" s="9" t="n">
        <v>7.03</v>
      </c>
      <c r="F15" s="13" t="n">
        <v>0</v>
      </c>
      <c r="G15" s="13" t="n">
        <v>62.14</v>
      </c>
      <c r="H15" s="13" t="n">
        <v>0</v>
      </c>
      <c r="I15" s="13" t="n">
        <f aca="false">W$1</f>
        <v>4.1</v>
      </c>
      <c r="J15" s="14" t="n">
        <f aca="false">ROUND(G15*I15,2)</f>
        <v>254.77</v>
      </c>
      <c r="K15" s="14"/>
      <c r="L15" s="14"/>
      <c r="M15" s="14"/>
      <c r="N15" s="14" t="n">
        <f aca="false">ROUND((G15*I15)-K15-L15-M15,2)</f>
        <v>254.77</v>
      </c>
      <c r="O15" s="14"/>
      <c r="P15" s="11" t="n">
        <f aca="false">ROUND(IF(D15=0,IF((N15-E15-O15)&gt;0,(N15-E15-O15),0),IF((D15+N15-O15)&gt;0,(D15+N15-O15),0)),2)</f>
        <v>247.74</v>
      </c>
      <c r="Q15" s="11" t="n">
        <f aca="false">ROUND(IF(E15=0,IF((D15+N15-O15)&lt;0,ABS(D15+N15-O15),0),IF((N15-E15-O15)&lt;0,ABS(N15-E15-O15),0)),2)</f>
        <v>0</v>
      </c>
    </row>
    <row r="16" customFormat="false" ht="15" hidden="false" customHeight="true" outlineLevel="0" collapsed="false">
      <c r="A16" s="12" t="s">
        <v>45</v>
      </c>
      <c r="B16" s="8" t="s">
        <v>46</v>
      </c>
      <c r="C16" s="12" t="s">
        <v>47</v>
      </c>
      <c r="D16" s="9" t="n">
        <v>801.72</v>
      </c>
      <c r="E16" s="9" t="n">
        <v>0</v>
      </c>
      <c r="F16" s="13" t="n">
        <v>0</v>
      </c>
      <c r="G16" s="13" t="n">
        <v>65.16</v>
      </c>
      <c r="H16" s="13" t="n">
        <v>0</v>
      </c>
      <c r="I16" s="13" t="n">
        <f aca="false">W$1</f>
        <v>4.1</v>
      </c>
      <c r="J16" s="14" t="n">
        <f aca="false">ROUND(G16*I16,2)</f>
        <v>267.16</v>
      </c>
      <c r="K16" s="14"/>
      <c r="L16" s="14"/>
      <c r="M16" s="14"/>
      <c r="N16" s="14" t="n">
        <f aca="false">ROUND((G16*I16)-K16-L16-M16,2)</f>
        <v>267.16</v>
      </c>
      <c r="O16" s="14"/>
      <c r="P16" s="11" t="n">
        <f aca="false">ROUND(IF(D16=0,IF((N16-E16-O16)&gt;0,(N16-E16-O16),0),IF((D16+N16-O16)&gt;0,(D16+N16-O16),0)),2)</f>
        <v>1068.88</v>
      </c>
      <c r="Q16" s="11" t="n">
        <f aca="false">ROUND(IF(E16=0,IF((D16+N16-O16)&lt;0,ABS(D16+N16-O16),0),IF((N16-E16-O16)&lt;0,ABS(N16-E16-O16),0)),2)</f>
        <v>0</v>
      </c>
    </row>
    <row r="17" customFormat="false" ht="15" hidden="false" customHeight="true" outlineLevel="0" collapsed="false">
      <c r="A17" s="12" t="s">
        <v>48</v>
      </c>
      <c r="B17" s="8" t="s">
        <v>49</v>
      </c>
      <c r="C17" s="12" t="s">
        <v>50</v>
      </c>
      <c r="D17" s="9" t="n">
        <v>4876.69</v>
      </c>
      <c r="E17" s="9" t="n">
        <v>0</v>
      </c>
      <c r="F17" s="13" t="n">
        <v>0</v>
      </c>
      <c r="G17" s="13" t="n">
        <v>50.1</v>
      </c>
      <c r="H17" s="13" t="n">
        <v>0</v>
      </c>
      <c r="I17" s="13" t="n">
        <f aca="false">W$1</f>
        <v>4.1</v>
      </c>
      <c r="J17" s="14" t="n">
        <f aca="false">ROUND(G17*I17,2)</f>
        <v>205.41</v>
      </c>
      <c r="K17" s="14"/>
      <c r="L17" s="14"/>
      <c r="M17" s="14"/>
      <c r="N17" s="14" t="n">
        <f aca="false">ROUND((G17*I17)-K17-L17-M17,2)</f>
        <v>205.41</v>
      </c>
      <c r="O17" s="14"/>
      <c r="P17" s="11" t="n">
        <f aca="false">ROUND(IF(D17=0,IF((N17-E17-O17)&gt;0,(N17-E17-O17),0),IF((D17+N17-O17)&gt;0,(D17+N17-O17),0)),2)</f>
        <v>5082.1</v>
      </c>
      <c r="Q17" s="11" t="n">
        <f aca="false">ROUND(IF(E17=0,IF((D17+N17-O17)&lt;0,ABS(D17+N17-O17),0),IF((N17-E17-O17)&lt;0,ABS(N17-E17-O17),0)),2)</f>
        <v>0</v>
      </c>
    </row>
    <row r="18" customFormat="false" ht="15" hidden="false" customHeight="true" outlineLevel="0" collapsed="false">
      <c r="A18" s="12" t="s">
        <v>51</v>
      </c>
      <c r="B18" s="8" t="s">
        <v>52</v>
      </c>
      <c r="C18" s="12" t="s">
        <v>53</v>
      </c>
      <c r="D18" s="9" t="n">
        <v>1648.2</v>
      </c>
      <c r="E18" s="9" t="n">
        <v>0</v>
      </c>
      <c r="F18" s="13" t="n">
        <v>0</v>
      </c>
      <c r="G18" s="13" t="n">
        <v>35.2</v>
      </c>
      <c r="H18" s="13" t="n">
        <v>0</v>
      </c>
      <c r="I18" s="13" t="n">
        <f aca="false">W$1</f>
        <v>4.1</v>
      </c>
      <c r="J18" s="14" t="n">
        <f aca="false">ROUND(G18*I18,2)</f>
        <v>144.32</v>
      </c>
      <c r="K18" s="14"/>
      <c r="L18" s="14"/>
      <c r="M18" s="14"/>
      <c r="N18" s="14" t="n">
        <f aca="false">ROUND((G18*I18)-K18-L18-M18,2)</f>
        <v>144.32</v>
      </c>
      <c r="O18" s="14" t="n">
        <v>100</v>
      </c>
      <c r="P18" s="11" t="n">
        <f aca="false">ROUND(IF(D18=0,IF((N18-E18-O18)&gt;0,(N18-E18-O18),0),IF((D18+N18-O18)&gt;0,(D18+N18-O18),0)),2)</f>
        <v>1692.52</v>
      </c>
      <c r="Q18" s="11" t="n">
        <f aca="false">ROUND(IF(E18=0,IF((D18+N18-O18)&lt;0,ABS(D18+N18-O18),0),IF((N18-E18-O18)&lt;0,ABS(N18-E18-O18),0)),2)</f>
        <v>0</v>
      </c>
    </row>
    <row r="19" customFormat="false" ht="15" hidden="false" customHeight="true" outlineLevel="0" collapsed="false">
      <c r="A19" s="12" t="s">
        <v>54</v>
      </c>
      <c r="B19" s="8" t="s">
        <v>55</v>
      </c>
      <c r="C19" s="12" t="s">
        <v>56</v>
      </c>
      <c r="D19" s="9" t="n">
        <v>12179.61</v>
      </c>
      <c r="E19" s="9" t="n">
        <v>0</v>
      </c>
      <c r="F19" s="13" t="n">
        <v>0</v>
      </c>
      <c r="G19" s="13" t="n">
        <v>62.78</v>
      </c>
      <c r="H19" s="13" t="n">
        <v>0</v>
      </c>
      <c r="I19" s="13" t="n">
        <f aca="false">W$1</f>
        <v>4.1</v>
      </c>
      <c r="J19" s="14" t="n">
        <f aca="false">ROUND(G19*I19,2)</f>
        <v>257.4</v>
      </c>
      <c r="K19" s="14"/>
      <c r="L19" s="14"/>
      <c r="M19" s="14"/>
      <c r="N19" s="14" t="n">
        <f aca="false">ROUND((G19*I19)-K19-L19-M19,2)</f>
        <v>257.4</v>
      </c>
      <c r="O19" s="14"/>
      <c r="P19" s="11" t="n">
        <f aca="false">ROUND(IF(D19=0,IF((N19-E19-O19)&gt;0,(N19-E19-O19),0),IF((D19+N19-O19)&gt;0,(D19+N19-O19),0)),2)</f>
        <v>12437.01</v>
      </c>
      <c r="Q19" s="11" t="n">
        <f aca="false">ROUND(IF(E19=0,IF((D19+N19-O19)&lt;0,ABS(D19+N19-O19),0),IF((N19-E19-O19)&lt;0,ABS(N19-E19-O19),0)),2)</f>
        <v>0</v>
      </c>
    </row>
    <row r="20" customFormat="false" ht="15" hidden="false" customHeight="true" outlineLevel="0" collapsed="false">
      <c r="A20" s="12" t="s">
        <v>57</v>
      </c>
      <c r="B20" s="8" t="s">
        <v>58</v>
      </c>
      <c r="C20" s="12" t="s">
        <v>59</v>
      </c>
      <c r="D20" s="9" t="n">
        <v>5199.06</v>
      </c>
      <c r="E20" s="9" t="n">
        <v>0</v>
      </c>
      <c r="F20" s="13" t="n">
        <v>0</v>
      </c>
      <c r="G20" s="13" t="n">
        <v>28.23</v>
      </c>
      <c r="H20" s="13" t="n">
        <v>0</v>
      </c>
      <c r="I20" s="13" t="n">
        <f aca="false">W$1</f>
        <v>4.1</v>
      </c>
      <c r="J20" s="14" t="n">
        <f aca="false">ROUND(G20*I20,2)</f>
        <v>115.74</v>
      </c>
      <c r="K20" s="14"/>
      <c r="L20" s="14"/>
      <c r="M20" s="14"/>
      <c r="N20" s="14" t="n">
        <f aca="false">ROUND((G20*I20)-K20-L20-M20,2)</f>
        <v>115.74</v>
      </c>
      <c r="O20" s="14"/>
      <c r="P20" s="11" t="n">
        <f aca="false">ROUND(IF(D20=0,IF((N20-E20-O20)&gt;0,(N20-E20-O20),0),IF((D20+N20-O20)&gt;0,(D20+N20-O20),0)),2)</f>
        <v>5314.8</v>
      </c>
      <c r="Q20" s="11" t="n">
        <f aca="false">ROUND(IF(E20=0,IF((D20+N20-O20)&lt;0,ABS(D20+N20-O20),0),IF((N20-E20-O20)&lt;0,ABS(N20-E20-O20),0)),2)</f>
        <v>0</v>
      </c>
    </row>
    <row r="21" customFormat="false" ht="15" hidden="false" customHeight="true" outlineLevel="0" collapsed="false">
      <c r="A21" s="12" t="s">
        <v>57</v>
      </c>
      <c r="B21" s="8" t="s">
        <v>60</v>
      </c>
      <c r="C21" s="12" t="s">
        <v>61</v>
      </c>
      <c r="D21" s="9" t="n">
        <v>5451.68</v>
      </c>
      <c r="E21" s="9" t="n">
        <v>0</v>
      </c>
      <c r="F21" s="13" t="n">
        <v>0</v>
      </c>
      <c r="G21" s="13" t="n">
        <v>37.84</v>
      </c>
      <c r="H21" s="13" t="n">
        <v>0</v>
      </c>
      <c r="I21" s="13" t="n">
        <f aca="false">W$1</f>
        <v>4.1</v>
      </c>
      <c r="J21" s="14" t="n">
        <f aca="false">ROUND(G21*I21,2)</f>
        <v>155.14</v>
      </c>
      <c r="K21" s="14"/>
      <c r="L21" s="14"/>
      <c r="M21" s="14"/>
      <c r="N21" s="14" t="n">
        <f aca="false">ROUND((G21*I21)-K21-L21-M21,2)</f>
        <v>155.14</v>
      </c>
      <c r="O21" s="14"/>
      <c r="P21" s="11" t="n">
        <f aca="false">ROUND(IF(D21=0,IF((N21-E21-O21)&gt;0,(N21-E21-O21),0),IF((D21+N21-O21)&gt;0,(D21+N21-O21),0)),2)</f>
        <v>5606.82</v>
      </c>
      <c r="Q21" s="11" t="n">
        <f aca="false">ROUND(IF(E21=0,IF((D21+N21-O21)&lt;0,ABS(D21+N21-O21),0),IF((N21-E21-O21)&lt;0,ABS(N21-E21-O21),0)),2)</f>
        <v>0</v>
      </c>
    </row>
    <row r="22" customFormat="false" ht="15" hidden="false" customHeight="true" outlineLevel="0" collapsed="false">
      <c r="A22" s="12" t="s">
        <v>62</v>
      </c>
      <c r="B22" s="8" t="s">
        <v>63</v>
      </c>
      <c r="C22" s="12" t="s">
        <v>64</v>
      </c>
      <c r="D22" s="9" t="n">
        <v>276.56</v>
      </c>
      <c r="E22" s="9" t="n">
        <v>0</v>
      </c>
      <c r="F22" s="13" t="n">
        <v>0</v>
      </c>
      <c r="G22" s="13" t="n">
        <v>49.24</v>
      </c>
      <c r="H22" s="13" t="n">
        <v>0</v>
      </c>
      <c r="I22" s="13" t="n">
        <f aca="false">W$1</f>
        <v>4.1</v>
      </c>
      <c r="J22" s="14" t="n">
        <f aca="false">ROUND(G22*I22,2)</f>
        <v>201.88</v>
      </c>
      <c r="K22" s="14"/>
      <c r="L22" s="14"/>
      <c r="M22" s="14"/>
      <c r="N22" s="14" t="n">
        <f aca="false">ROUND((G22*I22)-K22-L22-M22,2)</f>
        <v>201.88</v>
      </c>
      <c r="O22" s="14" t="n">
        <v>210</v>
      </c>
      <c r="P22" s="11" t="n">
        <f aca="false">ROUND(IF(D22=0,IF((N22-E22-O22)&gt;0,(N22-E22-O22),0),IF((D22+N22-O22)&gt;0,(D22+N22-O22),0)),2)</f>
        <v>268.44</v>
      </c>
      <c r="Q22" s="11" t="n">
        <f aca="false">ROUND(IF(E22=0,IF((D22+N22-O22)&lt;0,ABS(D22+N22-O22),0),IF((N22-E22-O22)&lt;0,ABS(N22-E22-O22),0)),2)</f>
        <v>0</v>
      </c>
    </row>
    <row r="23" customFormat="false" ht="15" hidden="false" customHeight="true" outlineLevel="0" collapsed="false">
      <c r="A23" s="12" t="s">
        <v>65</v>
      </c>
      <c r="B23" s="8" t="s">
        <v>66</v>
      </c>
      <c r="C23" s="12" t="s">
        <v>67</v>
      </c>
      <c r="D23" s="9" t="n">
        <v>435.8</v>
      </c>
      <c r="E23" s="9" t="n">
        <v>0</v>
      </c>
      <c r="F23" s="13" t="n">
        <v>0</v>
      </c>
      <c r="G23" s="13" t="n">
        <v>35.1</v>
      </c>
      <c r="H23" s="13" t="n">
        <v>0</v>
      </c>
      <c r="I23" s="13" t="n">
        <f aca="false">W$1</f>
        <v>4.1</v>
      </c>
      <c r="J23" s="14" t="n">
        <f aca="false">ROUND(G23*I23,2)</f>
        <v>143.91</v>
      </c>
      <c r="K23" s="14"/>
      <c r="L23" s="14"/>
      <c r="M23" s="14"/>
      <c r="N23" s="14" t="n">
        <f aca="false">ROUND((G23*I23)-K23-L23-M23,2)</f>
        <v>143.91</v>
      </c>
      <c r="O23" s="14"/>
      <c r="P23" s="11" t="n">
        <f aca="false">ROUND(IF(D23=0,IF((N23-E23-O23)&gt;0,(N23-E23-O23),0),IF((D23+N23-O23)&gt;0,(D23+N23-O23),0)),2)</f>
        <v>579.71</v>
      </c>
      <c r="Q23" s="11" t="n">
        <f aca="false">ROUND(IF(E23=0,IF((D23+N23-O23)&lt;0,ABS(D23+N23-O23),0),IF((N23-E23-O23)&lt;0,ABS(N23-E23-O23),0)),2)</f>
        <v>0</v>
      </c>
    </row>
    <row r="24" customFormat="false" ht="15" hidden="false" customHeight="true" outlineLevel="0" collapsed="false">
      <c r="A24" s="12" t="s">
        <v>68</v>
      </c>
      <c r="B24" s="8" t="s">
        <v>69</v>
      </c>
      <c r="C24" s="12" t="s">
        <v>70</v>
      </c>
      <c r="D24" s="9" t="n">
        <v>5207.58</v>
      </c>
      <c r="E24" s="9" t="n">
        <v>0</v>
      </c>
      <c r="F24" s="13" t="n">
        <v>0</v>
      </c>
      <c r="G24" s="13" t="n">
        <v>61.9</v>
      </c>
      <c r="H24" s="13" t="n">
        <v>0</v>
      </c>
      <c r="I24" s="13" t="n">
        <f aca="false">W$1</f>
        <v>4.1</v>
      </c>
      <c r="J24" s="14" t="n">
        <f aca="false">ROUND(G24*I24,2)</f>
        <v>253.79</v>
      </c>
      <c r="K24" s="14"/>
      <c r="L24" s="14"/>
      <c r="M24" s="14"/>
      <c r="N24" s="14" t="n">
        <f aca="false">ROUND((G24*I24)-K24-L24-M24,2)</f>
        <v>253.79</v>
      </c>
      <c r="O24" s="14" t="n">
        <v>507.58</v>
      </c>
      <c r="P24" s="11" t="n">
        <f aca="false">ROUND(IF(D24=0,IF((N24-E24-O24)&gt;0,(N24-E24-O24),0),IF((D24+N24-O24)&gt;0,(D24+N24-O24),0)),2)</f>
        <v>4953.79</v>
      </c>
      <c r="Q24" s="11" t="n">
        <f aca="false">ROUND(IF(E24=0,IF((D24+N24-O24)&lt;0,ABS(D24+N24-O24),0),IF((N24-E24-O24)&lt;0,ABS(N24-E24-O24),0)),2)</f>
        <v>0</v>
      </c>
    </row>
    <row r="25" customFormat="false" ht="15" hidden="false" customHeight="true" outlineLevel="0" collapsed="false">
      <c r="A25" s="12" t="s">
        <v>71</v>
      </c>
      <c r="B25" s="8" t="s">
        <v>72</v>
      </c>
      <c r="C25" s="12" t="s">
        <v>73</v>
      </c>
      <c r="D25" s="9" t="n">
        <v>271.83</v>
      </c>
      <c r="E25" s="9" t="n">
        <v>0</v>
      </c>
      <c r="F25" s="13" t="n">
        <v>0</v>
      </c>
      <c r="G25" s="13" t="n">
        <v>66.3</v>
      </c>
      <c r="H25" s="13" t="n">
        <v>0</v>
      </c>
      <c r="I25" s="13" t="n">
        <f aca="false">W$1</f>
        <v>4.1</v>
      </c>
      <c r="J25" s="14" t="n">
        <f aca="false">ROUND(G25*I25,2)</f>
        <v>271.83</v>
      </c>
      <c r="K25" s="14"/>
      <c r="L25" s="14"/>
      <c r="M25" s="14"/>
      <c r="N25" s="14" t="n">
        <f aca="false">ROUND((G25*I25)-K25-L25-M25,2)</f>
        <v>271.83</v>
      </c>
      <c r="O25" s="14"/>
      <c r="P25" s="11" t="n">
        <f aca="false">ROUND(IF(D25=0,IF((N25-E25-O25)&gt;0,(N25-E25-O25),0),IF((D25+N25-O25)&gt;0,(D25+N25-O25),0)),2)</f>
        <v>543.66</v>
      </c>
      <c r="Q25" s="11" t="n">
        <f aca="false">ROUND(IF(E25=0,IF((D25+N25-O25)&lt;0,ABS(D25+N25-O25),0),IF((N25-E25-O25)&lt;0,ABS(N25-E25-O25),0)),2)</f>
        <v>0</v>
      </c>
    </row>
    <row r="26" customFormat="false" ht="15" hidden="false" customHeight="true" outlineLevel="0" collapsed="false">
      <c r="A26" s="12" t="s">
        <v>74</v>
      </c>
      <c r="B26" s="8" t="s">
        <v>75</v>
      </c>
      <c r="C26" s="12" t="s">
        <v>76</v>
      </c>
      <c r="D26" s="9" t="n">
        <v>211.07</v>
      </c>
      <c r="E26" s="9" t="n">
        <v>0</v>
      </c>
      <c r="F26" s="13" t="n">
        <v>0</v>
      </c>
      <c r="G26" s="13" t="n">
        <v>51.48</v>
      </c>
      <c r="H26" s="13" t="n">
        <v>0</v>
      </c>
      <c r="I26" s="13" t="n">
        <f aca="false">W$1</f>
        <v>4.1</v>
      </c>
      <c r="J26" s="14" t="n">
        <f aca="false">ROUND(G26*I26,2)</f>
        <v>211.07</v>
      </c>
      <c r="K26" s="14"/>
      <c r="L26" s="14"/>
      <c r="M26" s="14"/>
      <c r="N26" s="14" t="n">
        <f aca="false">ROUND((G26*I26)-K26-L26-M26,2)</f>
        <v>211.07</v>
      </c>
      <c r="O26" s="14" t="n">
        <v>211.07</v>
      </c>
      <c r="P26" s="11" t="n">
        <f aca="false">ROUND(IF(D26=0,IF((N26-E26-O26)&gt;0,(N26-E26-O26),0),IF((D26+N26-O26)&gt;0,(D26+N26-O26),0)),2)</f>
        <v>211.07</v>
      </c>
      <c r="Q26" s="11" t="n">
        <f aca="false">ROUND(IF(E26=0,IF((D26+N26-O26)&lt;0,ABS(D26+N26-O26),0),IF((N26-E26-O26)&lt;0,ABS(N26-E26-O26),0)),2)</f>
        <v>0</v>
      </c>
    </row>
    <row r="27" customFormat="false" ht="15" hidden="false" customHeight="true" outlineLevel="0" collapsed="false">
      <c r="A27" s="12" t="s">
        <v>77</v>
      </c>
      <c r="B27" s="8" t="s">
        <v>78</v>
      </c>
      <c r="C27" s="12" t="s">
        <v>79</v>
      </c>
      <c r="D27" s="9" t="n">
        <v>0</v>
      </c>
      <c r="E27" s="9" t="n">
        <v>570.86</v>
      </c>
      <c r="F27" s="13" t="n">
        <v>0</v>
      </c>
      <c r="G27" s="13" t="n">
        <v>35.1</v>
      </c>
      <c r="H27" s="13" t="n">
        <v>0</v>
      </c>
      <c r="I27" s="13" t="n">
        <f aca="false">W$1</f>
        <v>4.1</v>
      </c>
      <c r="J27" s="14" t="n">
        <f aca="false">ROUND(G27*I27,2)</f>
        <v>143.91</v>
      </c>
      <c r="K27" s="14"/>
      <c r="L27" s="14"/>
      <c r="M27" s="14"/>
      <c r="N27" s="14" t="n">
        <f aca="false">ROUND((G27*I27)-K27-L27-M27,2)</f>
        <v>143.91</v>
      </c>
      <c r="O27" s="14"/>
      <c r="P27" s="11" t="n">
        <f aca="false">ROUND(IF(D27=0,IF((N27-E27-O27)&gt;0,(N27-E27-O27),0),IF((D27+N27-O27)&gt;0,(D27+N27-O27),0)),2)</f>
        <v>0</v>
      </c>
      <c r="Q27" s="11" t="n">
        <f aca="false">ROUND(IF(E27=0,IF((D27+N27-O27)&lt;0,ABS(D27+N27-O27),0),IF((N27-E27-O27)&lt;0,ABS(N27-E27-O27),0)),2)</f>
        <v>426.95</v>
      </c>
    </row>
    <row r="28" customFormat="false" ht="15" hidden="false" customHeight="true" outlineLevel="0" collapsed="false">
      <c r="A28" s="12" t="s">
        <v>80</v>
      </c>
      <c r="B28" s="8" t="s">
        <v>81</v>
      </c>
      <c r="C28" s="12" t="s">
        <v>82</v>
      </c>
      <c r="D28" s="9" t="n">
        <v>0</v>
      </c>
      <c r="E28" s="9" t="n">
        <v>0</v>
      </c>
      <c r="F28" s="13" t="n">
        <v>0</v>
      </c>
      <c r="G28" s="13" t="n">
        <v>62.7</v>
      </c>
      <c r="H28" s="13" t="n">
        <v>0</v>
      </c>
      <c r="I28" s="13" t="n">
        <f aca="false">W$1</f>
        <v>4.1</v>
      </c>
      <c r="J28" s="14" t="n">
        <f aca="false">ROUND(G28*I28,2)</f>
        <v>257.07</v>
      </c>
      <c r="K28" s="14"/>
      <c r="L28" s="14"/>
      <c r="M28" s="14"/>
      <c r="N28" s="14" t="n">
        <f aca="false">ROUND((G28*I28)-K28-L28-M28,2)</f>
        <v>257.07</v>
      </c>
      <c r="O28" s="14"/>
      <c r="P28" s="11" t="n">
        <f aca="false">ROUND(IF(D28=0,IF((N28-E28-O28)&gt;0,(N28-E28-O28),0),IF((D28+N28-O28)&gt;0,(D28+N28-O28),0)),2)</f>
        <v>257.07</v>
      </c>
      <c r="Q28" s="11" t="n">
        <f aca="false">ROUND(IF(E28=0,IF((D28+N28-O28)&lt;0,ABS(D28+N28-O28),0),IF((N28-E28-O28)&lt;0,ABS(N28-E28-O28),0)),2)</f>
        <v>0</v>
      </c>
    </row>
    <row r="29" customFormat="false" ht="15" hidden="false" customHeight="true" outlineLevel="0" collapsed="false">
      <c r="A29" s="12" t="s">
        <v>83</v>
      </c>
      <c r="B29" s="8" t="s">
        <v>84</v>
      </c>
      <c r="C29" s="12" t="s">
        <v>85</v>
      </c>
      <c r="D29" s="9" t="n">
        <v>267.81</v>
      </c>
      <c r="E29" s="9" t="n">
        <v>0</v>
      </c>
      <c r="F29" s="13" t="n">
        <v>0</v>
      </c>
      <c r="G29" s="13" t="n">
        <v>65.32</v>
      </c>
      <c r="H29" s="13" t="n">
        <v>0</v>
      </c>
      <c r="I29" s="13" t="n">
        <f aca="false">W$1</f>
        <v>4.1</v>
      </c>
      <c r="J29" s="14" t="n">
        <f aca="false">ROUND(G29*I29,2)</f>
        <v>267.81</v>
      </c>
      <c r="K29" s="14"/>
      <c r="L29" s="14"/>
      <c r="M29" s="14"/>
      <c r="N29" s="14" t="n">
        <f aca="false">ROUND((G29*I29)-K29-L29-M29,2)</f>
        <v>267.81</v>
      </c>
      <c r="O29" s="14"/>
      <c r="P29" s="11" t="n">
        <f aca="false">ROUND(IF(D29=0,IF((N29-E29-O29)&gt;0,(N29-E29-O29),0),IF((D29+N29-O29)&gt;0,(D29+N29-O29),0)),2)</f>
        <v>535.62</v>
      </c>
      <c r="Q29" s="11" t="n">
        <f aca="false">ROUND(IF(E29=0,IF((D29+N29-O29)&lt;0,ABS(D29+N29-O29),0),IF((N29-E29-O29)&lt;0,ABS(N29-E29-O29),0)),2)</f>
        <v>0</v>
      </c>
    </row>
    <row r="30" customFormat="false" ht="15" hidden="false" customHeight="true" outlineLevel="0" collapsed="false">
      <c r="A30" s="12" t="s">
        <v>86</v>
      </c>
      <c r="B30" s="8" t="s">
        <v>87</v>
      </c>
      <c r="C30" s="12" t="s">
        <v>88</v>
      </c>
      <c r="D30" s="9" t="n">
        <v>0</v>
      </c>
      <c r="E30" s="9" t="n">
        <v>50.52</v>
      </c>
      <c r="F30" s="13" t="n">
        <v>0</v>
      </c>
      <c r="G30" s="13" t="n">
        <v>49.7</v>
      </c>
      <c r="H30" s="13" t="n">
        <v>0</v>
      </c>
      <c r="I30" s="13" t="n">
        <f aca="false">W$1</f>
        <v>4.1</v>
      </c>
      <c r="J30" s="14" t="n">
        <f aca="false">ROUND(G30*I30,2)</f>
        <v>203.77</v>
      </c>
      <c r="K30" s="14"/>
      <c r="L30" s="14"/>
      <c r="M30" s="14"/>
      <c r="N30" s="14" t="n">
        <f aca="false">ROUND((G30*I30)-K30-L30-M30,2)</f>
        <v>203.77</v>
      </c>
      <c r="O30" s="14"/>
      <c r="P30" s="11" t="n">
        <f aca="false">ROUND(IF(D30=0,IF((N30-E30-O30)&gt;0,(N30-E30-O30),0),IF((D30+N30-O30)&gt;0,(D30+N30-O30),0)),2)</f>
        <v>153.25</v>
      </c>
      <c r="Q30" s="11" t="n">
        <f aca="false">ROUND(IF(E30=0,IF((D30+N30-O30)&lt;0,ABS(D30+N30-O30),0),IF((N30-E30-O30)&lt;0,ABS(N30-E30-O30),0)),2)</f>
        <v>0</v>
      </c>
    </row>
    <row r="31" customFormat="false" ht="15" hidden="false" customHeight="true" outlineLevel="0" collapsed="false">
      <c r="A31" s="12" t="s">
        <v>89</v>
      </c>
      <c r="B31" s="8" t="s">
        <v>90</v>
      </c>
      <c r="C31" s="12" t="s">
        <v>91</v>
      </c>
      <c r="D31" s="9" t="n">
        <v>3680.76</v>
      </c>
      <c r="E31" s="9" t="n">
        <v>0</v>
      </c>
      <c r="F31" s="13" t="n">
        <v>0</v>
      </c>
      <c r="G31" s="13" t="n">
        <v>35.1</v>
      </c>
      <c r="H31" s="13" t="n">
        <v>0</v>
      </c>
      <c r="I31" s="13" t="n">
        <f aca="false">W$1</f>
        <v>4.1</v>
      </c>
      <c r="J31" s="14" t="n">
        <f aca="false">ROUND(G31*I31,2)</f>
        <v>143.91</v>
      </c>
      <c r="K31" s="14"/>
      <c r="L31" s="14"/>
      <c r="M31" s="14"/>
      <c r="N31" s="14" t="n">
        <f aca="false">ROUND((G31*I31)-K31-L31-M31,2)</f>
        <v>143.91</v>
      </c>
      <c r="O31" s="14"/>
      <c r="P31" s="11" t="n">
        <f aca="false">ROUND(IF(D31=0,IF((N31-E31-O31)&gt;0,(N31-E31-O31),0),IF((D31+N31-O31)&gt;0,(D31+N31-O31),0)),2)</f>
        <v>3824.67</v>
      </c>
      <c r="Q31" s="11" t="n">
        <f aca="false">ROUND(IF(E31=0,IF((D31+N31-O31)&lt;0,ABS(D31+N31-O31),0),IF((N31-E31-O31)&lt;0,ABS(N31-E31-O31),0)),2)</f>
        <v>0</v>
      </c>
    </row>
    <row r="32" customFormat="false" ht="15" hidden="false" customHeight="true" outlineLevel="0" collapsed="false">
      <c r="A32" s="12" t="s">
        <v>92</v>
      </c>
      <c r="B32" s="8" t="s">
        <v>93</v>
      </c>
      <c r="C32" s="12" t="s">
        <v>94</v>
      </c>
      <c r="D32" s="9" t="n">
        <v>255.42</v>
      </c>
      <c r="E32" s="9" t="n">
        <v>0</v>
      </c>
      <c r="F32" s="13" t="n">
        <v>0</v>
      </c>
      <c r="G32" s="13" t="n">
        <v>62.31</v>
      </c>
      <c r="H32" s="13" t="n">
        <v>0</v>
      </c>
      <c r="I32" s="13" t="n">
        <f aca="false">W$1</f>
        <v>4.1</v>
      </c>
      <c r="J32" s="14" t="n">
        <f aca="false">ROUND(G32*I32,2)</f>
        <v>255.47</v>
      </c>
      <c r="K32" s="14"/>
      <c r="L32" s="14"/>
      <c r="M32" s="14"/>
      <c r="N32" s="14" t="n">
        <f aca="false">ROUND((G32*I32)-K32-L32-M32,2)</f>
        <v>255.47</v>
      </c>
      <c r="O32" s="14"/>
      <c r="P32" s="11" t="n">
        <f aca="false">ROUND(IF(D32=0,IF((N32-E32-O32)&gt;0,(N32-E32-O32),0),IF((D32+N32-O32)&gt;0,(D32+N32-O32),0)),2)</f>
        <v>510.89</v>
      </c>
      <c r="Q32" s="11" t="n">
        <f aca="false">ROUND(IF(E32=0,IF((D32+N32-O32)&lt;0,ABS(D32+N32-O32),0),IF((N32-E32-O32)&lt;0,ABS(N32-E32-O32),0)),2)</f>
        <v>0</v>
      </c>
    </row>
    <row r="33" customFormat="false" ht="15" hidden="false" customHeight="true" outlineLevel="0" collapsed="false">
      <c r="A33" s="12" t="s">
        <v>95</v>
      </c>
      <c r="B33" s="8" t="s">
        <v>96</v>
      </c>
      <c r="C33" s="12" t="s">
        <v>97</v>
      </c>
      <c r="D33" s="9" t="n">
        <v>12387.24</v>
      </c>
      <c r="E33" s="9" t="n">
        <v>0</v>
      </c>
      <c r="F33" s="13" t="n">
        <v>0</v>
      </c>
      <c r="G33" s="13" t="n">
        <v>65.04</v>
      </c>
      <c r="H33" s="13" t="n">
        <v>0</v>
      </c>
      <c r="I33" s="13" t="n">
        <f aca="false">W$1</f>
        <v>4.1</v>
      </c>
      <c r="J33" s="14" t="n">
        <f aca="false">ROUND(G33*I33,2)</f>
        <v>266.66</v>
      </c>
      <c r="K33" s="14"/>
      <c r="L33" s="14"/>
      <c r="M33" s="14"/>
      <c r="N33" s="14" t="n">
        <f aca="false">ROUND((G33*I33)-K33-L33-M33,2)</f>
        <v>266.66</v>
      </c>
      <c r="O33" s="14"/>
      <c r="P33" s="11" t="n">
        <f aca="false">ROUND(IF(D33=0,IF((N33-E33-O33)&gt;0,(N33-E33-O33),0),IF((D33+N33-O33)&gt;0,(D33+N33-O33),0)),2)</f>
        <v>12653.9</v>
      </c>
      <c r="Q33" s="11" t="n">
        <f aca="false">ROUND(IF(E33=0,IF((D33+N33-O33)&lt;0,ABS(D33+N33-O33),0),IF((N33-E33-O33)&lt;0,ABS(N33-E33-O33),0)),2)</f>
        <v>0</v>
      </c>
    </row>
    <row r="34" customFormat="false" ht="15" hidden="false" customHeight="true" outlineLevel="0" collapsed="false">
      <c r="A34" s="12" t="s">
        <v>98</v>
      </c>
      <c r="B34" s="8" t="s">
        <v>99</v>
      </c>
      <c r="C34" s="12" t="s">
        <v>100</v>
      </c>
      <c r="D34" s="9" t="n">
        <v>408.36</v>
      </c>
      <c r="E34" s="9" t="n">
        <v>0</v>
      </c>
      <c r="F34" s="13" t="n">
        <v>0</v>
      </c>
      <c r="G34" s="13" t="n">
        <v>49.8</v>
      </c>
      <c r="H34" s="13" t="n">
        <v>0</v>
      </c>
      <c r="I34" s="13" t="n">
        <f aca="false">W$1</f>
        <v>4.1</v>
      </c>
      <c r="J34" s="14" t="n">
        <f aca="false">ROUND(G34*I34,2)</f>
        <v>204.18</v>
      </c>
      <c r="K34" s="14"/>
      <c r="L34" s="14"/>
      <c r="M34" s="14"/>
      <c r="N34" s="14" t="n">
        <f aca="false">ROUND((G34*I34)-K34-L34-M34,2)</f>
        <v>204.18</v>
      </c>
      <c r="O34" s="14"/>
      <c r="P34" s="11" t="n">
        <f aca="false">ROUND(IF(D34=0,IF((N34-E34-O34)&gt;0,(N34-E34-O34),0),IF((D34+N34-O34)&gt;0,(D34+N34-O34),0)),2)</f>
        <v>612.54</v>
      </c>
      <c r="Q34" s="11" t="n">
        <f aca="false">ROUND(IF(E34=0,IF((D34+N34-O34)&lt;0,ABS(D34+N34-O34),0),IF((N34-E34-O34)&lt;0,ABS(N34-E34-O34),0)),2)</f>
        <v>0</v>
      </c>
    </row>
    <row r="35" customFormat="false" ht="15" hidden="false" customHeight="true" outlineLevel="0" collapsed="false">
      <c r="A35" s="12" t="s">
        <v>101</v>
      </c>
      <c r="B35" s="8" t="s">
        <v>102</v>
      </c>
      <c r="C35" s="12" t="s">
        <v>103</v>
      </c>
      <c r="D35" s="9" t="n">
        <v>288.4</v>
      </c>
      <c r="E35" s="9" t="n">
        <v>0</v>
      </c>
      <c r="F35" s="13" t="n">
        <v>0</v>
      </c>
      <c r="G35" s="13" t="n">
        <v>35.17</v>
      </c>
      <c r="H35" s="13" t="n">
        <v>0</v>
      </c>
      <c r="I35" s="13" t="n">
        <f aca="false">W$1</f>
        <v>4.1</v>
      </c>
      <c r="J35" s="14" t="n">
        <f aca="false">ROUND(G35*I35,2)</f>
        <v>144.2</v>
      </c>
      <c r="K35" s="14"/>
      <c r="L35" s="14"/>
      <c r="M35" s="14"/>
      <c r="N35" s="14" t="n">
        <f aca="false">ROUND((G35*I35)-K35-L35-M35,2)</f>
        <v>144.2</v>
      </c>
      <c r="O35" s="14"/>
      <c r="P35" s="11" t="n">
        <f aca="false">ROUND(IF(D35=0,IF((N35-E35-O35)&gt;0,(N35-E35-O35),0),IF((D35+N35-O35)&gt;0,(D35+N35-O35),0)),2)</f>
        <v>432.6</v>
      </c>
      <c r="Q35" s="11" t="n">
        <f aca="false">ROUND(IF(E35=0,IF((D35+N35-O35)&lt;0,ABS(D35+N35-O35),0),IF((N35-E35-O35)&lt;0,ABS(N35-E35-O35),0)),2)</f>
        <v>0</v>
      </c>
    </row>
    <row r="36" customFormat="false" ht="15" hidden="false" customHeight="true" outlineLevel="0" collapsed="false">
      <c r="A36" s="12" t="s">
        <v>104</v>
      </c>
      <c r="B36" s="8" t="s">
        <v>105</v>
      </c>
      <c r="C36" s="12" t="s">
        <v>106</v>
      </c>
      <c r="D36" s="9" t="n">
        <v>0</v>
      </c>
      <c r="E36" s="9" t="n">
        <v>0</v>
      </c>
      <c r="F36" s="13" t="n">
        <v>0</v>
      </c>
      <c r="G36" s="13" t="n">
        <v>62.47</v>
      </c>
      <c r="H36" s="13" t="n">
        <v>0</v>
      </c>
      <c r="I36" s="13" t="n">
        <f aca="false">W$1</f>
        <v>4.1</v>
      </c>
      <c r="J36" s="14" t="n">
        <f aca="false">ROUND(G36*I36,2)</f>
        <v>256.13</v>
      </c>
      <c r="K36" s="14"/>
      <c r="L36" s="14"/>
      <c r="M36" s="14"/>
      <c r="N36" s="14" t="n">
        <f aca="false">ROUND((G36*I36)-K36-L36-M36,2)</f>
        <v>256.13</v>
      </c>
      <c r="O36" s="14"/>
      <c r="P36" s="11" t="n">
        <f aca="false">ROUND(IF(D36=0,IF((N36-E36-O36)&gt;0,(N36-E36-O36),0),IF((D36+N36-O36)&gt;0,(D36+N36-O36),0)),2)</f>
        <v>256.13</v>
      </c>
      <c r="Q36" s="11" t="n">
        <f aca="false">ROUND(IF(E36=0,IF((D36+N36-O36)&lt;0,ABS(D36+N36-O36),0),IF((N36-E36-O36)&lt;0,ABS(N36-E36-O36),0)),2)</f>
        <v>0</v>
      </c>
    </row>
    <row r="37" customFormat="false" ht="15" hidden="false" customHeight="true" outlineLevel="0" collapsed="false">
      <c r="A37" s="12" t="s">
        <v>107</v>
      </c>
      <c r="B37" s="8" t="s">
        <v>108</v>
      </c>
      <c r="C37" s="12" t="s">
        <v>109</v>
      </c>
      <c r="D37" s="9" t="n">
        <v>6983.52</v>
      </c>
      <c r="E37" s="9" t="n">
        <v>0</v>
      </c>
      <c r="F37" s="13" t="n">
        <v>0</v>
      </c>
      <c r="G37" s="13" t="n">
        <v>65.75</v>
      </c>
      <c r="H37" s="13" t="n">
        <v>0</v>
      </c>
      <c r="I37" s="13" t="n">
        <f aca="false">W$1</f>
        <v>4.1</v>
      </c>
      <c r="J37" s="14" t="n">
        <f aca="false">ROUND(G37*I37,2)</f>
        <v>269.58</v>
      </c>
      <c r="K37" s="14"/>
      <c r="L37" s="14"/>
      <c r="M37" s="14"/>
      <c r="N37" s="14" t="n">
        <f aca="false">ROUND((G37*I37)-K37-L37-M37,2)</f>
        <v>269.58</v>
      </c>
      <c r="O37" s="14"/>
      <c r="P37" s="11" t="n">
        <f aca="false">ROUND(IF(D37=0,IF((N37-E37-O37)&gt;0,(N37-E37-O37),0),IF((D37+N37-O37)&gt;0,(D37+N37-O37),0)),2)</f>
        <v>7253.1</v>
      </c>
      <c r="Q37" s="11" t="n">
        <f aca="false">ROUND(IF(E37=0,IF((D37+N37-O37)&lt;0,ABS(D37+N37-O37),0),IF((N37-E37-O37)&lt;0,ABS(N37-E37-O37),0)),2)</f>
        <v>0</v>
      </c>
    </row>
    <row r="38" customFormat="false" ht="15" hidden="false" customHeight="true" outlineLevel="0" collapsed="false">
      <c r="A38" s="12" t="s">
        <v>110</v>
      </c>
      <c r="B38" s="8" t="s">
        <v>111</v>
      </c>
      <c r="C38" s="12" t="s">
        <v>112</v>
      </c>
      <c r="D38" s="9" t="n">
        <v>9568.55</v>
      </c>
      <c r="E38" s="9" t="n">
        <v>0</v>
      </c>
      <c r="F38" s="13" t="n">
        <v>0</v>
      </c>
      <c r="G38" s="13" t="n">
        <v>49.7</v>
      </c>
      <c r="H38" s="13" t="n">
        <v>0</v>
      </c>
      <c r="I38" s="13" t="n">
        <f aca="false">W$1</f>
        <v>4.1</v>
      </c>
      <c r="J38" s="14" t="n">
        <f aca="false">ROUND(G38*I38,2)</f>
        <v>203.77</v>
      </c>
      <c r="K38" s="14"/>
      <c r="L38" s="14"/>
      <c r="M38" s="14"/>
      <c r="N38" s="14" t="n">
        <f aca="false">ROUND((G38*I38)-K38-L38-M38,2)</f>
        <v>203.77</v>
      </c>
      <c r="O38" s="14"/>
      <c r="P38" s="11" t="n">
        <f aca="false">ROUND(IF(D38=0,IF((N38-E38-O38)&gt;0,(N38-E38-O38),0),IF((D38+N38-O38)&gt;0,(D38+N38-O38),0)),2)</f>
        <v>9772.32</v>
      </c>
      <c r="Q38" s="11" t="n">
        <f aca="false">ROUND(IF(E38=0,IF((D38+N38-O38)&lt;0,ABS(D38+N38-O38),0),IF((N38-E38-O38)&lt;0,ABS(N38-E38-O38),0)),2)</f>
        <v>0</v>
      </c>
    </row>
    <row r="39" customFormat="false" ht="15" hidden="false" customHeight="true" outlineLevel="0" collapsed="false">
      <c r="A39" s="12" t="s">
        <v>113</v>
      </c>
      <c r="B39" s="8" t="s">
        <v>114</v>
      </c>
      <c r="C39" s="12" t="s">
        <v>115</v>
      </c>
      <c r="D39" s="9" t="n">
        <v>0</v>
      </c>
      <c r="E39" s="9" t="n">
        <v>0</v>
      </c>
      <c r="F39" s="13" t="n">
        <v>0</v>
      </c>
      <c r="G39" s="13" t="n">
        <v>35.1</v>
      </c>
      <c r="H39" s="13" t="n">
        <v>0</v>
      </c>
      <c r="I39" s="13" t="n">
        <f aca="false">W$1</f>
        <v>4.1</v>
      </c>
      <c r="J39" s="14" t="n">
        <f aca="false">ROUND(G39*I39,2)</f>
        <v>143.91</v>
      </c>
      <c r="K39" s="14"/>
      <c r="L39" s="14"/>
      <c r="M39" s="14"/>
      <c r="N39" s="14" t="n">
        <f aca="false">ROUND((G39*I39)-K39-L39-M39,2)</f>
        <v>143.91</v>
      </c>
      <c r="O39" s="14"/>
      <c r="P39" s="11" t="n">
        <f aca="false">ROUND(IF(D39=0,IF((N39-E39-O39)&gt;0,(N39-E39-O39),0),IF((D39+N39-O39)&gt;0,(D39+N39-O39),0)),2)</f>
        <v>143.91</v>
      </c>
      <c r="Q39" s="11" t="n">
        <f aca="false">ROUND(IF(E39=0,IF((D39+N39-O39)&lt;0,ABS(D39+N39-O39),0),IF((N39-E39-O39)&lt;0,ABS(N39-E39-O39),0)),2)</f>
        <v>0</v>
      </c>
    </row>
    <row r="40" customFormat="false" ht="15" hidden="false" customHeight="true" outlineLevel="0" collapsed="false">
      <c r="A40" s="12" t="s">
        <v>116</v>
      </c>
      <c r="B40" s="8" t="s">
        <v>117</v>
      </c>
      <c r="C40" s="12" t="s">
        <v>118</v>
      </c>
      <c r="D40" s="9" t="n">
        <v>918.11</v>
      </c>
      <c r="E40" s="9" t="n">
        <v>0</v>
      </c>
      <c r="F40" s="13" t="n">
        <v>0</v>
      </c>
      <c r="G40" s="13" t="n">
        <v>61.9</v>
      </c>
      <c r="H40" s="13" t="n">
        <v>0</v>
      </c>
      <c r="I40" s="13" t="n">
        <f aca="false">W$1</f>
        <v>4.1</v>
      </c>
      <c r="J40" s="14" t="n">
        <f aca="false">ROUND(G40*I40,2)</f>
        <v>253.79</v>
      </c>
      <c r="K40" s="14"/>
      <c r="L40" s="14"/>
      <c r="M40" s="14"/>
      <c r="N40" s="14" t="n">
        <f aca="false">ROUND((G40*I40)-K40-L40-M40,2)</f>
        <v>253.79</v>
      </c>
      <c r="O40" s="14"/>
      <c r="P40" s="11" t="n">
        <f aca="false">ROUND(IF(D40=0,IF((N40-E40-O40)&gt;0,(N40-E40-O40),0),IF((D40+N40-O40)&gt;0,(D40+N40-O40),0)),2)</f>
        <v>1171.9</v>
      </c>
      <c r="Q40" s="11" t="n">
        <f aca="false">ROUND(IF(E40=0,IF((D40+N40-O40)&lt;0,ABS(D40+N40-O40),0),IF((N40-E40-O40)&lt;0,ABS(N40-E40-O40),0)),2)</f>
        <v>0</v>
      </c>
    </row>
    <row r="41" customFormat="false" ht="15" hidden="false" customHeight="true" outlineLevel="0" collapsed="false">
      <c r="A41" s="12" t="s">
        <v>119</v>
      </c>
      <c r="B41" s="8" t="s">
        <v>120</v>
      </c>
      <c r="C41" s="12" t="s">
        <v>121</v>
      </c>
      <c r="D41" s="9" t="n">
        <v>9561.41</v>
      </c>
      <c r="E41" s="9" t="n">
        <v>0</v>
      </c>
      <c r="F41" s="13" t="n">
        <v>0</v>
      </c>
      <c r="G41" s="13" t="n">
        <v>65.53</v>
      </c>
      <c r="H41" s="13" t="n">
        <v>0</v>
      </c>
      <c r="I41" s="13" t="n">
        <f aca="false">W$1</f>
        <v>4.1</v>
      </c>
      <c r="J41" s="14" t="n">
        <f aca="false">ROUND(G41*I41,2)</f>
        <v>268.67</v>
      </c>
      <c r="K41" s="14"/>
      <c r="L41" s="14"/>
      <c r="M41" s="14"/>
      <c r="N41" s="14" t="n">
        <f aca="false">ROUND((G41*I41)-K41-L41-M41,2)</f>
        <v>268.67</v>
      </c>
      <c r="O41" s="14"/>
      <c r="P41" s="11" t="n">
        <f aca="false">ROUND(IF(D41=0,IF((N41-E41-O41)&gt;0,(N41-E41-O41),0),IF((D41+N41-O41)&gt;0,(D41+N41-O41),0)),2)</f>
        <v>9830.08</v>
      </c>
      <c r="Q41" s="11" t="n">
        <f aca="false">ROUND(IF(E41=0,IF((D41+N41-O41)&lt;0,ABS(D41+N41-O41),0),IF((N41-E41-O41)&lt;0,ABS(N41-E41-O41),0)),2)</f>
        <v>0</v>
      </c>
    </row>
    <row r="42" customFormat="false" ht="15" hidden="false" customHeight="true" outlineLevel="0" collapsed="false">
      <c r="A42" s="12" t="s">
        <v>122</v>
      </c>
      <c r="B42" s="8" t="s">
        <v>123</v>
      </c>
      <c r="C42" s="12" t="s">
        <v>124</v>
      </c>
      <c r="D42" s="9" t="n">
        <v>8261.46</v>
      </c>
      <c r="E42" s="9" t="n">
        <v>0</v>
      </c>
      <c r="F42" s="13" t="n">
        <v>0</v>
      </c>
      <c r="G42" s="13" t="n">
        <v>49.7</v>
      </c>
      <c r="H42" s="13" t="n">
        <v>0</v>
      </c>
      <c r="I42" s="13" t="n">
        <f aca="false">W$1</f>
        <v>4.1</v>
      </c>
      <c r="J42" s="14" t="n">
        <f aca="false">ROUND(G42*I42,2)</f>
        <v>203.77</v>
      </c>
      <c r="K42" s="14"/>
      <c r="L42" s="14"/>
      <c r="M42" s="14"/>
      <c r="N42" s="14" t="n">
        <f aca="false">ROUND((G42*I42)-K42-L42-M42,2)</f>
        <v>203.77</v>
      </c>
      <c r="O42" s="14"/>
      <c r="P42" s="11" t="n">
        <f aca="false">ROUND(IF(D42=0,IF((N42-E42-O42)&gt;0,(N42-E42-O42),0),IF((D42+N42-O42)&gt;0,(D42+N42-O42),0)),2)</f>
        <v>8465.23</v>
      </c>
      <c r="Q42" s="11" t="n">
        <f aca="false">ROUND(IF(E42=0,IF((D42+N42-O42)&lt;0,ABS(D42+N42-O42),0),IF((N42-E42-O42)&lt;0,ABS(N42-E42-O42),0)),2)</f>
        <v>0</v>
      </c>
    </row>
    <row r="43" customFormat="false" ht="15" hidden="false" customHeight="true" outlineLevel="0" collapsed="false">
      <c r="A43" s="12" t="s">
        <v>125</v>
      </c>
      <c r="B43" s="8" t="s">
        <v>126</v>
      </c>
      <c r="C43" s="12" t="s">
        <v>127</v>
      </c>
      <c r="D43" s="9" t="n">
        <v>1876.56</v>
      </c>
      <c r="E43" s="9" t="n">
        <v>0</v>
      </c>
      <c r="F43" s="13" t="n">
        <v>0</v>
      </c>
      <c r="G43" s="13" t="n">
        <v>35.1</v>
      </c>
      <c r="H43" s="13" t="n">
        <v>0</v>
      </c>
      <c r="I43" s="13" t="n">
        <f aca="false">W$1</f>
        <v>4.1</v>
      </c>
      <c r="J43" s="14" t="n">
        <f aca="false">ROUND(G43*I43,2)</f>
        <v>143.91</v>
      </c>
      <c r="K43" s="14"/>
      <c r="L43" s="14"/>
      <c r="M43" s="14"/>
      <c r="N43" s="14" t="n">
        <f aca="false">ROUND((G43*I43)-K43-L43-M43,2)</f>
        <v>143.91</v>
      </c>
      <c r="O43" s="14"/>
      <c r="P43" s="11" t="n">
        <f aca="false">ROUND(IF(D43=0,IF((N43-E43-O43)&gt;0,(N43-E43-O43),0),IF((D43+N43-O43)&gt;0,(D43+N43-O43),0)),2)</f>
        <v>2020.47</v>
      </c>
      <c r="Q43" s="11" t="n">
        <f aca="false">ROUND(IF(E43=0,IF((D43+N43-O43)&lt;0,ABS(D43+N43-O43),0),IF((N43-E43-O43)&lt;0,ABS(N43-E43-O43),0)),2)</f>
        <v>0</v>
      </c>
    </row>
    <row r="44" customFormat="false" ht="15" hidden="false" customHeight="true" outlineLevel="0" collapsed="false">
      <c r="A44" s="12" t="s">
        <v>128</v>
      </c>
      <c r="B44" s="8" t="s">
        <v>129</v>
      </c>
      <c r="C44" s="12" t="s">
        <v>130</v>
      </c>
      <c r="D44" s="9" t="n">
        <v>11221.39</v>
      </c>
      <c r="E44" s="9" t="n">
        <v>0</v>
      </c>
      <c r="F44" s="13" t="n">
        <v>0</v>
      </c>
      <c r="G44" s="13" t="n">
        <v>61.88</v>
      </c>
      <c r="H44" s="13" t="n">
        <v>0</v>
      </c>
      <c r="I44" s="13" t="n">
        <f aca="false">W$1</f>
        <v>4.1</v>
      </c>
      <c r="J44" s="14" t="n">
        <f aca="false">ROUND(G44*I44,2)</f>
        <v>253.71</v>
      </c>
      <c r="K44" s="14"/>
      <c r="L44" s="14"/>
      <c r="M44" s="14"/>
      <c r="N44" s="14" t="n">
        <f aca="false">ROUND((G44*I44)-K44-L44-M44,2)</f>
        <v>253.71</v>
      </c>
      <c r="O44" s="14"/>
      <c r="P44" s="11" t="n">
        <f aca="false">ROUND(IF(D44=0,IF((N44-E44-O44)&gt;0,(N44-E44-O44),0),IF((D44+N44-O44)&gt;0,(D44+N44-O44),0)),2)</f>
        <v>11475.1</v>
      </c>
      <c r="Q44" s="11" t="n">
        <f aca="false">ROUND(IF(E44=0,IF((D44+N44-O44)&lt;0,ABS(D44+N44-O44),0),IF((N44-E44-O44)&lt;0,ABS(N44-E44-O44),0)),2)</f>
        <v>0</v>
      </c>
    </row>
    <row r="45" customFormat="false" ht="15" hidden="false" customHeight="true" outlineLevel="0" collapsed="false">
      <c r="A45" s="12" t="s">
        <v>131</v>
      </c>
      <c r="B45" s="8" t="s">
        <v>132</v>
      </c>
      <c r="C45" s="12" t="s">
        <v>133</v>
      </c>
      <c r="D45" s="9" t="n">
        <v>0</v>
      </c>
      <c r="E45" s="9" t="n">
        <v>316.37</v>
      </c>
      <c r="F45" s="13" t="n">
        <v>0</v>
      </c>
      <c r="G45" s="13" t="n">
        <v>62.2</v>
      </c>
      <c r="H45" s="13" t="n">
        <v>0</v>
      </c>
      <c r="I45" s="13" t="n">
        <f aca="false">W$1</f>
        <v>4.1</v>
      </c>
      <c r="J45" s="14" t="n">
        <f aca="false">ROUND(G45*I45,2)</f>
        <v>255.02</v>
      </c>
      <c r="K45" s="14"/>
      <c r="L45" s="14"/>
      <c r="M45" s="14"/>
      <c r="N45" s="14" t="n">
        <f aca="false">ROUND((G45*I45)-K45-L45-M45,2)</f>
        <v>255.02</v>
      </c>
      <c r="O45" s="14"/>
      <c r="P45" s="11" t="n">
        <f aca="false">ROUND(IF(D45=0,IF((N45-E45-O45)&gt;0,(N45-E45-O45),0),IF((D45+N45-O45)&gt;0,(D45+N45-O45),0)),2)</f>
        <v>0</v>
      </c>
      <c r="Q45" s="11" t="n">
        <f aca="false">ROUND(IF(E45=0,IF((D45+N45-O45)&lt;0,ABS(D45+N45-O45),0),IF((N45-E45-O45)&lt;0,ABS(N45-E45-O45),0)),2)</f>
        <v>61.35</v>
      </c>
    </row>
    <row r="46" customFormat="false" ht="15" hidden="false" customHeight="true" outlineLevel="0" collapsed="false">
      <c r="A46" s="12" t="s">
        <v>134</v>
      </c>
      <c r="B46" s="8" t="s">
        <v>135</v>
      </c>
      <c r="C46" s="12" t="s">
        <v>136</v>
      </c>
      <c r="D46" s="9" t="n">
        <v>143.09</v>
      </c>
      <c r="E46" s="9" t="n">
        <v>0</v>
      </c>
      <c r="F46" s="13" t="n">
        <v>0</v>
      </c>
      <c r="G46" s="13" t="n">
        <v>34.9</v>
      </c>
      <c r="H46" s="13" t="n">
        <v>0</v>
      </c>
      <c r="I46" s="13" t="n">
        <f aca="false">W$1</f>
        <v>4.1</v>
      </c>
      <c r="J46" s="14" t="n">
        <f aca="false">ROUND(G46*I46,2)</f>
        <v>143.09</v>
      </c>
      <c r="K46" s="14"/>
      <c r="L46" s="14"/>
      <c r="M46" s="14"/>
      <c r="N46" s="14" t="n">
        <f aca="false">ROUND((G46*I46)-K46-L46-M46,2)</f>
        <v>143.09</v>
      </c>
      <c r="O46" s="14" t="n">
        <v>500</v>
      </c>
      <c r="P46" s="11" t="n">
        <f aca="false">ROUND(IF(D46=0,IF((N46-E46-O46)&gt;0,(N46-E46-O46),0),IF((D46+N46-O46)&gt;0,(D46+N46-O46),0)),2)</f>
        <v>0</v>
      </c>
      <c r="Q46" s="11" t="n">
        <f aca="false">ROUND(IF(E46=0,IF((D46+N46-O46)&lt;0,ABS(D46+N46-O46),0),IF((N46-E46-O46)&lt;0,ABS(N46-E46-O46),0)),2)</f>
        <v>213.82</v>
      </c>
    </row>
    <row r="47" customFormat="false" ht="15" hidden="false" customHeight="true" outlineLevel="0" collapsed="false">
      <c r="A47" s="12" t="s">
        <v>137</v>
      </c>
      <c r="B47" s="8" t="s">
        <v>138</v>
      </c>
      <c r="C47" s="12" t="s">
        <v>139</v>
      </c>
      <c r="D47" s="9" t="n">
        <v>200.08</v>
      </c>
      <c r="E47" s="9" t="n">
        <v>0</v>
      </c>
      <c r="F47" s="13" t="n">
        <v>0</v>
      </c>
      <c r="G47" s="13" t="n">
        <v>48.8</v>
      </c>
      <c r="H47" s="13" t="n">
        <v>0</v>
      </c>
      <c r="I47" s="13" t="n">
        <f aca="false">W$1</f>
        <v>4.1</v>
      </c>
      <c r="J47" s="14" t="n">
        <f aca="false">ROUND(G47*I47,2)</f>
        <v>200.08</v>
      </c>
      <c r="K47" s="14"/>
      <c r="L47" s="14"/>
      <c r="M47" s="14"/>
      <c r="N47" s="14" t="n">
        <f aca="false">ROUND((G47*I47)-K47-L47-M47,2)</f>
        <v>200.08</v>
      </c>
      <c r="O47" s="14" t="n">
        <v>200.08</v>
      </c>
      <c r="P47" s="11" t="n">
        <f aca="false">ROUND(IF(D47=0,IF((N47-E47-O47)&gt;0,(N47-E47-O47),0),IF((D47+N47-O47)&gt;0,(D47+N47-O47),0)),2)</f>
        <v>200.08</v>
      </c>
      <c r="Q47" s="11" t="n">
        <f aca="false">ROUND(IF(E47=0,IF((D47+N47-O47)&lt;0,ABS(D47+N47-O47),0),IF((N47-E47-O47)&lt;0,ABS(N47-E47-O47),0)),2)</f>
        <v>0</v>
      </c>
    </row>
    <row r="48" customFormat="false" ht="15" hidden="false" customHeight="true" outlineLevel="0" collapsed="false">
      <c r="A48" s="12" t="s">
        <v>140</v>
      </c>
      <c r="B48" s="8" t="s">
        <v>141</v>
      </c>
      <c r="C48" s="12" t="s">
        <v>142</v>
      </c>
      <c r="D48" s="9" t="n">
        <v>234.93</v>
      </c>
      <c r="E48" s="9" t="n">
        <v>0</v>
      </c>
      <c r="F48" s="13" t="n">
        <v>0</v>
      </c>
      <c r="G48" s="13" t="n">
        <v>57.3</v>
      </c>
      <c r="H48" s="13" t="n">
        <v>0</v>
      </c>
      <c r="I48" s="13" t="n">
        <f aca="false">W$1</f>
        <v>4.1</v>
      </c>
      <c r="J48" s="14" t="n">
        <f aca="false">ROUND(G48*I48,2)</f>
        <v>234.93</v>
      </c>
      <c r="K48" s="14"/>
      <c r="L48" s="14"/>
      <c r="M48" s="14"/>
      <c r="N48" s="14" t="n">
        <f aca="false">ROUND((G48*I48)-K48-L48-M48,2)</f>
        <v>234.93</v>
      </c>
      <c r="O48" s="14" t="n">
        <v>234.93</v>
      </c>
      <c r="P48" s="11" t="n">
        <f aca="false">ROUND(IF(D48=0,IF((N48-E48-O48)&gt;0,(N48-E48-O48),0),IF((D48+N48-O48)&gt;0,(D48+N48-O48),0)),2)</f>
        <v>234.93</v>
      </c>
      <c r="Q48" s="11" t="n">
        <f aca="false">ROUND(IF(E48=0,IF((D48+N48-O48)&lt;0,ABS(D48+N48-O48),0),IF((N48-E48-O48)&lt;0,ABS(N48-E48-O48),0)),2)</f>
        <v>0</v>
      </c>
    </row>
    <row r="49" customFormat="false" ht="15" hidden="false" customHeight="true" outlineLevel="0" collapsed="false">
      <c r="A49" s="12" t="s">
        <v>143</v>
      </c>
      <c r="B49" s="8" t="s">
        <v>144</v>
      </c>
      <c r="C49" s="12" t="s">
        <v>145</v>
      </c>
      <c r="D49" s="9" t="n">
        <v>3112.65</v>
      </c>
      <c r="E49" s="9" t="n">
        <v>0</v>
      </c>
      <c r="F49" s="13" t="n">
        <v>0</v>
      </c>
      <c r="G49" s="13" t="n">
        <v>63.3</v>
      </c>
      <c r="H49" s="13" t="n">
        <v>0</v>
      </c>
      <c r="I49" s="13" t="n">
        <f aca="false">W$1</f>
        <v>4.1</v>
      </c>
      <c r="J49" s="14" t="n">
        <f aca="false">ROUND(G49*I49,2)</f>
        <v>259.53</v>
      </c>
      <c r="K49" s="14"/>
      <c r="L49" s="14"/>
      <c r="M49" s="14"/>
      <c r="N49" s="14" t="n">
        <f aca="false">ROUND((G49*I49)-K49-L49-M49,2)</f>
        <v>259.53</v>
      </c>
      <c r="O49" s="14"/>
      <c r="P49" s="11" t="n">
        <f aca="false">ROUND(IF(D49=0,IF((N49-E49-O49)&gt;0,(N49-E49-O49),0),IF((D49+N49-O49)&gt;0,(D49+N49-O49),0)),2)</f>
        <v>3372.18</v>
      </c>
      <c r="Q49" s="11" t="n">
        <f aca="false">ROUND(IF(E49=0,IF((D49+N49-O49)&lt;0,ABS(D49+N49-O49),0),IF((N49-E49-O49)&lt;0,ABS(N49-E49-O49),0)),2)</f>
        <v>0</v>
      </c>
    </row>
    <row r="50" customFormat="false" ht="15" hidden="false" customHeight="true" outlineLevel="0" collapsed="false">
      <c r="A50" s="12" t="s">
        <v>146</v>
      </c>
      <c r="B50" s="8" t="s">
        <v>147</v>
      </c>
      <c r="C50" s="12" t="s">
        <v>148</v>
      </c>
      <c r="D50" s="9" t="n">
        <v>146.29</v>
      </c>
      <c r="E50" s="9" t="n">
        <v>0</v>
      </c>
      <c r="F50" s="13" t="n">
        <v>0</v>
      </c>
      <c r="G50" s="13" t="n">
        <v>35.68</v>
      </c>
      <c r="H50" s="13" t="n">
        <v>0</v>
      </c>
      <c r="I50" s="13" t="n">
        <f aca="false">W$1</f>
        <v>4.1</v>
      </c>
      <c r="J50" s="14" t="n">
        <f aca="false">ROUND(G50*I50,2)</f>
        <v>146.29</v>
      </c>
      <c r="K50" s="14"/>
      <c r="L50" s="14"/>
      <c r="M50" s="14"/>
      <c r="N50" s="14" t="n">
        <f aca="false">ROUND((G50*I50)-K50-L50-M50,2)</f>
        <v>146.29</v>
      </c>
      <c r="O50" s="14" t="n">
        <v>146.29</v>
      </c>
      <c r="P50" s="11" t="n">
        <f aca="false">ROUND(IF(D50=0,IF((N50-E50-O50)&gt;0,(N50-E50-O50),0),IF((D50+N50-O50)&gt;0,(D50+N50-O50),0)),2)</f>
        <v>146.29</v>
      </c>
      <c r="Q50" s="11" t="n">
        <f aca="false">ROUND(IF(E50=0,IF((D50+N50-O50)&lt;0,ABS(D50+N50-O50),0),IF((N50-E50-O50)&lt;0,ABS(N50-E50-O50),0)),2)</f>
        <v>0</v>
      </c>
    </row>
    <row r="51" customFormat="false" ht="15" hidden="false" customHeight="true" outlineLevel="0" collapsed="false">
      <c r="A51" s="12" t="s">
        <v>149</v>
      </c>
      <c r="B51" s="8" t="s">
        <v>150</v>
      </c>
      <c r="C51" s="12" t="s">
        <v>151</v>
      </c>
      <c r="D51" s="9" t="n">
        <v>2820.4</v>
      </c>
      <c r="E51" s="9" t="n">
        <v>0</v>
      </c>
      <c r="F51" s="13" t="n">
        <v>0</v>
      </c>
      <c r="G51" s="13" t="n">
        <v>49.8</v>
      </c>
      <c r="H51" s="13" t="n">
        <v>0</v>
      </c>
      <c r="I51" s="13" t="n">
        <f aca="false">W$1</f>
        <v>4.1</v>
      </c>
      <c r="J51" s="14" t="n">
        <f aca="false">ROUND(G51*I51,2)</f>
        <v>204.18</v>
      </c>
      <c r="K51" s="14"/>
      <c r="L51" s="14"/>
      <c r="M51" s="14"/>
      <c r="N51" s="14" t="n">
        <f aca="false">ROUND((G51*I51)-K51-L51-M51,2)</f>
        <v>204.18</v>
      </c>
      <c r="O51" s="14"/>
      <c r="P51" s="11" t="n">
        <f aca="false">ROUND(IF(D51=0,IF((N51-E51-O51)&gt;0,(N51-E51-O51),0),IF((D51+N51-O51)&gt;0,(D51+N51-O51),0)),2)</f>
        <v>3024.58</v>
      </c>
      <c r="Q51" s="11" t="n">
        <f aca="false">ROUND(IF(E51=0,IF((D51+N51-O51)&lt;0,ABS(D51+N51-O51),0),IF((N51-E51-O51)&lt;0,ABS(N51-E51-O51),0)),2)</f>
        <v>0</v>
      </c>
    </row>
    <row r="52" customFormat="false" ht="15" hidden="false" customHeight="true" outlineLevel="0" collapsed="false">
      <c r="A52" s="12" t="s">
        <v>152</v>
      </c>
      <c r="B52" s="8" t="s">
        <v>153</v>
      </c>
      <c r="C52" s="12" t="s">
        <v>154</v>
      </c>
      <c r="D52" s="9" t="n">
        <v>5725.47</v>
      </c>
      <c r="E52" s="9" t="n">
        <v>0</v>
      </c>
      <c r="F52" s="13" t="n">
        <v>0</v>
      </c>
      <c r="G52" s="13" t="n">
        <v>65.9</v>
      </c>
      <c r="H52" s="13" t="n">
        <v>0</v>
      </c>
      <c r="I52" s="13" t="n">
        <f aca="false">W$1</f>
        <v>4.1</v>
      </c>
      <c r="J52" s="14" t="n">
        <f aca="false">ROUND(G52*I52,2)</f>
        <v>270.19</v>
      </c>
      <c r="K52" s="14"/>
      <c r="L52" s="14"/>
      <c r="M52" s="14"/>
      <c r="N52" s="14" t="n">
        <f aca="false">ROUND((G52*I52)-K52-L52-M52,2)</f>
        <v>270.19</v>
      </c>
      <c r="O52" s="14"/>
      <c r="P52" s="11" t="n">
        <f aca="false">ROUND(IF(D52=0,IF((N52-E52-O52)&gt;0,(N52-E52-O52),0),IF((D52+N52-O52)&gt;0,(D52+N52-O52),0)),2)</f>
        <v>5995.66</v>
      </c>
      <c r="Q52" s="11" t="n">
        <f aca="false">ROUND(IF(E52=0,IF((D52+N52-O52)&lt;0,ABS(D52+N52-O52),0),IF((N52-E52-O52)&lt;0,ABS(N52-E52-O52),0)),2)</f>
        <v>0</v>
      </c>
    </row>
    <row r="53" customFormat="false" ht="15" hidden="false" customHeight="true" outlineLevel="0" collapsed="false">
      <c r="A53" s="12" t="s">
        <v>155</v>
      </c>
      <c r="B53" s="8" t="s">
        <v>156</v>
      </c>
      <c r="C53" s="12" t="s">
        <v>157</v>
      </c>
      <c r="D53" s="9" t="n">
        <v>254.2</v>
      </c>
      <c r="E53" s="9" t="n">
        <v>0</v>
      </c>
      <c r="F53" s="13" t="n">
        <v>0</v>
      </c>
      <c r="G53" s="13" t="n">
        <v>62</v>
      </c>
      <c r="H53" s="13" t="n">
        <v>0</v>
      </c>
      <c r="I53" s="13" t="n">
        <f aca="false">W$1</f>
        <v>4.1</v>
      </c>
      <c r="J53" s="14" t="n">
        <f aca="false">ROUND(G53*I53,2)</f>
        <v>254.2</v>
      </c>
      <c r="K53" s="14"/>
      <c r="L53" s="14"/>
      <c r="M53" s="14"/>
      <c r="N53" s="14" t="n">
        <f aca="false">ROUND((G53*I53)-K53-L53-M53,2)</f>
        <v>254.2</v>
      </c>
      <c r="O53" s="14" t="n">
        <v>254.2</v>
      </c>
      <c r="P53" s="11" t="n">
        <f aca="false">ROUND(IF(D53=0,IF((N53-E53-O53)&gt;0,(N53-E53-O53),0),IF((D53+N53-O53)&gt;0,(D53+N53-O53),0)),2)</f>
        <v>254.2</v>
      </c>
      <c r="Q53" s="11" t="n">
        <f aca="false">ROUND(IF(E53=0,IF((D53+N53-O53)&lt;0,ABS(D53+N53-O53),0),IF((N53-E53-O53)&lt;0,ABS(N53-E53-O53),0)),2)</f>
        <v>0</v>
      </c>
    </row>
    <row r="54" customFormat="false" ht="15" hidden="false" customHeight="true" outlineLevel="0" collapsed="false">
      <c r="A54" s="12" t="s">
        <v>158</v>
      </c>
      <c r="B54" s="8" t="s">
        <v>159</v>
      </c>
      <c r="C54" s="12" t="s">
        <v>160</v>
      </c>
      <c r="D54" s="9" t="n">
        <v>143.91</v>
      </c>
      <c r="E54" s="9" t="n">
        <v>0</v>
      </c>
      <c r="F54" s="13" t="n">
        <v>0</v>
      </c>
      <c r="G54" s="13" t="n">
        <v>35.1</v>
      </c>
      <c r="H54" s="13" t="n">
        <v>0</v>
      </c>
      <c r="I54" s="13" t="n">
        <f aca="false">W$1</f>
        <v>4.1</v>
      </c>
      <c r="J54" s="14" t="n">
        <f aca="false">ROUND(G54*I54,2)</f>
        <v>143.91</v>
      </c>
      <c r="K54" s="14"/>
      <c r="L54" s="14"/>
      <c r="M54" s="14"/>
      <c r="N54" s="14" t="n">
        <f aca="false">ROUND((G54*I54)-K54-L54-M54,2)</f>
        <v>143.91</v>
      </c>
      <c r="O54" s="14" t="n">
        <v>143.91</v>
      </c>
      <c r="P54" s="11" t="n">
        <f aca="false">ROUND(IF(D54=0,IF((N54-E54-O54)&gt;0,(N54-E54-O54),0),IF((D54+N54-O54)&gt;0,(D54+N54-O54),0)),2)</f>
        <v>143.91</v>
      </c>
      <c r="Q54" s="11" t="n">
        <f aca="false">ROUND(IF(E54=0,IF((D54+N54-O54)&lt;0,ABS(D54+N54-O54),0),IF((N54-E54-O54)&lt;0,ABS(N54-E54-O54),0)),2)</f>
        <v>0</v>
      </c>
    </row>
    <row r="55" customFormat="false" ht="15" hidden="false" customHeight="true" outlineLevel="0" collapsed="false">
      <c r="A55" s="12" t="s">
        <v>161</v>
      </c>
      <c r="B55" s="8" t="s">
        <v>162</v>
      </c>
      <c r="C55" s="12" t="s">
        <v>163</v>
      </c>
      <c r="D55" s="9" t="n">
        <v>203.36</v>
      </c>
      <c r="E55" s="9" t="n">
        <v>0</v>
      </c>
      <c r="F55" s="13" t="n">
        <v>0</v>
      </c>
      <c r="G55" s="13" t="n">
        <v>49.6</v>
      </c>
      <c r="H55" s="13" t="n">
        <v>0</v>
      </c>
      <c r="I55" s="13" t="n">
        <f aca="false">W$1</f>
        <v>4.1</v>
      </c>
      <c r="J55" s="14" t="n">
        <f aca="false">ROUND(G55*I55,2)</f>
        <v>203.36</v>
      </c>
      <c r="K55" s="14"/>
      <c r="L55" s="14"/>
      <c r="M55" s="14"/>
      <c r="N55" s="14" t="n">
        <f aca="false">ROUND((G55*I55)-K55-L55-M55,2)</f>
        <v>203.36</v>
      </c>
      <c r="O55" s="14" t="n">
        <v>203.36</v>
      </c>
      <c r="P55" s="11" t="n">
        <f aca="false">ROUND(IF(D55=0,IF((N55-E55-O55)&gt;0,(N55-E55-O55),0),IF((D55+N55-O55)&gt;0,(D55+N55-O55),0)),2)</f>
        <v>203.36</v>
      </c>
      <c r="Q55" s="11" t="n">
        <f aca="false">ROUND(IF(E55=0,IF((D55+N55-O55)&lt;0,ABS(D55+N55-O55),0),IF((N55-E55-O55)&lt;0,ABS(N55-E55-O55),0)),2)</f>
        <v>0</v>
      </c>
    </row>
    <row r="56" customFormat="false" ht="15" hidden="false" customHeight="true" outlineLevel="0" collapsed="false">
      <c r="A56" s="12" t="s">
        <v>164</v>
      </c>
      <c r="B56" s="8" t="s">
        <v>165</v>
      </c>
      <c r="C56" s="12" t="s">
        <v>166</v>
      </c>
      <c r="D56" s="9" t="n">
        <v>0</v>
      </c>
      <c r="E56" s="9" t="n">
        <v>0</v>
      </c>
      <c r="F56" s="13" t="n">
        <v>0</v>
      </c>
      <c r="G56" s="13" t="n">
        <v>66.44</v>
      </c>
      <c r="H56" s="13" t="n">
        <v>0</v>
      </c>
      <c r="I56" s="13" t="n">
        <f aca="false">W$1</f>
        <v>4.1</v>
      </c>
      <c r="J56" s="14" t="n">
        <f aca="false">ROUND(G56*I56,2)</f>
        <v>272.4</v>
      </c>
      <c r="K56" s="14"/>
      <c r="L56" s="14"/>
      <c r="M56" s="14"/>
      <c r="N56" s="14" t="n">
        <f aca="false">ROUND((G56*I56)-K56-L56-M56,2)</f>
        <v>272.4</v>
      </c>
      <c r="O56" s="14"/>
      <c r="P56" s="11" t="n">
        <f aca="false">ROUND(IF(D56=0,IF((N56-E56-O56)&gt;0,(N56-E56-O56),0),IF((D56+N56-O56)&gt;0,(D56+N56-O56),0)),2)</f>
        <v>272.4</v>
      </c>
      <c r="Q56" s="11" t="n">
        <f aca="false">ROUND(IF(E56=0,IF((D56+N56-O56)&lt;0,ABS(D56+N56-O56),0),IF((N56-E56-O56)&lt;0,ABS(N56-E56-O56),0)),2)</f>
        <v>0</v>
      </c>
    </row>
    <row r="57" customFormat="false" ht="15" hidden="false" customHeight="true" outlineLevel="0" collapsed="false">
      <c r="A57" s="12" t="s">
        <v>167</v>
      </c>
      <c r="B57" s="8" t="s">
        <v>168</v>
      </c>
      <c r="C57" s="12" t="s">
        <v>169</v>
      </c>
      <c r="D57" s="9" t="n">
        <v>426.23</v>
      </c>
      <c r="E57" s="9" t="n">
        <v>0</v>
      </c>
      <c r="F57" s="13" t="n">
        <v>0</v>
      </c>
      <c r="G57" s="13" t="n">
        <v>62.1</v>
      </c>
      <c r="H57" s="13" t="n">
        <v>0</v>
      </c>
      <c r="I57" s="13" t="n">
        <f aca="false">W$1</f>
        <v>4.1</v>
      </c>
      <c r="J57" s="14" t="n">
        <f aca="false">ROUND(G57*I57,2)</f>
        <v>254.61</v>
      </c>
      <c r="K57" s="14"/>
      <c r="L57" s="14"/>
      <c r="M57" s="14"/>
      <c r="N57" s="14" t="n">
        <f aca="false">ROUND((G57*I57)-K57-L57-M57,2)</f>
        <v>254.61</v>
      </c>
      <c r="O57" s="14"/>
      <c r="P57" s="11" t="n">
        <f aca="false">ROUND(IF(D57=0,IF((N57-E57-O57)&gt;0,(N57-E57-O57),0),IF((D57+N57-O57)&gt;0,(D57+N57-O57),0)),2)</f>
        <v>680.84</v>
      </c>
      <c r="Q57" s="11" t="n">
        <f aca="false">ROUND(IF(E57=0,IF((D57+N57-O57)&lt;0,ABS(D57+N57-O57),0),IF((N57-E57-O57)&lt;0,ABS(N57-E57-O57),0)),2)</f>
        <v>0</v>
      </c>
    </row>
    <row r="58" customFormat="false" ht="15" hidden="false" customHeight="true" outlineLevel="0" collapsed="false">
      <c r="A58" s="12" t="s">
        <v>170</v>
      </c>
      <c r="B58" s="8" t="s">
        <v>171</v>
      </c>
      <c r="C58" s="12" t="s">
        <v>172</v>
      </c>
      <c r="D58" s="9" t="n">
        <v>1706.17</v>
      </c>
      <c r="E58" s="9" t="n">
        <v>0</v>
      </c>
      <c r="F58" s="13" t="n">
        <v>0</v>
      </c>
      <c r="G58" s="13" t="n">
        <v>34.9</v>
      </c>
      <c r="H58" s="13" t="n">
        <v>0</v>
      </c>
      <c r="I58" s="13" t="n">
        <f aca="false">W$1</f>
        <v>4.1</v>
      </c>
      <c r="J58" s="14" t="n">
        <f aca="false">ROUND(G58*I58,2)</f>
        <v>143.09</v>
      </c>
      <c r="K58" s="14"/>
      <c r="L58" s="14"/>
      <c r="M58" s="14"/>
      <c r="N58" s="14" t="n">
        <f aca="false">ROUND((G58*I58)-K58-L58-M58,2)</f>
        <v>143.09</v>
      </c>
      <c r="O58" s="14" t="n">
        <v>493.17</v>
      </c>
      <c r="P58" s="11" t="n">
        <f aca="false">ROUND(IF(D58=0,IF((N58-E58-O58)&gt;0,(N58-E58-O58),0),IF((D58+N58-O58)&gt;0,(D58+N58-O58),0)),2)</f>
        <v>1356.09</v>
      </c>
      <c r="Q58" s="11" t="n">
        <f aca="false">ROUND(IF(E58=0,IF((D58+N58-O58)&lt;0,ABS(D58+N58-O58),0),IF((N58-E58-O58)&lt;0,ABS(N58-E58-O58),0)),2)</f>
        <v>0</v>
      </c>
    </row>
    <row r="59" customFormat="false" ht="15" hidden="false" customHeight="true" outlineLevel="0" collapsed="false">
      <c r="A59" s="12" t="s">
        <v>173</v>
      </c>
      <c r="B59" s="8" t="s">
        <v>174</v>
      </c>
      <c r="C59" s="12" t="s">
        <v>175</v>
      </c>
      <c r="D59" s="9" t="n">
        <v>3608.3</v>
      </c>
      <c r="E59" s="9" t="n">
        <v>0</v>
      </c>
      <c r="F59" s="13" t="n">
        <v>0</v>
      </c>
      <c r="G59" s="13" t="n">
        <v>49.22</v>
      </c>
      <c r="H59" s="13" t="n">
        <v>0</v>
      </c>
      <c r="I59" s="13" t="n">
        <f aca="false">W$1</f>
        <v>4.1</v>
      </c>
      <c r="J59" s="14" t="n">
        <f aca="false">ROUND(G59*I59,2)</f>
        <v>201.8</v>
      </c>
      <c r="K59" s="14"/>
      <c r="L59" s="14"/>
      <c r="M59" s="14"/>
      <c r="N59" s="14" t="n">
        <f aca="false">ROUND((G59*I59)-K59-L59-M59,2)</f>
        <v>201.8</v>
      </c>
      <c r="O59" s="14" t="n">
        <v>268.55</v>
      </c>
      <c r="P59" s="11" t="n">
        <f aca="false">ROUND(IF(D59=0,IF((N59-E59-O59)&gt;0,(N59-E59-O59),0),IF((D59+N59-O59)&gt;0,(D59+N59-O59),0)),2)</f>
        <v>3541.55</v>
      </c>
      <c r="Q59" s="11" t="n">
        <f aca="false">ROUND(IF(E59=0,IF((D59+N59-O59)&lt;0,ABS(D59+N59-O59),0),IF((N59-E59-O59)&lt;0,ABS(N59-E59-O59),0)),2)</f>
        <v>0</v>
      </c>
    </row>
    <row r="60" customFormat="false" ht="15" hidden="false" customHeight="true" outlineLevel="0" collapsed="false">
      <c r="A60" s="12" t="s">
        <v>176</v>
      </c>
      <c r="B60" s="8" t="s">
        <v>177</v>
      </c>
      <c r="C60" s="12" t="s">
        <v>178</v>
      </c>
      <c r="D60" s="9" t="n">
        <v>9169.11</v>
      </c>
      <c r="E60" s="9" t="n">
        <v>0</v>
      </c>
      <c r="F60" s="13" t="n">
        <v>0</v>
      </c>
      <c r="G60" s="13" t="n">
        <v>65.5</v>
      </c>
      <c r="H60" s="13" t="n">
        <v>0</v>
      </c>
      <c r="I60" s="13" t="n">
        <f aca="false">W$1</f>
        <v>4.1</v>
      </c>
      <c r="J60" s="14" t="n">
        <f aca="false">ROUND(G60*I60,2)</f>
        <v>268.55</v>
      </c>
      <c r="K60" s="14"/>
      <c r="L60" s="14"/>
      <c r="M60" s="14"/>
      <c r="N60" s="14" t="n">
        <f aca="false">ROUND((G60*I60)-K60-L60-M60,2)</f>
        <v>268.55</v>
      </c>
      <c r="O60" s="14" t="n">
        <v>300</v>
      </c>
      <c r="P60" s="11" t="n">
        <f aca="false">ROUND(IF(D60=0,IF((N60-E60-O60)&gt;0,(N60-E60-O60),0),IF((D60+N60-O60)&gt;0,(D60+N60-O60),0)),2)</f>
        <v>9137.66</v>
      </c>
      <c r="Q60" s="11" t="n">
        <f aca="false">ROUND(IF(E60=0,IF((D60+N60-O60)&lt;0,ABS(D60+N60-O60),0),IF((N60-E60-O60)&lt;0,ABS(N60-E60-O60),0)),2)</f>
        <v>0</v>
      </c>
    </row>
    <row r="61" customFormat="false" ht="15" hidden="false" customHeight="true" outlineLevel="0" collapsed="false">
      <c r="A61" s="12" t="s">
        <v>179</v>
      </c>
      <c r="B61" s="8" t="s">
        <v>180</v>
      </c>
      <c r="C61" s="12" t="s">
        <v>181</v>
      </c>
      <c r="D61" s="9" t="n">
        <v>154.56</v>
      </c>
      <c r="E61" s="9" t="n">
        <v>0</v>
      </c>
      <c r="F61" s="13" t="n">
        <v>0</v>
      </c>
      <c r="G61" s="13" t="n">
        <v>62.64</v>
      </c>
      <c r="H61" s="13" t="n">
        <v>0</v>
      </c>
      <c r="I61" s="13" t="n">
        <f aca="false">W$1</f>
        <v>4.1</v>
      </c>
      <c r="J61" s="14" t="n">
        <f aca="false">ROUND(G61*I61,2)</f>
        <v>256.82</v>
      </c>
      <c r="K61" s="14"/>
      <c r="L61" s="14"/>
      <c r="M61" s="14"/>
      <c r="N61" s="14" t="n">
        <f aca="false">ROUND((G61*I61)-K61-L61-M61,2)</f>
        <v>256.82</v>
      </c>
      <c r="O61" s="14" t="n">
        <v>800.56</v>
      </c>
      <c r="P61" s="11" t="n">
        <f aca="false">ROUND(IF(D61=0,IF((N61-E61-O61)&gt;0,(N61-E61-O61),0),IF((D61+N61-O61)&gt;0,(D61+N61-O61),0)),2)</f>
        <v>0</v>
      </c>
      <c r="Q61" s="11" t="n">
        <f aca="false">ROUND(IF(E61=0,IF((D61+N61-O61)&lt;0,ABS(D61+N61-O61),0),IF((N61-E61-O61)&lt;0,ABS(N61-E61-O61),0)),2)</f>
        <v>389.18</v>
      </c>
    </row>
    <row r="62" customFormat="false" ht="15" hidden="false" customHeight="true" outlineLevel="0" collapsed="false">
      <c r="A62" s="12" t="s">
        <v>182</v>
      </c>
      <c r="B62" s="8" t="s">
        <v>183</v>
      </c>
      <c r="C62" s="12" t="s">
        <v>184</v>
      </c>
      <c r="D62" s="9" t="n">
        <v>1012.63</v>
      </c>
      <c r="E62" s="9" t="n">
        <v>0</v>
      </c>
      <c r="F62" s="13" t="n">
        <v>0</v>
      </c>
      <c r="G62" s="13" t="n">
        <v>34.9</v>
      </c>
      <c r="H62" s="13" t="n">
        <v>0</v>
      </c>
      <c r="I62" s="13" t="n">
        <f aca="false">W$1</f>
        <v>4.1</v>
      </c>
      <c r="J62" s="14" t="n">
        <f aca="false">ROUND(G62*I62,2)</f>
        <v>143.09</v>
      </c>
      <c r="K62" s="14"/>
      <c r="L62" s="14"/>
      <c r="M62" s="14"/>
      <c r="N62" s="14" t="n">
        <f aca="false">ROUND((G62*I62)-K62-L62-M62,2)</f>
        <v>143.09</v>
      </c>
      <c r="O62" s="14"/>
      <c r="P62" s="11" t="n">
        <f aca="false">ROUND(IF(D62=0,IF((N62-E62-O62)&gt;0,(N62-E62-O62),0),IF((D62+N62-O62)&gt;0,(D62+N62-O62),0)),2)</f>
        <v>1155.72</v>
      </c>
      <c r="Q62" s="11" t="n">
        <f aca="false">ROUND(IF(E62=0,IF((D62+N62-O62)&lt;0,ABS(D62+N62-O62),0),IF((N62-E62-O62)&lt;0,ABS(N62-E62-O62),0)),2)</f>
        <v>0</v>
      </c>
    </row>
    <row r="63" customFormat="false" ht="15" hidden="false" customHeight="true" outlineLevel="0" collapsed="false">
      <c r="A63" s="12" t="s">
        <v>185</v>
      </c>
      <c r="B63" s="8" t="s">
        <v>186</v>
      </c>
      <c r="C63" s="12" t="s">
        <v>187</v>
      </c>
      <c r="D63" s="9" t="n">
        <v>816.56</v>
      </c>
      <c r="E63" s="9" t="n">
        <v>0</v>
      </c>
      <c r="F63" s="13" t="n">
        <v>0</v>
      </c>
      <c r="G63" s="13" t="n">
        <v>49.79</v>
      </c>
      <c r="H63" s="13" t="n">
        <v>0</v>
      </c>
      <c r="I63" s="13" t="n">
        <f aca="false">W$1</f>
        <v>4.1</v>
      </c>
      <c r="J63" s="14" t="n">
        <f aca="false">ROUND(G63*I63,2)</f>
        <v>204.14</v>
      </c>
      <c r="K63" s="14"/>
      <c r="L63" s="14"/>
      <c r="M63" s="14"/>
      <c r="N63" s="14" t="n">
        <f aca="false">ROUND((G63*I63)-K63-L63-M63,2)</f>
        <v>204.14</v>
      </c>
      <c r="O63" s="14"/>
      <c r="P63" s="11" t="n">
        <f aca="false">ROUND(IF(D63=0,IF((N63-E63-O63)&gt;0,(N63-E63-O63),0),IF((D63+N63-O63)&gt;0,(D63+N63-O63),0)),2)</f>
        <v>1020.7</v>
      </c>
      <c r="Q63" s="11" t="n">
        <f aca="false">ROUND(IF(E63=0,IF((D63+N63-O63)&lt;0,ABS(D63+N63-O63),0),IF((N63-E63-O63)&lt;0,ABS(N63-E63-O63),0)),2)</f>
        <v>0</v>
      </c>
    </row>
    <row r="64" customFormat="false" ht="15" hidden="false" customHeight="true" outlineLevel="0" collapsed="false">
      <c r="A64" s="12" t="s">
        <v>188</v>
      </c>
      <c r="B64" s="8" t="s">
        <v>189</v>
      </c>
      <c r="C64" s="12" t="s">
        <v>190</v>
      </c>
      <c r="D64" s="9" t="n">
        <v>3475.16</v>
      </c>
      <c r="E64" s="9" t="n">
        <v>0</v>
      </c>
      <c r="F64" s="13" t="n">
        <v>0</v>
      </c>
      <c r="G64" s="13" t="n">
        <v>65.2</v>
      </c>
      <c r="H64" s="13" t="n">
        <v>0</v>
      </c>
      <c r="I64" s="13" t="n">
        <f aca="false">W$1</f>
        <v>4.1</v>
      </c>
      <c r="J64" s="14" t="n">
        <f aca="false">ROUND(G64*I64,2)</f>
        <v>267.32</v>
      </c>
      <c r="K64" s="14"/>
      <c r="L64" s="14"/>
      <c r="M64" s="14"/>
      <c r="N64" s="14" t="n">
        <f aca="false">ROUND((G64*I64)-K64-L64-M64,2)</f>
        <v>267.32</v>
      </c>
      <c r="O64" s="14"/>
      <c r="P64" s="11" t="n">
        <f aca="false">ROUND(IF(D64=0,IF((N64-E64-O64)&gt;0,(N64-E64-O64),0),IF((D64+N64-O64)&gt;0,(D64+N64-O64),0)),2)</f>
        <v>3742.48</v>
      </c>
      <c r="Q64" s="11" t="n">
        <f aca="false">ROUND(IF(E64=0,IF((D64+N64-O64)&lt;0,ABS(D64+N64-O64),0),IF((N64-E64-O64)&lt;0,ABS(N64-E64-O64),0)),2)</f>
        <v>0</v>
      </c>
    </row>
    <row r="65" customFormat="false" ht="15" hidden="false" customHeight="true" outlineLevel="0" collapsed="false">
      <c r="A65" s="12" t="s">
        <v>191</v>
      </c>
      <c r="B65" s="8" t="s">
        <v>192</v>
      </c>
      <c r="C65" s="12" t="s">
        <v>193</v>
      </c>
      <c r="D65" s="9" t="n">
        <v>10043.02</v>
      </c>
      <c r="E65" s="9" t="n">
        <v>0</v>
      </c>
      <c r="F65" s="13" t="n">
        <v>0</v>
      </c>
      <c r="G65" s="13" t="n">
        <v>61.88</v>
      </c>
      <c r="H65" s="13" t="n">
        <v>0</v>
      </c>
      <c r="I65" s="13" t="n">
        <f aca="false">W$1</f>
        <v>4.1</v>
      </c>
      <c r="J65" s="14" t="n">
        <f aca="false">ROUND(G65*I65,2)</f>
        <v>253.71</v>
      </c>
      <c r="K65" s="14"/>
      <c r="L65" s="14"/>
      <c r="M65" s="14"/>
      <c r="N65" s="14" t="n">
        <f aca="false">ROUND((G65*I65)-K65-L65-M65,2)</f>
        <v>253.71</v>
      </c>
      <c r="O65" s="14"/>
      <c r="P65" s="11" t="n">
        <f aca="false">ROUND(IF(D65=0,IF((N65-E65-O65)&gt;0,(N65-E65-O65),0),IF((D65+N65-O65)&gt;0,(D65+N65-O65),0)),2)</f>
        <v>10296.73</v>
      </c>
      <c r="Q65" s="11" t="n">
        <f aca="false">ROUND(IF(E65=0,IF((D65+N65-O65)&lt;0,ABS(D65+N65-O65),0),IF((N65-E65-O65)&lt;0,ABS(N65-E65-O65),0)),2)</f>
        <v>0</v>
      </c>
    </row>
    <row r="66" customFormat="false" ht="15" hidden="false" customHeight="true" outlineLevel="0" collapsed="false">
      <c r="A66" s="12" t="s">
        <v>194</v>
      </c>
      <c r="B66" s="8" t="s">
        <v>195</v>
      </c>
      <c r="C66" s="12" t="s">
        <v>196</v>
      </c>
      <c r="D66" s="9" t="n">
        <v>5583.91</v>
      </c>
      <c r="E66" s="9" t="n">
        <v>0</v>
      </c>
      <c r="F66" s="13" t="n">
        <v>0</v>
      </c>
      <c r="G66" s="13" t="n">
        <v>35</v>
      </c>
      <c r="H66" s="13" t="n">
        <v>0</v>
      </c>
      <c r="I66" s="13" t="n">
        <f aca="false">W$1</f>
        <v>4.1</v>
      </c>
      <c r="J66" s="14" t="n">
        <f aca="false">ROUND(G66*I66,2)</f>
        <v>143.5</v>
      </c>
      <c r="K66" s="14"/>
      <c r="L66" s="14"/>
      <c r="M66" s="14"/>
      <c r="N66" s="14" t="n">
        <f aca="false">ROUND((G66*I66)-K66-L66-M66,2)</f>
        <v>143.5</v>
      </c>
      <c r="O66" s="14"/>
      <c r="P66" s="11" t="n">
        <f aca="false">ROUND(IF(D66=0,IF((N66-E66-O66)&gt;0,(N66-E66-O66),0),IF((D66+N66-O66)&gt;0,(D66+N66-O66),0)),2)</f>
        <v>5727.41</v>
      </c>
      <c r="Q66" s="11" t="n">
        <f aca="false">ROUND(IF(E66=0,IF((D66+N66-O66)&lt;0,ABS(D66+N66-O66),0),IF((N66-E66-O66)&lt;0,ABS(N66-E66-O66),0)),2)</f>
        <v>0</v>
      </c>
    </row>
    <row r="67" customFormat="false" ht="15" hidden="false" customHeight="true" outlineLevel="0" collapsed="false">
      <c r="A67" s="12" t="s">
        <v>197</v>
      </c>
      <c r="B67" s="8" t="s">
        <v>198</v>
      </c>
      <c r="C67" s="12" t="s">
        <v>199</v>
      </c>
      <c r="D67" s="9" t="n">
        <v>2021.3</v>
      </c>
      <c r="E67" s="9" t="n">
        <v>0</v>
      </c>
      <c r="F67" s="13" t="n">
        <v>0</v>
      </c>
      <c r="G67" s="13" t="n">
        <v>49.3</v>
      </c>
      <c r="H67" s="13" t="n">
        <v>0</v>
      </c>
      <c r="I67" s="13" t="n">
        <f aca="false">W$1</f>
        <v>4.1</v>
      </c>
      <c r="J67" s="14" t="n">
        <f aca="false">ROUND(G67*I67,2)</f>
        <v>202.13</v>
      </c>
      <c r="K67" s="14"/>
      <c r="L67" s="14"/>
      <c r="M67" s="14"/>
      <c r="N67" s="14" t="n">
        <f aca="false">ROUND((G67*I67)-K67-L67-M67,2)</f>
        <v>202.13</v>
      </c>
      <c r="O67" s="14"/>
      <c r="P67" s="11" t="n">
        <f aca="false">ROUND(IF(D67=0,IF((N67-E67-O67)&gt;0,(N67-E67-O67),0),IF((D67+N67-O67)&gt;0,(D67+N67-O67),0)),2)</f>
        <v>2223.43</v>
      </c>
      <c r="Q67" s="11" t="n">
        <f aca="false">ROUND(IF(E67=0,IF((D67+N67-O67)&lt;0,ABS(D67+N67-O67),0),IF((N67-E67-O67)&lt;0,ABS(N67-E67-O67),0)),2)</f>
        <v>0</v>
      </c>
    </row>
    <row r="68" customFormat="false" ht="15" hidden="false" customHeight="true" outlineLevel="0" collapsed="false">
      <c r="A68" s="12" t="s">
        <v>200</v>
      </c>
      <c r="B68" s="8" t="s">
        <v>201</v>
      </c>
      <c r="C68" s="12" t="s">
        <v>202</v>
      </c>
      <c r="D68" s="9" t="n">
        <v>273.06</v>
      </c>
      <c r="E68" s="9" t="n">
        <v>0</v>
      </c>
      <c r="F68" s="13" t="n">
        <v>0</v>
      </c>
      <c r="G68" s="13" t="n">
        <v>66.6</v>
      </c>
      <c r="H68" s="13" t="n">
        <v>0</v>
      </c>
      <c r="I68" s="13" t="n">
        <f aca="false">W$1</f>
        <v>4.1</v>
      </c>
      <c r="J68" s="14" t="n">
        <f aca="false">ROUND(G68*I68,2)</f>
        <v>273.06</v>
      </c>
      <c r="K68" s="14"/>
      <c r="L68" s="14"/>
      <c r="M68" s="14"/>
      <c r="N68" s="14" t="n">
        <f aca="false">ROUND((G68*I68)-K68-L68-M68,2)</f>
        <v>273.06</v>
      </c>
      <c r="O68" s="14" t="n">
        <v>273.06</v>
      </c>
      <c r="P68" s="11" t="n">
        <f aca="false">ROUND(IF(D68=0,IF((N68-E68-O68)&gt;0,(N68-E68-O68),0),IF((D68+N68-O68)&gt;0,(D68+N68-O68),0)),2)</f>
        <v>273.06</v>
      </c>
      <c r="Q68" s="11" t="n">
        <f aca="false">ROUND(IF(E68=0,IF((D68+N68-O68)&lt;0,ABS(D68+N68-O68),0),IF((N68-E68-O68)&lt;0,ABS(N68-E68-O68),0)),2)</f>
        <v>0</v>
      </c>
    </row>
    <row r="69" customFormat="false" ht="15" hidden="false" customHeight="true" outlineLevel="0" collapsed="false">
      <c r="A69" s="12" t="s">
        <v>203</v>
      </c>
      <c r="B69" s="8" t="s">
        <v>204</v>
      </c>
      <c r="C69" s="12" t="s">
        <v>205</v>
      </c>
      <c r="D69" s="9" t="n">
        <v>1414.24</v>
      </c>
      <c r="E69" s="9" t="n">
        <v>0</v>
      </c>
      <c r="F69" s="13" t="n">
        <v>0</v>
      </c>
      <c r="G69" s="13" t="n">
        <v>61.88</v>
      </c>
      <c r="H69" s="13" t="n">
        <v>0</v>
      </c>
      <c r="I69" s="13" t="n">
        <f aca="false">W$1</f>
        <v>4.1</v>
      </c>
      <c r="J69" s="14" t="n">
        <f aca="false">ROUND(G69*I69,2)</f>
        <v>253.71</v>
      </c>
      <c r="K69" s="14"/>
      <c r="L69" s="14"/>
      <c r="M69" s="14"/>
      <c r="N69" s="14" t="n">
        <f aca="false">ROUND((G69*I69)-K69-L69-M69,2)</f>
        <v>253.71</v>
      </c>
      <c r="O69" s="14"/>
      <c r="P69" s="11" t="n">
        <f aca="false">ROUND(IF(D69=0,IF((N69-E69-O69)&gt;0,(N69-E69-O69),0),IF((D69+N69-O69)&gt;0,(D69+N69-O69),0)),2)</f>
        <v>1667.95</v>
      </c>
      <c r="Q69" s="11" t="n">
        <f aca="false">ROUND(IF(E69=0,IF((D69+N69-O69)&lt;0,ABS(D69+N69-O69),0),IF((N69-E69-O69)&lt;0,ABS(N69-E69-O69),0)),2)</f>
        <v>0</v>
      </c>
    </row>
    <row r="70" customFormat="false" ht="15" hidden="false" customHeight="true" outlineLevel="0" collapsed="false">
      <c r="A70" s="12" t="s">
        <v>206</v>
      </c>
      <c r="B70" s="8" t="s">
        <v>207</v>
      </c>
      <c r="C70" s="12" t="s">
        <v>208</v>
      </c>
      <c r="D70" s="9" t="n">
        <v>1003.38</v>
      </c>
      <c r="E70" s="9" t="n">
        <v>0</v>
      </c>
      <c r="F70" s="13" t="n">
        <v>0</v>
      </c>
      <c r="G70" s="13" t="n">
        <v>34.96</v>
      </c>
      <c r="H70" s="13" t="n">
        <v>0</v>
      </c>
      <c r="I70" s="13" t="n">
        <f aca="false">W$1</f>
        <v>4.1</v>
      </c>
      <c r="J70" s="14" t="n">
        <f aca="false">ROUND(G70*I70,2)</f>
        <v>143.34</v>
      </c>
      <c r="K70" s="14"/>
      <c r="L70" s="14"/>
      <c r="M70" s="14"/>
      <c r="N70" s="14" t="n">
        <f aca="false">ROUND((G70*I70)-K70-L70-M70,2)</f>
        <v>143.34</v>
      </c>
      <c r="O70" s="14"/>
      <c r="P70" s="11" t="n">
        <f aca="false">ROUND(IF(D70=0,IF((N70-E70-O70)&gt;0,(N70-E70-O70),0),IF((D70+N70-O70)&gt;0,(D70+N70-O70),0)),2)</f>
        <v>1146.72</v>
      </c>
      <c r="Q70" s="11" t="n">
        <f aca="false">ROUND(IF(E70=0,IF((D70+N70-O70)&lt;0,ABS(D70+N70-O70),0),IF((N70-E70-O70)&lt;0,ABS(N70-E70-O70),0)),2)</f>
        <v>0</v>
      </c>
    </row>
    <row r="71" customFormat="false" ht="15" hidden="false" customHeight="true" outlineLevel="0" collapsed="false">
      <c r="A71" s="12" t="s">
        <v>209</v>
      </c>
      <c r="B71" s="8" t="s">
        <v>210</v>
      </c>
      <c r="C71" s="12" t="s">
        <v>211</v>
      </c>
      <c r="D71" s="9" t="n">
        <v>410.24</v>
      </c>
      <c r="E71" s="9" t="n">
        <v>0</v>
      </c>
      <c r="F71" s="13" t="n">
        <v>0</v>
      </c>
      <c r="G71" s="13" t="n">
        <v>50.03</v>
      </c>
      <c r="H71" s="13" t="n">
        <v>0</v>
      </c>
      <c r="I71" s="13" t="n">
        <f aca="false">W$1</f>
        <v>4.1</v>
      </c>
      <c r="J71" s="14" t="n">
        <f aca="false">ROUND(G71*I71,2)</f>
        <v>205.12</v>
      </c>
      <c r="K71" s="14"/>
      <c r="L71" s="14"/>
      <c r="M71" s="14"/>
      <c r="N71" s="14" t="n">
        <f aca="false">ROUND((G71*I71)-K71-L71-M71,2)</f>
        <v>205.12</v>
      </c>
      <c r="O71" s="14" t="n">
        <f aca="false">205.12+410.24</f>
        <v>615.36</v>
      </c>
      <c r="P71" s="11" t="n">
        <f aca="false">ROUND(IF(D71=0,IF((N71-E71-O71)&gt;0,(N71-E71-O71),0),IF((D71+N71-O71)&gt;0,(D71+N71-O71),0)),2)</f>
        <v>0</v>
      </c>
      <c r="Q71" s="11" t="n">
        <f aca="false">ROUND(IF(E71=0,IF((D71+N71-O71)&lt;0,ABS(D71+N71-O71),0),IF((N71-E71-O71)&lt;0,ABS(N71-E71-O71),0)),2)</f>
        <v>0</v>
      </c>
    </row>
    <row r="72" customFormat="false" ht="15" hidden="false" customHeight="true" outlineLevel="0" collapsed="false">
      <c r="A72" s="12" t="s">
        <v>212</v>
      </c>
      <c r="B72" s="8" t="s">
        <v>213</v>
      </c>
      <c r="C72" s="12" t="s">
        <v>214</v>
      </c>
      <c r="D72" s="9" t="n">
        <v>12524.97</v>
      </c>
      <c r="E72" s="9" t="n">
        <v>0</v>
      </c>
      <c r="F72" s="13" t="n">
        <v>0</v>
      </c>
      <c r="G72" s="13" t="n">
        <v>65.15</v>
      </c>
      <c r="H72" s="13" t="n">
        <v>0</v>
      </c>
      <c r="I72" s="13" t="n">
        <f aca="false">W$1</f>
        <v>4.1</v>
      </c>
      <c r="J72" s="14" t="n">
        <f aca="false">ROUND(G72*I72,2)</f>
        <v>267.12</v>
      </c>
      <c r="K72" s="14"/>
      <c r="L72" s="14"/>
      <c r="M72" s="14"/>
      <c r="N72" s="14" t="n">
        <f aca="false">ROUND((G72*I72)-K72-L72-M72,2)</f>
        <v>267.12</v>
      </c>
      <c r="O72" s="14"/>
      <c r="P72" s="11" t="n">
        <f aca="false">ROUND(IF(D72=0,IF((N72-E72-O72)&gt;0,(N72-E72-O72),0),IF((D72+N72-O72)&gt;0,(D72+N72-O72),0)),2)</f>
        <v>12792.09</v>
      </c>
      <c r="Q72" s="11" t="n">
        <f aca="false">ROUND(IF(E72=0,IF((D72+N72-O72)&lt;0,ABS(D72+N72-O72),0),IF((N72-E72-O72)&lt;0,ABS(N72-E72-O72),0)),2)</f>
        <v>0</v>
      </c>
    </row>
    <row r="73" customFormat="false" ht="15" hidden="false" customHeight="true" outlineLevel="0" collapsed="false">
      <c r="A73" s="12" t="s">
        <v>215</v>
      </c>
      <c r="B73" s="8" t="s">
        <v>216</v>
      </c>
      <c r="C73" s="12" t="s">
        <v>217</v>
      </c>
      <c r="D73" s="9" t="n">
        <v>1547.97</v>
      </c>
      <c r="E73" s="9" t="n">
        <v>0</v>
      </c>
      <c r="F73" s="13" t="n">
        <v>0</v>
      </c>
      <c r="G73" s="13" t="n">
        <v>63.41</v>
      </c>
      <c r="H73" s="13" t="n">
        <v>0</v>
      </c>
      <c r="I73" s="13" t="n">
        <f aca="false">W$1</f>
        <v>4.1</v>
      </c>
      <c r="J73" s="14" t="n">
        <f aca="false">ROUND(G73*I73,2)</f>
        <v>259.98</v>
      </c>
      <c r="K73" s="14"/>
      <c r="L73" s="14"/>
      <c r="M73" s="14"/>
      <c r="N73" s="14" t="n">
        <f aca="false">ROUND((G73*I73)-K73-L73-M73,2)</f>
        <v>259.98</v>
      </c>
      <c r="O73" s="14"/>
      <c r="P73" s="11" t="n">
        <f aca="false">ROUND(IF(D73=0,IF((N73-E73-O73)&gt;0,(N73-E73-O73),0),IF((D73+N73-O73)&gt;0,(D73+N73-O73),0)),2)</f>
        <v>1807.95</v>
      </c>
      <c r="Q73" s="11" t="n">
        <f aca="false">ROUND(IF(E73=0,IF((D73+N73-O73)&lt;0,ABS(D73+N73-O73),0),IF((N73-E73-O73)&lt;0,ABS(N73-E73-O73),0)),2)</f>
        <v>0</v>
      </c>
    </row>
    <row r="74" customFormat="false" ht="15" hidden="false" customHeight="true" outlineLevel="0" collapsed="false">
      <c r="A74" s="12" t="s">
        <v>218</v>
      </c>
      <c r="B74" s="8" t="s">
        <v>219</v>
      </c>
      <c r="C74" s="12" t="s">
        <v>220</v>
      </c>
      <c r="D74" s="9" t="n">
        <v>0</v>
      </c>
      <c r="E74" s="9" t="n">
        <v>45.76</v>
      </c>
      <c r="F74" s="13" t="n">
        <v>0</v>
      </c>
      <c r="G74" s="13" t="n">
        <v>35.19</v>
      </c>
      <c r="H74" s="13" t="n">
        <v>0</v>
      </c>
      <c r="I74" s="13" t="n">
        <f aca="false">W$1</f>
        <v>4.1</v>
      </c>
      <c r="J74" s="14" t="n">
        <f aca="false">ROUND(G74*I74,2)</f>
        <v>144.28</v>
      </c>
      <c r="K74" s="14"/>
      <c r="L74" s="14"/>
      <c r="M74" s="14"/>
      <c r="N74" s="14" t="n">
        <f aca="false">ROUND((G74*I74)-K74-L74-M74,2)</f>
        <v>144.28</v>
      </c>
      <c r="O74" s="14"/>
      <c r="P74" s="11" t="n">
        <f aca="false">ROUND(IF(D74=0,IF((N74-E74-O74)&gt;0,(N74-E74-O74),0),IF((D74+N74-O74)&gt;0,(D74+N74-O74),0)),2)</f>
        <v>98.52</v>
      </c>
      <c r="Q74" s="11" t="n">
        <f aca="false">ROUND(IF(E74=0,IF((D74+N74-O74)&lt;0,ABS(D74+N74-O74),0),IF((N74-E74-O74)&lt;0,ABS(N74-E74-O74),0)),2)</f>
        <v>0</v>
      </c>
    </row>
    <row r="75" customFormat="false" ht="15" hidden="false" customHeight="true" outlineLevel="0" collapsed="false">
      <c r="A75" s="12" t="s">
        <v>221</v>
      </c>
      <c r="B75" s="8" t="s">
        <v>222</v>
      </c>
      <c r="C75" s="12" t="s">
        <v>223</v>
      </c>
      <c r="D75" s="9" t="n">
        <v>9881.07</v>
      </c>
      <c r="E75" s="9" t="n">
        <v>0</v>
      </c>
      <c r="F75" s="13" t="n">
        <v>0</v>
      </c>
      <c r="G75" s="13" t="n">
        <v>49.89</v>
      </c>
      <c r="H75" s="13" t="n">
        <v>0</v>
      </c>
      <c r="I75" s="13" t="n">
        <f aca="false">W$1</f>
        <v>4.1</v>
      </c>
      <c r="J75" s="14" t="n">
        <f aca="false">ROUND(G75*I75,2)</f>
        <v>204.55</v>
      </c>
      <c r="K75" s="14"/>
      <c r="L75" s="14"/>
      <c r="M75" s="14"/>
      <c r="N75" s="14" t="n">
        <f aca="false">ROUND((G75*I75)-K75-L75-M75,2)</f>
        <v>204.55</v>
      </c>
      <c r="O75" s="14"/>
      <c r="P75" s="11" t="n">
        <f aca="false">ROUND(IF(D75=0,IF((N75-E75-O75)&gt;0,(N75-E75-O75),0),IF((D75+N75-O75)&gt;0,(D75+N75-O75),0)),2)</f>
        <v>10085.62</v>
      </c>
      <c r="Q75" s="11" t="n">
        <f aca="false">ROUND(IF(E75=0,IF((D75+N75-O75)&lt;0,ABS(D75+N75-O75),0),IF((N75-E75-O75)&lt;0,ABS(N75-E75-O75),0)),2)</f>
        <v>0</v>
      </c>
    </row>
    <row r="76" customFormat="false" ht="15" hidden="false" customHeight="true" outlineLevel="0" collapsed="false">
      <c r="A76" s="12" t="s">
        <v>224</v>
      </c>
      <c r="B76" s="8" t="s">
        <v>225</v>
      </c>
      <c r="C76" s="12" t="s">
        <v>226</v>
      </c>
      <c r="D76" s="9" t="n">
        <v>1066.48</v>
      </c>
      <c r="E76" s="9" t="n">
        <v>0</v>
      </c>
      <c r="F76" s="13" t="n">
        <v>0</v>
      </c>
      <c r="G76" s="13" t="n">
        <v>65.03</v>
      </c>
      <c r="H76" s="13" t="n">
        <v>0</v>
      </c>
      <c r="I76" s="13" t="n">
        <f aca="false">W$1</f>
        <v>4.1</v>
      </c>
      <c r="J76" s="14" t="n">
        <f aca="false">ROUND(G76*I76,2)</f>
        <v>266.62</v>
      </c>
      <c r="K76" s="14"/>
      <c r="L76" s="14"/>
      <c r="M76" s="14"/>
      <c r="N76" s="14" t="n">
        <f aca="false">ROUND((G76*I76)-K76-L76-M76,2)</f>
        <v>266.62</v>
      </c>
      <c r="O76" s="14"/>
      <c r="P76" s="11" t="n">
        <f aca="false">ROUND(IF(D76=0,IF((N76-E76-O76)&gt;0,(N76-E76-O76),0),IF((D76+N76-O76)&gt;0,(D76+N76-O76),0)),2)</f>
        <v>1333.1</v>
      </c>
      <c r="Q76" s="11" t="n">
        <f aca="false">ROUND(IF(E76=0,IF((D76+N76-O76)&lt;0,ABS(D76+N76-O76),0),IF((N76-E76-O76)&lt;0,ABS(N76-E76-O76),0)),2)</f>
        <v>0</v>
      </c>
    </row>
    <row r="77" customFormat="false" ht="15" hidden="false" customHeight="true" outlineLevel="0" collapsed="false">
      <c r="A77" s="12" t="s">
        <v>227</v>
      </c>
      <c r="B77" s="8" t="s">
        <v>228</v>
      </c>
      <c r="C77" s="12" t="s">
        <v>229</v>
      </c>
      <c r="D77" s="9" t="n">
        <v>509.3</v>
      </c>
      <c r="E77" s="9" t="n">
        <v>0</v>
      </c>
      <c r="F77" s="13" t="n">
        <v>0</v>
      </c>
      <c r="G77" s="13" t="n">
        <v>62.11</v>
      </c>
      <c r="H77" s="13" t="n">
        <v>0</v>
      </c>
      <c r="I77" s="13" t="n">
        <f aca="false">W$1</f>
        <v>4.1</v>
      </c>
      <c r="J77" s="14" t="n">
        <f aca="false">ROUND(G77*I77,2)</f>
        <v>254.65</v>
      </c>
      <c r="K77" s="14"/>
      <c r="L77" s="14"/>
      <c r="M77" s="14"/>
      <c r="N77" s="14" t="n">
        <f aca="false">ROUND((G77*I77)-K77-L77-M77,2)</f>
        <v>254.65</v>
      </c>
      <c r="O77" s="14" t="n">
        <v>680</v>
      </c>
      <c r="P77" s="11" t="n">
        <f aca="false">ROUND(IF(D77=0,IF((N77-E77-O77)&gt;0,(N77-E77-O77),0),IF((D77+N77-O77)&gt;0,(D77+N77-O77),0)),2)</f>
        <v>83.95</v>
      </c>
      <c r="Q77" s="11" t="n">
        <f aca="false">ROUND(IF(E77=0,IF((D77+N77-O77)&lt;0,ABS(D77+N77-O77),0),IF((N77-E77-O77)&lt;0,ABS(N77-E77-O77),0)),2)</f>
        <v>0</v>
      </c>
    </row>
    <row r="78" customFormat="false" ht="15" hidden="false" customHeight="true" outlineLevel="0" collapsed="false">
      <c r="A78" s="12" t="s">
        <v>230</v>
      </c>
      <c r="B78" s="8" t="s">
        <v>231</v>
      </c>
      <c r="C78" s="12" t="s">
        <v>232</v>
      </c>
      <c r="D78" s="9" t="n">
        <v>6477.99</v>
      </c>
      <c r="E78" s="9" t="n">
        <v>0</v>
      </c>
      <c r="F78" s="13" t="n">
        <v>0</v>
      </c>
      <c r="G78" s="13" t="n">
        <v>34.9</v>
      </c>
      <c r="H78" s="13" t="n">
        <v>0</v>
      </c>
      <c r="I78" s="13" t="n">
        <f aca="false">W$1</f>
        <v>4.1</v>
      </c>
      <c r="J78" s="14" t="n">
        <f aca="false">ROUND(G78*I78,2)</f>
        <v>143.09</v>
      </c>
      <c r="K78" s="14"/>
      <c r="L78" s="14"/>
      <c r="M78" s="14"/>
      <c r="N78" s="14" t="n">
        <f aca="false">ROUND((G78*I78)-K78-L78-M78,2)</f>
        <v>143.09</v>
      </c>
      <c r="O78" s="14" t="n">
        <v>288</v>
      </c>
      <c r="P78" s="11" t="n">
        <f aca="false">ROUND(IF(D78=0,IF((N78-E78-O78)&gt;0,(N78-E78-O78),0),IF((D78+N78-O78)&gt;0,(D78+N78-O78),0)),2)</f>
        <v>6333.08</v>
      </c>
      <c r="Q78" s="11" t="n">
        <f aca="false">ROUND(IF(E78=0,IF((D78+N78-O78)&lt;0,ABS(D78+N78-O78),0),IF((N78-E78-O78)&lt;0,ABS(N78-E78-O78),0)),2)</f>
        <v>0</v>
      </c>
    </row>
    <row r="79" customFormat="false" ht="15" hidden="false" customHeight="true" outlineLevel="0" collapsed="false">
      <c r="A79" s="12" t="s">
        <v>233</v>
      </c>
      <c r="B79" s="8" t="s">
        <v>234</v>
      </c>
      <c r="C79" s="12" t="s">
        <v>235</v>
      </c>
      <c r="D79" s="9" t="n">
        <v>201.72</v>
      </c>
      <c r="E79" s="9" t="n">
        <v>0</v>
      </c>
      <c r="F79" s="13" t="n">
        <v>0</v>
      </c>
      <c r="G79" s="13" t="n">
        <v>49.2</v>
      </c>
      <c r="H79" s="13" t="n">
        <v>0</v>
      </c>
      <c r="I79" s="13" t="n">
        <f aca="false">W$1</f>
        <v>4.1</v>
      </c>
      <c r="J79" s="14" t="n">
        <f aca="false">ROUND(G79*I79,2)</f>
        <v>201.72</v>
      </c>
      <c r="K79" s="14"/>
      <c r="L79" s="14"/>
      <c r="M79" s="14"/>
      <c r="N79" s="14" t="n">
        <f aca="false">ROUND((G79*I79)-K79-L79-M79,2)</f>
        <v>201.72</v>
      </c>
      <c r="O79" s="14" t="n">
        <v>201.72</v>
      </c>
      <c r="P79" s="11" t="n">
        <f aca="false">ROUND(IF(D79=0,IF((N79-E79-O79)&gt;0,(N79-E79-O79),0),IF((D79+N79-O79)&gt;0,(D79+N79-O79),0)),2)</f>
        <v>201.72</v>
      </c>
      <c r="Q79" s="11" t="n">
        <f aca="false">ROUND(IF(E79=0,IF((D79+N79-O79)&lt;0,ABS(D79+N79-O79),0),IF((N79-E79-O79)&lt;0,ABS(N79-E79-O79),0)),2)</f>
        <v>0</v>
      </c>
    </row>
    <row r="80" customFormat="false" ht="15" hidden="false" customHeight="true" outlineLevel="0" collapsed="false">
      <c r="A80" s="12" t="s">
        <v>236</v>
      </c>
      <c r="B80" s="8" t="s">
        <v>237</v>
      </c>
      <c r="C80" s="12" t="s">
        <v>238</v>
      </c>
      <c r="D80" s="9" t="n">
        <v>268.26</v>
      </c>
      <c r="E80" s="9" t="n">
        <v>0</v>
      </c>
      <c r="F80" s="13" t="n">
        <v>0</v>
      </c>
      <c r="G80" s="13" t="n">
        <v>65.43</v>
      </c>
      <c r="H80" s="13" t="n">
        <v>0</v>
      </c>
      <c r="I80" s="13" t="n">
        <f aca="false">W$1</f>
        <v>4.1</v>
      </c>
      <c r="J80" s="14" t="n">
        <f aca="false">ROUND(G80*I80,2)</f>
        <v>268.26</v>
      </c>
      <c r="K80" s="14"/>
      <c r="L80" s="14"/>
      <c r="M80" s="14"/>
      <c r="N80" s="14" t="n">
        <f aca="false">ROUND((G80*I80)-K80-L80-M80,2)</f>
        <v>268.26</v>
      </c>
      <c r="O80" s="14"/>
      <c r="P80" s="11" t="n">
        <f aca="false">ROUND(IF(D80=0,IF((N80-E80-O80)&gt;0,(N80-E80-O80),0),IF((D80+N80-O80)&gt;0,(D80+N80-O80),0)),2)</f>
        <v>536.52</v>
      </c>
      <c r="Q80" s="11" t="n">
        <f aca="false">ROUND(IF(E80=0,IF((D80+N80-O80)&lt;0,ABS(D80+N80-O80),0),IF((N80-E80-O80)&lt;0,ABS(N80-E80-O80),0)),2)</f>
        <v>0</v>
      </c>
    </row>
    <row r="81" customFormat="false" ht="15" hidden="false" customHeight="true" outlineLevel="0" collapsed="false">
      <c r="A81" s="12" t="s">
        <v>239</v>
      </c>
      <c r="B81" s="8" t="s">
        <v>240</v>
      </c>
      <c r="C81" s="12" t="s">
        <v>241</v>
      </c>
      <c r="D81" s="9" t="n">
        <v>1312.3</v>
      </c>
      <c r="E81" s="9" t="n">
        <v>0</v>
      </c>
      <c r="F81" s="13" t="n">
        <v>0</v>
      </c>
      <c r="G81" s="13" t="n">
        <v>64.5</v>
      </c>
      <c r="H81" s="13" t="n">
        <v>0</v>
      </c>
      <c r="I81" s="13" t="n">
        <f aca="false">W$1</f>
        <v>4.1</v>
      </c>
      <c r="J81" s="14" t="n">
        <f aca="false">ROUND(G81*I81,2)</f>
        <v>264.45</v>
      </c>
      <c r="K81" s="14"/>
      <c r="L81" s="14"/>
      <c r="M81" s="14"/>
      <c r="N81" s="14" t="n">
        <f aca="false">ROUND((G81*I81)-K81-L81-M81,2)</f>
        <v>264.45</v>
      </c>
      <c r="O81" s="14" t="n">
        <v>300</v>
      </c>
      <c r="P81" s="11" t="n">
        <f aca="false">ROUND(IF(D81=0,IF((N81-E81-O81)&gt;0,(N81-E81-O81),0),IF((D81+N81-O81)&gt;0,(D81+N81-O81),0)),2)</f>
        <v>1276.75</v>
      </c>
      <c r="Q81" s="11" t="n">
        <f aca="false">ROUND(IF(E81=0,IF((D81+N81-O81)&lt;0,ABS(D81+N81-O81),0),IF((N81-E81-O81)&lt;0,ABS(N81-E81-O81),0)),2)</f>
        <v>0</v>
      </c>
    </row>
    <row r="82" customFormat="false" ht="15" hidden="false" customHeight="true" outlineLevel="0" collapsed="false">
      <c r="A82" s="12" t="s">
        <v>242</v>
      </c>
      <c r="B82" s="8" t="s">
        <v>243</v>
      </c>
      <c r="C82" s="12" t="s">
        <v>244</v>
      </c>
      <c r="D82" s="9" t="n">
        <v>0</v>
      </c>
      <c r="E82" s="9" t="n">
        <v>2.92</v>
      </c>
      <c r="F82" s="13" t="n">
        <v>0</v>
      </c>
      <c r="G82" s="13" t="n">
        <v>50.8</v>
      </c>
      <c r="H82" s="13" t="n">
        <v>0</v>
      </c>
      <c r="I82" s="13" t="n">
        <f aca="false">W$1</f>
        <v>4.1</v>
      </c>
      <c r="J82" s="14" t="n">
        <f aca="false">ROUND(G82*I82,2)</f>
        <v>208.28</v>
      </c>
      <c r="K82" s="14"/>
      <c r="L82" s="14"/>
      <c r="M82" s="14"/>
      <c r="N82" s="14" t="n">
        <f aca="false">ROUND((G82*I82)-K82-L82-M82,2)</f>
        <v>208.28</v>
      </c>
      <c r="O82" s="14"/>
      <c r="P82" s="11" t="n">
        <f aca="false">ROUND(IF(D82=0,IF((N82-E82-O82)&gt;0,(N82-E82-O82),0),IF((D82+N82-O82)&gt;0,(D82+N82-O82),0)),2)</f>
        <v>205.36</v>
      </c>
      <c r="Q82" s="11" t="n">
        <f aca="false">ROUND(IF(E82=0,IF((D82+N82-O82)&lt;0,ABS(D82+N82-O82),0),IF((N82-E82-O82)&lt;0,ABS(N82-E82-O82),0)),2)</f>
        <v>0</v>
      </c>
    </row>
    <row r="83" customFormat="false" ht="15" hidden="false" customHeight="true" outlineLevel="0" collapsed="false">
      <c r="A83" s="12" t="s">
        <v>245</v>
      </c>
      <c r="B83" s="8" t="s">
        <v>246</v>
      </c>
      <c r="C83" s="12" t="s">
        <v>247</v>
      </c>
      <c r="D83" s="9" t="n">
        <v>3717.51</v>
      </c>
      <c r="E83" s="9" t="n">
        <v>0</v>
      </c>
      <c r="F83" s="13" t="n">
        <v>0</v>
      </c>
      <c r="G83" s="13" t="n">
        <v>34.9</v>
      </c>
      <c r="H83" s="13" t="n">
        <v>0</v>
      </c>
      <c r="I83" s="13" t="n">
        <f aca="false">W$1</f>
        <v>4.1</v>
      </c>
      <c r="J83" s="14" t="n">
        <f aca="false">ROUND(G83*I83,2)</f>
        <v>143.09</v>
      </c>
      <c r="K83" s="14"/>
      <c r="L83" s="14"/>
      <c r="M83" s="14"/>
      <c r="N83" s="14" t="n">
        <f aca="false">ROUND((G83*I83)-K83-L83-M83,2)</f>
        <v>143.09</v>
      </c>
      <c r="O83" s="14"/>
      <c r="P83" s="11" t="n">
        <f aca="false">ROUND(IF(D83=0,IF((N83-E83-O83)&gt;0,(N83-E83-O83),0),IF((D83+N83-O83)&gt;0,(D83+N83-O83),0)),2)</f>
        <v>3860.6</v>
      </c>
      <c r="Q83" s="11" t="n">
        <f aca="false">ROUND(IF(E83=0,IF((D83+N83-O83)&lt;0,ABS(D83+N83-O83),0),IF((N83-E83-O83)&lt;0,ABS(N83-E83-O83),0)),2)</f>
        <v>0</v>
      </c>
    </row>
    <row r="84" customFormat="false" ht="15" hidden="false" customHeight="true" outlineLevel="0" collapsed="false">
      <c r="A84" s="12" t="s">
        <v>248</v>
      </c>
      <c r="B84" s="8" t="s">
        <v>249</v>
      </c>
      <c r="C84" s="12" t="s">
        <v>250</v>
      </c>
      <c r="D84" s="9" t="n">
        <v>0.1</v>
      </c>
      <c r="E84" s="9" t="n">
        <v>0</v>
      </c>
      <c r="F84" s="13" t="n">
        <v>0</v>
      </c>
      <c r="G84" s="13" t="n">
        <v>61</v>
      </c>
      <c r="H84" s="13" t="n">
        <v>0</v>
      </c>
      <c r="I84" s="13" t="n">
        <f aca="false">W$1</f>
        <v>4.1</v>
      </c>
      <c r="J84" s="14" t="n">
        <f aca="false">ROUND(G84*I84,2)</f>
        <v>250.1</v>
      </c>
      <c r="K84" s="14"/>
      <c r="L84" s="14"/>
      <c r="M84" s="14"/>
      <c r="N84" s="14" t="n">
        <f aca="false">ROUND((G84*I84)-K84-L84-M84,2)</f>
        <v>250.1</v>
      </c>
      <c r="O84" s="14"/>
      <c r="P84" s="11" t="n">
        <f aca="false">ROUND(IF(D84=0,IF((N84-E84-O84)&gt;0,(N84-E84-O84),0),IF((D84+N84-O84)&gt;0,(D84+N84-O84),0)),2)</f>
        <v>250.2</v>
      </c>
      <c r="Q84" s="11" t="n">
        <f aca="false">ROUND(IF(E84=0,IF((D84+N84-O84)&lt;0,ABS(D84+N84-O84),0),IF((N84-E84-O84)&lt;0,ABS(N84-E84-O84),0)),2)</f>
        <v>0</v>
      </c>
    </row>
    <row r="85" customFormat="false" ht="15" hidden="false" customHeight="true" outlineLevel="0" collapsed="false">
      <c r="A85" s="12" t="s">
        <v>251</v>
      </c>
      <c r="B85" s="8" t="s">
        <v>252</v>
      </c>
      <c r="C85" s="12" t="s">
        <v>253</v>
      </c>
      <c r="D85" s="9" t="n">
        <v>551.15</v>
      </c>
      <c r="E85" s="9" t="n">
        <v>0</v>
      </c>
      <c r="F85" s="13" t="n">
        <v>0</v>
      </c>
      <c r="G85" s="13" t="n">
        <v>64.5</v>
      </c>
      <c r="H85" s="13" t="n">
        <v>0</v>
      </c>
      <c r="I85" s="13" t="n">
        <f aca="false">W$1</f>
        <v>4.1</v>
      </c>
      <c r="J85" s="14" t="n">
        <f aca="false">ROUND(G85*I85,2)</f>
        <v>264.45</v>
      </c>
      <c r="K85" s="14"/>
      <c r="L85" s="14"/>
      <c r="M85" s="14"/>
      <c r="N85" s="14" t="n">
        <f aca="false">ROUND((G85*I85)-K85-L85-M85,2)</f>
        <v>264.45</v>
      </c>
      <c r="O85" s="14" t="n">
        <v>150</v>
      </c>
      <c r="P85" s="11" t="n">
        <f aca="false">ROUND(IF(D85=0,IF((N85-E85-O85)&gt;0,(N85-E85-O85),0),IF((D85+N85-O85)&gt;0,(D85+N85-O85),0)),2)</f>
        <v>665.6</v>
      </c>
      <c r="Q85" s="11" t="n">
        <f aca="false">ROUND(IF(E85=0,IF((D85+N85-O85)&lt;0,ABS(D85+N85-O85),0),IF((N85-E85-O85)&lt;0,ABS(N85-E85-O85),0)),2)</f>
        <v>0</v>
      </c>
    </row>
    <row r="86" customFormat="false" ht="15" hidden="false" customHeight="true" outlineLevel="0" collapsed="false">
      <c r="A86" s="12" t="s">
        <v>254</v>
      </c>
      <c r="B86" s="8" t="s">
        <v>255</v>
      </c>
      <c r="C86" s="12" t="s">
        <v>256</v>
      </c>
      <c r="D86" s="9" t="n">
        <v>194.26</v>
      </c>
      <c r="E86" s="9" t="n">
        <v>0</v>
      </c>
      <c r="F86" s="13" t="n">
        <v>0</v>
      </c>
      <c r="G86" s="13" t="n">
        <v>49.3</v>
      </c>
      <c r="H86" s="13" t="n">
        <v>0</v>
      </c>
      <c r="I86" s="13" t="n">
        <f aca="false">W$1</f>
        <v>4.1</v>
      </c>
      <c r="J86" s="14" t="n">
        <f aca="false">ROUND(G86*I86,2)</f>
        <v>202.13</v>
      </c>
      <c r="K86" s="14"/>
      <c r="L86" s="14"/>
      <c r="M86" s="14"/>
      <c r="N86" s="14" t="n">
        <f aca="false">ROUND((G86*I86)-K86-L86-M86,2)</f>
        <v>202.13</v>
      </c>
      <c r="O86" s="14" t="n">
        <v>210</v>
      </c>
      <c r="P86" s="11" t="n">
        <f aca="false">ROUND(IF(D86=0,IF((N86-E86-O86)&gt;0,(N86-E86-O86),0),IF((D86+N86-O86)&gt;0,(D86+N86-O86),0)),2)</f>
        <v>186.39</v>
      </c>
      <c r="Q86" s="11" t="n">
        <f aca="false">ROUND(IF(E86=0,IF((D86+N86-O86)&lt;0,ABS(D86+N86-O86),0),IF((N86-E86-O86)&lt;0,ABS(N86-E86-O86),0)),2)</f>
        <v>0</v>
      </c>
    </row>
    <row r="87" customFormat="false" ht="15" hidden="false" customHeight="true" outlineLevel="0" collapsed="false">
      <c r="A87" s="12" t="s">
        <v>257</v>
      </c>
      <c r="B87" s="8" t="s">
        <v>258</v>
      </c>
      <c r="C87" s="12" t="s">
        <v>259</v>
      </c>
      <c r="D87" s="9" t="n">
        <v>143.5</v>
      </c>
      <c r="E87" s="9" t="n">
        <v>0</v>
      </c>
      <c r="F87" s="13" t="n">
        <v>0</v>
      </c>
      <c r="G87" s="13" t="n">
        <v>35</v>
      </c>
      <c r="H87" s="13" t="n">
        <v>0</v>
      </c>
      <c r="I87" s="13" t="n">
        <f aca="false">W$1</f>
        <v>4.1</v>
      </c>
      <c r="J87" s="14" t="n">
        <f aca="false">ROUND(G87*I87,2)</f>
        <v>143.5</v>
      </c>
      <c r="K87" s="14"/>
      <c r="L87" s="14"/>
      <c r="M87" s="14"/>
      <c r="N87" s="14" t="n">
        <f aca="false">ROUND((G87*I87)-K87-L87-M87,2)</f>
        <v>143.5</v>
      </c>
      <c r="O87" s="14"/>
      <c r="P87" s="11" t="n">
        <f aca="false">ROUND(IF(D87=0,IF((N87-E87-O87)&gt;0,(N87-E87-O87),0),IF((D87+N87-O87)&gt;0,(D87+N87-O87),0)),2)</f>
        <v>287</v>
      </c>
      <c r="Q87" s="11" t="n">
        <f aca="false">ROUND(IF(E87=0,IF((D87+N87-O87)&lt;0,ABS(D87+N87-O87),0),IF((N87-E87-O87)&lt;0,ABS(N87-E87-O87),0)),2)</f>
        <v>0</v>
      </c>
    </row>
    <row r="88" customFormat="false" ht="15" hidden="false" customHeight="true" outlineLevel="0" collapsed="false">
      <c r="A88" s="12" t="s">
        <v>260</v>
      </c>
      <c r="B88" s="8" t="s">
        <v>261</v>
      </c>
      <c r="C88" s="12" t="s">
        <v>262</v>
      </c>
      <c r="D88" s="9" t="n">
        <v>253.38</v>
      </c>
      <c r="E88" s="9" t="n">
        <v>0</v>
      </c>
      <c r="F88" s="13" t="n">
        <v>0</v>
      </c>
      <c r="G88" s="13" t="n">
        <v>61.8</v>
      </c>
      <c r="H88" s="13" t="n">
        <v>0</v>
      </c>
      <c r="I88" s="13" t="n">
        <f aca="false">W$1</f>
        <v>4.1</v>
      </c>
      <c r="J88" s="14" t="n">
        <f aca="false">ROUND(G88*I88,2)</f>
        <v>253.38</v>
      </c>
      <c r="K88" s="14"/>
      <c r="L88" s="14"/>
      <c r="M88" s="14"/>
      <c r="N88" s="14" t="n">
        <f aca="false">ROUND((G88*I88)-K88-L88-M88,2)</f>
        <v>253.38</v>
      </c>
      <c r="O88" s="14"/>
      <c r="P88" s="11" t="n">
        <f aca="false">ROUND(IF(D88=0,IF((N88-E88-O88)&gt;0,(N88-E88-O88),0),IF((D88+N88-O88)&gt;0,(D88+N88-O88),0)),2)</f>
        <v>506.76</v>
      </c>
      <c r="Q88" s="11" t="n">
        <f aca="false">ROUND(IF(E88=0,IF((D88+N88-O88)&lt;0,ABS(D88+N88-O88),0),IF((N88-E88-O88)&lt;0,ABS(N88-E88-O88),0)),2)</f>
        <v>0</v>
      </c>
    </row>
    <row r="89" customFormat="false" ht="15" hidden="false" customHeight="true" outlineLevel="0" collapsed="false">
      <c r="A89" s="12" t="s">
        <v>263</v>
      </c>
      <c r="B89" s="8" t="s">
        <v>264</v>
      </c>
      <c r="C89" s="12" t="s">
        <v>265</v>
      </c>
      <c r="D89" s="9" t="n">
        <v>12547.07</v>
      </c>
      <c r="E89" s="9" t="n">
        <v>0</v>
      </c>
      <c r="F89" s="13" t="n">
        <v>0</v>
      </c>
      <c r="G89" s="13" t="n">
        <v>65.81</v>
      </c>
      <c r="H89" s="13" t="n">
        <v>0</v>
      </c>
      <c r="I89" s="13" t="n">
        <f aca="false">W$1</f>
        <v>4.1</v>
      </c>
      <c r="J89" s="14" t="n">
        <f aca="false">ROUND(G89*I89,2)</f>
        <v>269.82</v>
      </c>
      <c r="K89" s="14"/>
      <c r="L89" s="14"/>
      <c r="M89" s="14"/>
      <c r="N89" s="14" t="n">
        <f aca="false">ROUND((G89*I89)-K89-L89-M89,2)</f>
        <v>269.82</v>
      </c>
      <c r="O89" s="14"/>
      <c r="P89" s="11" t="n">
        <f aca="false">ROUND(IF(D89=0,IF((N89-E89-O89)&gt;0,(N89-E89-O89),0),IF((D89+N89-O89)&gt;0,(D89+N89-O89),0)),2)</f>
        <v>12816.89</v>
      </c>
      <c r="Q89" s="11" t="n">
        <f aca="false">ROUND(IF(E89=0,IF((D89+N89-O89)&lt;0,ABS(D89+N89-O89),0),IF((N89-E89-O89)&lt;0,ABS(N89-E89-O89),0)),2)</f>
        <v>0</v>
      </c>
    </row>
    <row r="90" customFormat="false" ht="15" hidden="false" customHeight="true" outlineLevel="0" collapsed="false">
      <c r="A90" s="12" t="s">
        <v>266</v>
      </c>
      <c r="B90" s="8" t="s">
        <v>267</v>
      </c>
      <c r="C90" s="12" t="s">
        <v>268</v>
      </c>
      <c r="D90" s="9" t="n">
        <v>0</v>
      </c>
      <c r="E90" s="9" t="n">
        <v>0.69</v>
      </c>
      <c r="F90" s="13" t="n">
        <v>0</v>
      </c>
      <c r="G90" s="13" t="n">
        <v>49.7</v>
      </c>
      <c r="H90" s="13" t="n">
        <v>0</v>
      </c>
      <c r="I90" s="13" t="n">
        <f aca="false">W$1</f>
        <v>4.1</v>
      </c>
      <c r="J90" s="14" t="n">
        <f aca="false">ROUND(G90*I90,2)</f>
        <v>203.77</v>
      </c>
      <c r="K90" s="14"/>
      <c r="L90" s="14"/>
      <c r="M90" s="14"/>
      <c r="N90" s="14" t="n">
        <f aca="false">ROUND((G90*I90)-K90-L90-M90,2)</f>
        <v>203.77</v>
      </c>
      <c r="O90" s="14" t="n">
        <v>612</v>
      </c>
      <c r="P90" s="11" t="n">
        <f aca="false">ROUND(IF(D90=0,IF((N90-E90-O90)&gt;0,(N90-E90-O90),0),IF((D90+N90-O90)&gt;0,(D90+N90-O90),0)),2)</f>
        <v>0</v>
      </c>
      <c r="Q90" s="11" t="n">
        <f aca="false">ROUND(IF(E90=0,IF((D90+N90-O90)&lt;0,ABS(D90+N90-O90),0),IF((N90-E90-O90)&lt;0,ABS(N90-E90-O90),0)),2)</f>
        <v>408.92</v>
      </c>
    </row>
    <row r="91" customFormat="false" ht="15" hidden="false" customHeight="true" outlineLevel="0" collapsed="false">
      <c r="A91" s="12" t="s">
        <v>269</v>
      </c>
      <c r="B91" s="8" t="s">
        <v>270</v>
      </c>
      <c r="C91" s="12" t="s">
        <v>271</v>
      </c>
      <c r="D91" s="9" t="n">
        <v>5799.45</v>
      </c>
      <c r="E91" s="9" t="n">
        <v>0</v>
      </c>
      <c r="F91" s="13" t="n">
        <v>0</v>
      </c>
      <c r="G91" s="13" t="n">
        <v>34.5</v>
      </c>
      <c r="H91" s="13" t="n">
        <v>0</v>
      </c>
      <c r="I91" s="13" t="n">
        <f aca="false">W$1</f>
        <v>4.1</v>
      </c>
      <c r="J91" s="14" t="n">
        <f aca="false">ROUND(G91*I91,2)</f>
        <v>141.45</v>
      </c>
      <c r="K91" s="14"/>
      <c r="L91" s="14"/>
      <c r="M91" s="14"/>
      <c r="N91" s="14" t="n">
        <f aca="false">ROUND((G91*I91)-K91-L91-M91,2)</f>
        <v>141.45</v>
      </c>
      <c r="O91" s="14"/>
      <c r="P91" s="11" t="n">
        <f aca="false">ROUND(IF(D91=0,IF((N91-E91-O91)&gt;0,(N91-E91-O91),0),IF((D91+N91-O91)&gt;0,(D91+N91-O91),0)),2)</f>
        <v>5940.9</v>
      </c>
      <c r="Q91" s="11" t="n">
        <f aca="false">ROUND(IF(E91=0,IF((D91+N91-O91)&lt;0,ABS(D91+N91-O91),0),IF((N91-E91-O91)&lt;0,ABS(N91-E91-O91),0)),2)</f>
        <v>0</v>
      </c>
    </row>
    <row r="92" customFormat="false" ht="15" hidden="false" customHeight="true" outlineLevel="0" collapsed="false">
      <c r="A92" s="12" t="s">
        <v>272</v>
      </c>
      <c r="B92" s="8" t="s">
        <v>273</v>
      </c>
      <c r="C92" s="12" t="s">
        <v>274</v>
      </c>
      <c r="D92" s="9" t="n">
        <v>3756.43</v>
      </c>
      <c r="E92" s="9" t="n">
        <v>0</v>
      </c>
      <c r="F92" s="13" t="n">
        <v>0</v>
      </c>
      <c r="G92" s="13" t="n">
        <v>62.4</v>
      </c>
      <c r="H92" s="13" t="n">
        <v>0</v>
      </c>
      <c r="I92" s="13" t="n">
        <f aca="false">W$1</f>
        <v>4.1</v>
      </c>
      <c r="J92" s="14" t="n">
        <f aca="false">ROUND(G92*I92,2)</f>
        <v>255.84</v>
      </c>
      <c r="K92" s="14"/>
      <c r="L92" s="14"/>
      <c r="M92" s="14"/>
      <c r="N92" s="14" t="n">
        <f aca="false">ROUND((G92*I92)-K92-L92-M92,2)</f>
        <v>255.84</v>
      </c>
      <c r="O92" s="14"/>
      <c r="P92" s="11" t="n">
        <f aca="false">ROUND(IF(D92=0,IF((N92-E92-O92)&gt;0,(N92-E92-O92),0),IF((D92+N92-O92)&gt;0,(D92+N92-O92),0)),2)</f>
        <v>4012.27</v>
      </c>
      <c r="Q92" s="11" t="n">
        <f aca="false">ROUND(IF(E92=0,IF((D92+N92-O92)&lt;0,ABS(D92+N92-O92),0),IF((N92-E92-O92)&lt;0,ABS(N92-E92-O92),0)),2)</f>
        <v>0</v>
      </c>
    </row>
    <row r="93" customFormat="false" ht="15" hidden="false" customHeight="true" outlineLevel="0" collapsed="false">
      <c r="A93" s="12" t="s">
        <v>275</v>
      </c>
      <c r="B93" s="8" t="s">
        <v>276</v>
      </c>
      <c r="C93" s="12" t="s">
        <v>277</v>
      </c>
      <c r="D93" s="9" t="n">
        <v>272.49</v>
      </c>
      <c r="E93" s="9" t="n">
        <v>0</v>
      </c>
      <c r="F93" s="13" t="n">
        <v>0</v>
      </c>
      <c r="G93" s="13" t="n">
        <v>66.46</v>
      </c>
      <c r="H93" s="13" t="n">
        <v>0</v>
      </c>
      <c r="I93" s="13" t="n">
        <f aca="false">W$1</f>
        <v>4.1</v>
      </c>
      <c r="J93" s="14" t="n">
        <f aca="false">ROUND(G93*I93,2)</f>
        <v>272.49</v>
      </c>
      <c r="K93" s="14"/>
      <c r="L93" s="14"/>
      <c r="M93" s="14"/>
      <c r="N93" s="14" t="n">
        <f aca="false">ROUND((G93*I93)-K93-L93-M93,2)</f>
        <v>272.49</v>
      </c>
      <c r="O93" s="14"/>
      <c r="P93" s="11" t="n">
        <f aca="false">ROUND(IF(D93=0,IF((N93-E93-O93)&gt;0,(N93-E93-O93),0),IF((D93+N93-O93)&gt;0,(D93+N93-O93),0)),2)</f>
        <v>544.98</v>
      </c>
      <c r="Q93" s="11" t="n">
        <f aca="false">ROUND(IF(E93=0,IF((D93+N93-O93)&lt;0,ABS(D93+N93-O93),0),IF((N93-E93-O93)&lt;0,ABS(N93-E93-O93),0)),2)</f>
        <v>0</v>
      </c>
    </row>
    <row r="94" customFormat="false" ht="15" hidden="false" customHeight="true" outlineLevel="0" collapsed="false">
      <c r="A94" s="12" t="s">
        <v>278</v>
      </c>
      <c r="B94" s="8" t="s">
        <v>279</v>
      </c>
      <c r="C94" s="12" t="s">
        <v>280</v>
      </c>
      <c r="D94" s="9" t="n">
        <v>7786.62</v>
      </c>
      <c r="E94" s="9" t="n">
        <v>0</v>
      </c>
      <c r="F94" s="13" t="n">
        <v>0</v>
      </c>
      <c r="G94" s="13" t="n">
        <v>49.73</v>
      </c>
      <c r="H94" s="13" t="n">
        <v>0</v>
      </c>
      <c r="I94" s="13" t="n">
        <f aca="false">W$1</f>
        <v>4.1</v>
      </c>
      <c r="J94" s="14" t="n">
        <f aca="false">ROUND(G94*I94,2)</f>
        <v>203.89</v>
      </c>
      <c r="K94" s="14"/>
      <c r="L94" s="14"/>
      <c r="M94" s="14"/>
      <c r="N94" s="14" t="n">
        <f aca="false">ROUND((G94*I94)-K94-L94-M94,2)</f>
        <v>203.89</v>
      </c>
      <c r="O94" s="14"/>
      <c r="P94" s="11" t="n">
        <f aca="false">ROUND(IF(D94=0,IF((N94-E94-O94)&gt;0,(N94-E94-O94),0),IF((D94+N94-O94)&gt;0,(D94+N94-O94),0)),2)</f>
        <v>7990.51</v>
      </c>
      <c r="Q94" s="11" t="n">
        <f aca="false">ROUND(IF(E94=0,IF((D94+N94-O94)&lt;0,ABS(D94+N94-O94),0),IF((N94-E94-O94)&lt;0,ABS(N94-E94-O94),0)),2)</f>
        <v>0</v>
      </c>
    </row>
    <row r="95" customFormat="false" ht="15" hidden="false" customHeight="true" outlineLevel="0" collapsed="false">
      <c r="A95" s="12" t="s">
        <v>281</v>
      </c>
      <c r="B95" s="8" t="s">
        <v>282</v>
      </c>
      <c r="C95" s="12" t="s">
        <v>283</v>
      </c>
      <c r="D95" s="9" t="n">
        <v>8943.69</v>
      </c>
      <c r="E95" s="9" t="n">
        <v>0</v>
      </c>
      <c r="F95" s="13" t="n">
        <v>0</v>
      </c>
      <c r="G95" s="13" t="n">
        <v>34.9</v>
      </c>
      <c r="H95" s="13" t="n">
        <v>0</v>
      </c>
      <c r="I95" s="13" t="n">
        <f aca="false">W$1</f>
        <v>4.1</v>
      </c>
      <c r="J95" s="14" t="n">
        <f aca="false">ROUND(G95*I95,2)</f>
        <v>143.09</v>
      </c>
      <c r="K95" s="14"/>
      <c r="L95" s="14"/>
      <c r="M95" s="14"/>
      <c r="N95" s="14" t="n">
        <f aca="false">ROUND((G95*I95)-K95-L95-M95,2)</f>
        <v>143.09</v>
      </c>
      <c r="O95" s="14"/>
      <c r="P95" s="11" t="n">
        <f aca="false">ROUND(IF(D95=0,IF((N95-E95-O95)&gt;0,(N95-E95-O95),0),IF((D95+N95-O95)&gt;0,(D95+N95-O95),0)),2)</f>
        <v>9086.78</v>
      </c>
      <c r="Q95" s="11" t="n">
        <f aca="false">ROUND(IF(E95=0,IF((D95+N95-O95)&lt;0,ABS(D95+N95-O95),0),IF((N95-E95-O95)&lt;0,ABS(N95-E95-O95),0)),2)</f>
        <v>0</v>
      </c>
    </row>
    <row r="96" customFormat="false" ht="15" hidden="false" customHeight="true" outlineLevel="0" collapsed="false">
      <c r="A96" s="12" t="s">
        <v>284</v>
      </c>
      <c r="B96" s="8" t="s">
        <v>285</v>
      </c>
      <c r="C96" s="12" t="s">
        <v>286</v>
      </c>
      <c r="D96" s="9" t="n">
        <v>13377.39</v>
      </c>
      <c r="E96" s="9" t="n">
        <v>0</v>
      </c>
      <c r="F96" s="13" t="n">
        <v>0</v>
      </c>
      <c r="G96" s="13" t="n">
        <v>61.9</v>
      </c>
      <c r="H96" s="13" t="n">
        <v>0</v>
      </c>
      <c r="I96" s="13" t="n">
        <f aca="false">W$1</f>
        <v>4.1</v>
      </c>
      <c r="J96" s="14" t="n">
        <f aca="false">ROUND(G96*I96,2)</f>
        <v>253.79</v>
      </c>
      <c r="K96" s="14"/>
      <c r="L96" s="14"/>
      <c r="M96" s="14"/>
      <c r="N96" s="14" t="n">
        <f aca="false">ROUND((G96*I96)-K96-L96-M96,2)</f>
        <v>253.79</v>
      </c>
      <c r="O96" s="14"/>
      <c r="P96" s="11" t="n">
        <f aca="false">ROUND(IF(D96=0,IF((N96-E96-O96)&gt;0,(N96-E96-O96),0),IF((D96+N96-O96)&gt;0,(D96+N96-O96),0)),2)</f>
        <v>13631.18</v>
      </c>
      <c r="Q96" s="11" t="n">
        <f aca="false">ROUND(IF(E96=0,IF((D96+N96-O96)&lt;0,ABS(D96+N96-O96),0),IF((N96-E96-O96)&lt;0,ABS(N96-E96-O96),0)),2)</f>
        <v>0</v>
      </c>
    </row>
    <row r="97" customFormat="false" ht="15" hidden="false" customHeight="true" outlineLevel="0" collapsed="false">
      <c r="A97" s="12" t="s">
        <v>287</v>
      </c>
      <c r="B97" s="8" t="s">
        <v>288</v>
      </c>
      <c r="C97" s="12" t="s">
        <v>289</v>
      </c>
      <c r="D97" s="9" t="n">
        <v>0</v>
      </c>
      <c r="E97" s="9" t="n">
        <v>12.24</v>
      </c>
      <c r="F97" s="13" t="n">
        <v>0</v>
      </c>
      <c r="G97" s="13" t="n">
        <v>65.3</v>
      </c>
      <c r="H97" s="13" t="n">
        <v>0</v>
      </c>
      <c r="I97" s="13" t="n">
        <f aca="false">W$1</f>
        <v>4.1</v>
      </c>
      <c r="J97" s="14" t="n">
        <f aca="false">ROUND(G97*I97,2)</f>
        <v>267.73</v>
      </c>
      <c r="K97" s="14"/>
      <c r="L97" s="14"/>
      <c r="M97" s="14"/>
      <c r="N97" s="14" t="n">
        <f aca="false">ROUND((G97*I97)-K97-L97-M97,2)</f>
        <v>267.73</v>
      </c>
      <c r="O97" s="14" t="n">
        <v>260</v>
      </c>
      <c r="P97" s="11" t="n">
        <f aca="false">ROUND(IF(D97=0,IF((N97-E97-O97)&gt;0,(N97-E97-O97),0),IF((D97+N97-O97)&gt;0,(D97+N97-O97),0)),2)</f>
        <v>0</v>
      </c>
      <c r="Q97" s="11" t="n">
        <f aca="false">ROUND(IF(E97=0,IF((D97+N97-O97)&lt;0,ABS(D97+N97-O97),0),IF((N97-E97-O97)&lt;0,ABS(N97-E97-O97),0)),2)</f>
        <v>4.51</v>
      </c>
    </row>
    <row r="98" customFormat="false" ht="15" hidden="false" customHeight="true" outlineLevel="0" collapsed="false">
      <c r="A98" s="12" t="s">
        <v>290</v>
      </c>
      <c r="B98" s="8" t="s">
        <v>291</v>
      </c>
      <c r="C98" s="12" t="s">
        <v>292</v>
      </c>
      <c r="D98" s="9" t="n">
        <v>380.69</v>
      </c>
      <c r="E98" s="9" t="n">
        <v>0</v>
      </c>
      <c r="F98" s="13" t="n">
        <v>0</v>
      </c>
      <c r="G98" s="13" t="n">
        <v>49.48</v>
      </c>
      <c r="H98" s="13" t="n">
        <v>0</v>
      </c>
      <c r="I98" s="13" t="n">
        <f aca="false">W$1</f>
        <v>4.1</v>
      </c>
      <c r="J98" s="14" t="n">
        <f aca="false">ROUND(G98*I98,2)</f>
        <v>202.87</v>
      </c>
      <c r="K98" s="14"/>
      <c r="L98" s="14"/>
      <c r="M98" s="14"/>
      <c r="N98" s="14" t="n">
        <f aca="false">ROUND((G98*I98)-K98-L98-M98,2)</f>
        <v>202.87</v>
      </c>
      <c r="O98" s="14" t="n">
        <v>609</v>
      </c>
      <c r="P98" s="11" t="n">
        <f aca="false">ROUND(IF(D98=0,IF((N98-E98-O98)&gt;0,(N98-E98-O98),0),IF((D98+N98-O98)&gt;0,(D98+N98-O98),0)),2)</f>
        <v>0</v>
      </c>
      <c r="Q98" s="11" t="n">
        <f aca="false">ROUND(IF(E98=0,IF((D98+N98-O98)&lt;0,ABS(D98+N98-O98),0),IF((N98-E98-O98)&lt;0,ABS(N98-E98-O98),0)),2)</f>
        <v>25.44</v>
      </c>
    </row>
    <row r="99" customFormat="false" ht="15" hidden="false" customHeight="true" outlineLevel="0" collapsed="false">
      <c r="A99" s="12" t="s">
        <v>293</v>
      </c>
      <c r="B99" s="8" t="s">
        <v>294</v>
      </c>
      <c r="C99" s="12" t="s">
        <v>295</v>
      </c>
      <c r="D99" s="9" t="n">
        <v>140.77</v>
      </c>
      <c r="E99" s="9" t="n">
        <v>0</v>
      </c>
      <c r="F99" s="13" t="n">
        <v>0</v>
      </c>
      <c r="G99" s="13" t="n">
        <v>35.1</v>
      </c>
      <c r="H99" s="13" t="n">
        <v>0</v>
      </c>
      <c r="I99" s="13" t="n">
        <f aca="false">W$1</f>
        <v>4.1</v>
      </c>
      <c r="J99" s="14" t="n">
        <f aca="false">ROUND(G99*I99,2)</f>
        <v>143.91</v>
      </c>
      <c r="K99" s="14"/>
      <c r="L99" s="14"/>
      <c r="M99" s="14"/>
      <c r="N99" s="14" t="n">
        <f aca="false">ROUND((G99*I99)-K99-L99-M99,2)</f>
        <v>143.91</v>
      </c>
      <c r="O99" s="14" t="n">
        <v>143.91</v>
      </c>
      <c r="P99" s="11" t="n">
        <f aca="false">ROUND(IF(D99=0,IF((N99-E99-O99)&gt;0,(N99-E99-O99),0),IF((D99+N99-O99)&gt;0,(D99+N99-O99),0)),2)</f>
        <v>140.77</v>
      </c>
      <c r="Q99" s="11" t="n">
        <f aca="false">ROUND(IF(E99=0,IF((D99+N99-O99)&lt;0,ABS(D99+N99-O99),0),IF((N99-E99-O99)&lt;0,ABS(N99-E99-O99),0)),2)</f>
        <v>0</v>
      </c>
    </row>
    <row r="100" customFormat="false" ht="15" hidden="false" customHeight="true" outlineLevel="0" collapsed="false">
      <c r="A100" s="12" t="s">
        <v>296</v>
      </c>
      <c r="B100" s="8" t="s">
        <v>297</v>
      </c>
      <c r="C100" s="12" t="s">
        <v>298</v>
      </c>
      <c r="D100" s="9" t="n">
        <v>12956</v>
      </c>
      <c r="E100" s="9" t="n">
        <v>0</v>
      </c>
      <c r="F100" s="13" t="n">
        <v>0</v>
      </c>
      <c r="G100" s="13" t="n">
        <v>63.2</v>
      </c>
      <c r="H100" s="13" t="n">
        <v>0</v>
      </c>
      <c r="I100" s="13" t="n">
        <f aca="false">W$1</f>
        <v>4.1</v>
      </c>
      <c r="J100" s="14" t="n">
        <f aca="false">ROUND(G100*I100,2)</f>
        <v>259.12</v>
      </c>
      <c r="K100" s="14"/>
      <c r="L100" s="14"/>
      <c r="M100" s="14"/>
      <c r="N100" s="14" t="n">
        <f aca="false">ROUND((G100*I100)-K100-L100-M100,2)</f>
        <v>259.12</v>
      </c>
      <c r="O100" s="14"/>
      <c r="P100" s="11" t="n">
        <f aca="false">ROUND(IF(D100=0,IF((N100-E100-O100)&gt;0,(N100-E100-O100),0),IF((D100+N100-O100)&gt;0,(D100+N100-O100),0)),2)</f>
        <v>13215.12</v>
      </c>
      <c r="Q100" s="11" t="n">
        <f aca="false">ROUND(IF(E100=0,IF((D100+N100-O100)&lt;0,ABS(D100+N100-O100),0),IF((N100-E100-O100)&lt;0,ABS(N100-E100-O100),0)),2)</f>
        <v>0</v>
      </c>
    </row>
    <row r="101" customFormat="false" ht="15" hidden="false" customHeight="true" outlineLevel="0" collapsed="false">
      <c r="A101" s="12" t="s">
        <v>299</v>
      </c>
      <c r="B101" s="8" t="s">
        <v>300</v>
      </c>
      <c r="C101" s="12" t="s">
        <v>301</v>
      </c>
      <c r="D101" s="9" t="n">
        <v>7394.84</v>
      </c>
      <c r="E101" s="9" t="n">
        <v>0</v>
      </c>
      <c r="F101" s="13" t="n">
        <v>0</v>
      </c>
      <c r="G101" s="13" t="n">
        <v>66.1</v>
      </c>
      <c r="H101" s="13" t="n">
        <v>0</v>
      </c>
      <c r="I101" s="13" t="n">
        <f aca="false">W$1</f>
        <v>4.1</v>
      </c>
      <c r="J101" s="14" t="n">
        <f aca="false">ROUND(G101*I101,2)</f>
        <v>271.01</v>
      </c>
      <c r="K101" s="14"/>
      <c r="L101" s="14"/>
      <c r="M101" s="14"/>
      <c r="N101" s="14" t="n">
        <f aca="false">ROUND((G101*I101)-K101-L101-M101,2)</f>
        <v>271.01</v>
      </c>
      <c r="O101" s="14"/>
      <c r="P101" s="11" t="n">
        <f aca="false">ROUND(IF(D101=0,IF((N101-E101-O101)&gt;0,(N101-E101-O101),0),IF((D101+N101-O101)&gt;0,(D101+N101-O101),0)),2)</f>
        <v>7665.85</v>
      </c>
      <c r="Q101" s="11" t="n">
        <f aca="false">ROUND(IF(E101=0,IF((D101+N101-O101)&lt;0,ABS(D101+N101-O101),0),IF((N101-E101-O101)&lt;0,ABS(N101-E101-O101),0)),2)</f>
        <v>0</v>
      </c>
    </row>
    <row r="102" customFormat="false" ht="15" hidden="false" customHeight="true" outlineLevel="0" collapsed="false">
      <c r="A102" s="12" t="s">
        <v>302</v>
      </c>
      <c r="B102" s="8" t="s">
        <v>303</v>
      </c>
      <c r="C102" s="12" t="s">
        <v>304</v>
      </c>
      <c r="D102" s="9" t="n">
        <v>7350.55</v>
      </c>
      <c r="E102" s="9" t="n">
        <v>0</v>
      </c>
      <c r="F102" s="13" t="n">
        <v>0</v>
      </c>
      <c r="G102" s="13" t="n">
        <v>49.8</v>
      </c>
      <c r="H102" s="13" t="n">
        <v>0</v>
      </c>
      <c r="I102" s="13" t="n">
        <f aca="false">W$1</f>
        <v>4.1</v>
      </c>
      <c r="J102" s="14" t="n">
        <f aca="false">ROUND(G102*I102,2)</f>
        <v>204.18</v>
      </c>
      <c r="K102" s="14"/>
      <c r="L102" s="14"/>
      <c r="M102" s="14"/>
      <c r="N102" s="14" t="n">
        <f aca="false">ROUND((G102*I102)-K102-L102-M102,2)</f>
        <v>204.18</v>
      </c>
      <c r="O102" s="14"/>
      <c r="P102" s="11" t="n">
        <f aca="false">ROUND(IF(D102=0,IF((N102-E102-O102)&gt;0,(N102-E102-O102),0),IF((D102+N102-O102)&gt;0,(D102+N102-O102),0)),2)</f>
        <v>7554.73</v>
      </c>
      <c r="Q102" s="11" t="n">
        <f aca="false">ROUND(IF(E102=0,IF((D102+N102-O102)&lt;0,ABS(D102+N102-O102),0),IF((N102-E102-O102)&lt;0,ABS(N102-E102-O102),0)),2)</f>
        <v>0</v>
      </c>
    </row>
    <row r="103" customFormat="false" ht="15" hidden="false" customHeight="true" outlineLevel="0" collapsed="false">
      <c r="A103" s="12" t="s">
        <v>305</v>
      </c>
      <c r="B103" s="8" t="s">
        <v>306</v>
      </c>
      <c r="C103" s="12" t="s">
        <v>307</v>
      </c>
      <c r="D103" s="9" t="n">
        <v>6243.44</v>
      </c>
      <c r="E103" s="9" t="n">
        <v>0</v>
      </c>
      <c r="F103" s="13" t="n">
        <v>0</v>
      </c>
      <c r="G103" s="13" t="n">
        <v>34.6</v>
      </c>
      <c r="H103" s="13" t="n">
        <v>0</v>
      </c>
      <c r="I103" s="13" t="n">
        <f aca="false">W$1</f>
        <v>4.1</v>
      </c>
      <c r="J103" s="14" t="n">
        <f aca="false">ROUND(G103*I103,2)</f>
        <v>141.86</v>
      </c>
      <c r="K103" s="14"/>
      <c r="L103" s="14"/>
      <c r="M103" s="14"/>
      <c r="N103" s="14" t="n">
        <f aca="false">ROUND((G103*I103)-K103-L103-M103,2)</f>
        <v>141.86</v>
      </c>
      <c r="O103" s="14"/>
      <c r="P103" s="11" t="n">
        <f aca="false">ROUND(IF(D103=0,IF((N103-E103-O103)&gt;0,(N103-E103-O103),0),IF((D103+N103-O103)&gt;0,(D103+N103-O103),0)),2)</f>
        <v>6385.3</v>
      </c>
      <c r="Q103" s="11" t="n">
        <f aca="false">ROUND(IF(E103=0,IF((D103+N103-O103)&lt;0,ABS(D103+N103-O103),0),IF((N103-E103-O103)&lt;0,ABS(N103-E103-O103),0)),2)</f>
        <v>0</v>
      </c>
    </row>
    <row r="104" customFormat="false" ht="15" hidden="false" customHeight="true" outlineLevel="0" collapsed="false">
      <c r="A104" s="12" t="s">
        <v>308</v>
      </c>
      <c r="B104" s="8" t="s">
        <v>309</v>
      </c>
      <c r="C104" s="12" t="s">
        <v>310</v>
      </c>
      <c r="D104" s="9" t="n">
        <v>256.66</v>
      </c>
      <c r="E104" s="9" t="n">
        <v>0</v>
      </c>
      <c r="F104" s="13" t="n">
        <v>0</v>
      </c>
      <c r="G104" s="13" t="n">
        <v>62.6</v>
      </c>
      <c r="H104" s="13" t="n">
        <v>0</v>
      </c>
      <c r="I104" s="13" t="n">
        <f aca="false">W$1</f>
        <v>4.1</v>
      </c>
      <c r="J104" s="14" t="n">
        <f aca="false">ROUND(G104*I104,2)</f>
        <v>256.66</v>
      </c>
      <c r="K104" s="14"/>
      <c r="L104" s="14"/>
      <c r="M104" s="14"/>
      <c r="N104" s="14" t="n">
        <f aca="false">ROUND((G104*I104)-K104-L104-M104,2)</f>
        <v>256.66</v>
      </c>
      <c r="O104" s="14" t="n">
        <v>256.66</v>
      </c>
      <c r="P104" s="11" t="n">
        <f aca="false">ROUND(IF(D104=0,IF((N104-E104-O104)&gt;0,(N104-E104-O104),0),IF((D104+N104-O104)&gt;0,(D104+N104-O104),0)),2)</f>
        <v>256.66</v>
      </c>
      <c r="Q104" s="11" t="n">
        <f aca="false">ROUND(IF(E104=0,IF((D104+N104-O104)&lt;0,ABS(D104+N104-O104),0),IF((N104-E104-O104)&lt;0,ABS(N104-E104-O104),0)),2)</f>
        <v>0</v>
      </c>
    </row>
    <row r="105" customFormat="false" ht="15" hidden="false" customHeight="true" outlineLevel="0" collapsed="false">
      <c r="A105" s="12" t="s">
        <v>311</v>
      </c>
      <c r="B105" s="8" t="s">
        <v>312</v>
      </c>
      <c r="C105" s="12" t="s">
        <v>313</v>
      </c>
      <c r="D105" s="9" t="n">
        <v>11288.59</v>
      </c>
      <c r="E105" s="9" t="n">
        <v>0</v>
      </c>
      <c r="F105" s="13" t="n">
        <v>0</v>
      </c>
      <c r="G105" s="13" t="n">
        <v>65.57</v>
      </c>
      <c r="H105" s="13" t="n">
        <v>0</v>
      </c>
      <c r="I105" s="13" t="n">
        <f aca="false">W$1</f>
        <v>4.1</v>
      </c>
      <c r="J105" s="14" t="n">
        <f aca="false">ROUND(G105*I105,2)</f>
        <v>268.84</v>
      </c>
      <c r="K105" s="14"/>
      <c r="L105" s="14"/>
      <c r="M105" s="14"/>
      <c r="N105" s="14" t="n">
        <f aca="false">ROUND((G105*I105)-K105-L105-M105,2)</f>
        <v>268.84</v>
      </c>
      <c r="O105" s="14"/>
      <c r="P105" s="11" t="n">
        <f aca="false">ROUND(IF(D105=0,IF((N105-E105-O105)&gt;0,(N105-E105-O105),0),IF((D105+N105-O105)&gt;0,(D105+N105-O105),0)),2)</f>
        <v>11557.43</v>
      </c>
      <c r="Q105" s="11" t="n">
        <f aca="false">ROUND(IF(E105=0,IF((D105+N105-O105)&lt;0,ABS(D105+N105-O105),0),IF((N105-E105-O105)&lt;0,ABS(N105-E105-O105),0)),2)</f>
        <v>0</v>
      </c>
    </row>
    <row r="106" customFormat="false" ht="15" hidden="false" customHeight="true" outlineLevel="0" collapsed="false">
      <c r="A106" s="12" t="s">
        <v>314</v>
      </c>
      <c r="B106" s="8" t="s">
        <v>315</v>
      </c>
      <c r="C106" s="12" t="s">
        <v>316</v>
      </c>
      <c r="D106" s="9" t="n">
        <v>7364.15</v>
      </c>
      <c r="E106" s="9" t="n">
        <v>0</v>
      </c>
      <c r="F106" s="13" t="n">
        <v>0</v>
      </c>
      <c r="G106" s="13" t="n">
        <v>49.8</v>
      </c>
      <c r="H106" s="13" t="n">
        <v>0</v>
      </c>
      <c r="I106" s="13" t="n">
        <f aca="false">W$1</f>
        <v>4.1</v>
      </c>
      <c r="J106" s="14" t="n">
        <f aca="false">ROUND(G106*I106,2)</f>
        <v>204.18</v>
      </c>
      <c r="K106" s="14"/>
      <c r="L106" s="14"/>
      <c r="M106" s="14"/>
      <c r="N106" s="14" t="n">
        <f aca="false">ROUND((G106*I106)-K106-L106-M106,2)</f>
        <v>204.18</v>
      </c>
      <c r="O106" s="14"/>
      <c r="P106" s="11" t="n">
        <f aca="false">ROUND(IF(D106=0,IF((N106-E106-O106)&gt;0,(N106-E106-O106),0),IF((D106+N106-O106)&gt;0,(D106+N106-O106),0)),2)</f>
        <v>7568.33</v>
      </c>
      <c r="Q106" s="11" t="n">
        <f aca="false">ROUND(IF(E106=0,IF((D106+N106-O106)&lt;0,ABS(D106+N106-O106),0),IF((N106-E106-O106)&lt;0,ABS(N106-E106-O106),0)),2)</f>
        <v>0</v>
      </c>
    </row>
    <row r="107" customFormat="false" ht="15" hidden="false" customHeight="true" outlineLevel="0" collapsed="false">
      <c r="A107" s="12" t="s">
        <v>317</v>
      </c>
      <c r="B107" s="8" t="s">
        <v>318</v>
      </c>
      <c r="C107" s="12" t="s">
        <v>319</v>
      </c>
      <c r="D107" s="9" t="n">
        <v>5963.96</v>
      </c>
      <c r="E107" s="9" t="n">
        <v>0</v>
      </c>
      <c r="F107" s="13" t="n">
        <v>0</v>
      </c>
      <c r="G107" s="13" t="n">
        <v>34.9</v>
      </c>
      <c r="H107" s="13" t="n">
        <v>0</v>
      </c>
      <c r="I107" s="13" t="n">
        <f aca="false">W$1</f>
        <v>4.1</v>
      </c>
      <c r="J107" s="14" t="n">
        <f aca="false">ROUND(G107*I107,2)</f>
        <v>143.09</v>
      </c>
      <c r="K107" s="14"/>
      <c r="L107" s="14"/>
      <c r="M107" s="14"/>
      <c r="N107" s="14" t="n">
        <f aca="false">ROUND((G107*I107)-K107-L107-M107,2)</f>
        <v>143.09</v>
      </c>
      <c r="O107" s="14"/>
      <c r="P107" s="11" t="n">
        <f aca="false">ROUND(IF(D107=0,IF((N107-E107-O107)&gt;0,(N107-E107-O107),0),IF((D107+N107-O107)&gt;0,(D107+N107-O107),0)),2)</f>
        <v>6107.05</v>
      </c>
      <c r="Q107" s="11" t="n">
        <f aca="false">ROUND(IF(E107=0,IF((D107+N107-O107)&lt;0,ABS(D107+N107-O107),0),IF((N107-E107-O107)&lt;0,ABS(N107-E107-O107),0)),2)</f>
        <v>0</v>
      </c>
    </row>
    <row r="108" customFormat="false" ht="15" hidden="false" customHeight="true" outlineLevel="0" collapsed="false">
      <c r="A108" s="12" t="s">
        <v>320</v>
      </c>
      <c r="B108" s="8" t="s">
        <v>321</v>
      </c>
      <c r="C108" s="12" t="s">
        <v>322</v>
      </c>
      <c r="D108" s="9" t="n">
        <v>12097.04</v>
      </c>
      <c r="E108" s="9" t="n">
        <v>0</v>
      </c>
      <c r="F108" s="13" t="n">
        <v>0</v>
      </c>
      <c r="G108" s="13" t="n">
        <v>62.78</v>
      </c>
      <c r="H108" s="13" t="n">
        <v>0</v>
      </c>
      <c r="I108" s="13" t="n">
        <f aca="false">W$1</f>
        <v>4.1</v>
      </c>
      <c r="J108" s="14" t="n">
        <f aca="false">ROUND(G108*I108,2)</f>
        <v>257.4</v>
      </c>
      <c r="K108" s="14"/>
      <c r="L108" s="14"/>
      <c r="M108" s="14"/>
      <c r="N108" s="14" t="n">
        <f aca="false">ROUND((G108*I108)-K108-L108-M108,2)</f>
        <v>257.4</v>
      </c>
      <c r="O108" s="14"/>
      <c r="P108" s="11" t="n">
        <f aca="false">ROUND(IF(D108=0,IF((N108-E108-O108)&gt;0,(N108-E108-O108),0),IF((D108+N108-O108)&gt;0,(D108+N108-O108),0)),2)</f>
        <v>12354.44</v>
      </c>
      <c r="Q108" s="11" t="n">
        <f aca="false">ROUND(IF(E108=0,IF((D108+N108-O108)&lt;0,ABS(D108+N108-O108),0),IF((N108-E108-O108)&lt;0,ABS(N108-E108-O108),0)),2)</f>
        <v>0</v>
      </c>
    </row>
    <row r="109" customFormat="false" ht="15" hidden="false" customHeight="true" outlineLevel="0" collapsed="false">
      <c r="A109" s="12" t="s">
        <v>323</v>
      </c>
      <c r="B109" s="8" t="s">
        <v>324</v>
      </c>
      <c r="C109" s="12" t="s">
        <v>325</v>
      </c>
      <c r="D109" s="9" t="n">
        <v>12693.2</v>
      </c>
      <c r="E109" s="9" t="n">
        <v>0</v>
      </c>
      <c r="F109" s="13" t="n">
        <v>0</v>
      </c>
      <c r="G109" s="13" t="n">
        <v>66.29</v>
      </c>
      <c r="H109" s="13" t="n">
        <v>0</v>
      </c>
      <c r="I109" s="13" t="n">
        <f aca="false">W$1</f>
        <v>4.1</v>
      </c>
      <c r="J109" s="14" t="n">
        <f aca="false">ROUND(G109*I109,2)</f>
        <v>271.79</v>
      </c>
      <c r="K109" s="14"/>
      <c r="L109" s="14"/>
      <c r="M109" s="14"/>
      <c r="N109" s="14" t="n">
        <f aca="false">ROUND((G109*I109)-K109-L109-M109,2)</f>
        <v>271.79</v>
      </c>
      <c r="O109" s="14"/>
      <c r="P109" s="11" t="n">
        <f aca="false">ROUND(IF(D109=0,IF((N109-E109-O109)&gt;0,(N109-E109-O109),0),IF((D109+N109-O109)&gt;0,(D109+N109-O109),0)),2)</f>
        <v>12964.99</v>
      </c>
      <c r="Q109" s="11" t="n">
        <f aca="false">ROUND(IF(E109=0,IF((D109+N109-O109)&lt;0,ABS(D109+N109-O109),0),IF((N109-E109-O109)&lt;0,ABS(N109-E109-O109),0)),2)</f>
        <v>0</v>
      </c>
    </row>
    <row r="110" customFormat="false" ht="15" hidden="false" customHeight="true" outlineLevel="0" collapsed="false">
      <c r="A110" s="12" t="s">
        <v>326</v>
      </c>
      <c r="B110" s="8" t="s">
        <v>327</v>
      </c>
      <c r="C110" s="12" t="s">
        <v>328</v>
      </c>
      <c r="D110" s="9" t="n">
        <v>9249</v>
      </c>
      <c r="E110" s="9" t="n">
        <v>0</v>
      </c>
      <c r="F110" s="13" t="n">
        <v>0</v>
      </c>
      <c r="G110" s="13" t="n">
        <v>50</v>
      </c>
      <c r="H110" s="13" t="n">
        <v>0</v>
      </c>
      <c r="I110" s="13" t="n">
        <f aca="false">W$1</f>
        <v>4.1</v>
      </c>
      <c r="J110" s="14" t="n">
        <f aca="false">ROUND(G110*I110,2)</f>
        <v>205</v>
      </c>
      <c r="K110" s="14"/>
      <c r="L110" s="14"/>
      <c r="M110" s="14"/>
      <c r="N110" s="14" t="n">
        <f aca="false">ROUND((G110*I110)-K110-L110-M110,2)</f>
        <v>205</v>
      </c>
      <c r="O110" s="14"/>
      <c r="P110" s="11" t="n">
        <f aca="false">ROUND(IF(D110=0,IF((N110-E110-O110)&gt;0,(N110-E110-O110),0),IF((D110+N110-O110)&gt;0,(D110+N110-O110),0)),2)</f>
        <v>9454</v>
      </c>
      <c r="Q110" s="11" t="n">
        <f aca="false">ROUND(IF(E110=0,IF((D110+N110-O110)&lt;0,ABS(D110+N110-O110),0),IF((N110-E110-O110)&lt;0,ABS(N110-E110-O110),0)),2)</f>
        <v>0</v>
      </c>
    </row>
    <row r="111" customFormat="false" ht="15" hidden="false" customHeight="true" outlineLevel="0" collapsed="false">
      <c r="A111" s="12" t="s">
        <v>329</v>
      </c>
      <c r="B111" s="8" t="s">
        <v>330</v>
      </c>
      <c r="C111" s="12" t="s">
        <v>331</v>
      </c>
      <c r="D111" s="9" t="n">
        <v>6821.09</v>
      </c>
      <c r="E111" s="9" t="n">
        <v>0</v>
      </c>
      <c r="F111" s="13" t="n">
        <v>0</v>
      </c>
      <c r="G111" s="13" t="n">
        <v>35</v>
      </c>
      <c r="H111" s="13" t="n">
        <v>0</v>
      </c>
      <c r="I111" s="13" t="n">
        <f aca="false">W$1</f>
        <v>4.1</v>
      </c>
      <c r="J111" s="14" t="n">
        <f aca="false">ROUND(G111*I111,2)</f>
        <v>143.5</v>
      </c>
      <c r="K111" s="14"/>
      <c r="L111" s="14"/>
      <c r="M111" s="14"/>
      <c r="N111" s="14" t="n">
        <f aca="false">ROUND((G111*I111)-K111-L111-M111,2)</f>
        <v>143.5</v>
      </c>
      <c r="O111" s="14"/>
      <c r="P111" s="11" t="n">
        <f aca="false">ROUND(IF(D111=0,IF((N111-E111-O111)&gt;0,(N111-E111-O111),0),IF((D111+N111-O111)&gt;0,(D111+N111-O111),0)),2)</f>
        <v>6964.59</v>
      </c>
      <c r="Q111" s="11" t="n">
        <f aca="false">ROUND(IF(E111=0,IF((D111+N111-O111)&lt;0,ABS(D111+N111-O111),0),IF((N111-E111-O111)&lt;0,ABS(N111-E111-O111),0)),2)</f>
        <v>0</v>
      </c>
    </row>
    <row r="112" customFormat="false" ht="15" hidden="false" customHeight="true" outlineLevel="0" collapsed="false">
      <c r="A112" s="12" t="s">
        <v>332</v>
      </c>
      <c r="B112" s="8" t="s">
        <v>333</v>
      </c>
      <c r="C112" s="12" t="s">
        <v>334</v>
      </c>
      <c r="D112" s="9" t="n">
        <v>3006.12</v>
      </c>
      <c r="E112" s="9" t="n">
        <v>0</v>
      </c>
      <c r="F112" s="13" t="n">
        <v>0</v>
      </c>
      <c r="G112" s="13" t="n">
        <v>61.1</v>
      </c>
      <c r="H112" s="13" t="n">
        <v>0</v>
      </c>
      <c r="I112" s="13" t="n">
        <f aca="false">W$1</f>
        <v>4.1</v>
      </c>
      <c r="J112" s="14" t="n">
        <f aca="false">ROUND(G112*I112,2)</f>
        <v>250.51</v>
      </c>
      <c r="K112" s="14"/>
      <c r="L112" s="14"/>
      <c r="M112" s="14"/>
      <c r="N112" s="14" t="n">
        <f aca="false">ROUND((G112*I112)-K112-L112-M112,2)</f>
        <v>250.51</v>
      </c>
      <c r="O112" s="14"/>
      <c r="P112" s="11" t="n">
        <f aca="false">ROUND(IF(D112=0,IF((N112-E112-O112)&gt;0,(N112-E112-O112),0),IF((D112+N112-O112)&gt;0,(D112+N112-O112),0)),2)</f>
        <v>3256.63</v>
      </c>
      <c r="Q112" s="11" t="n">
        <f aca="false">ROUND(IF(E112=0,IF((D112+N112-O112)&lt;0,ABS(D112+N112-O112),0),IF((N112-E112-O112)&lt;0,ABS(N112-E112-O112),0)),2)</f>
        <v>0</v>
      </c>
    </row>
    <row r="113" customFormat="false" ht="15" hidden="false" customHeight="true" outlineLevel="0" collapsed="false">
      <c r="A113" s="12" t="s">
        <v>335</v>
      </c>
      <c r="B113" s="8" t="s">
        <v>336</v>
      </c>
      <c r="C113" s="12" t="s">
        <v>337</v>
      </c>
      <c r="D113" s="9" t="n">
        <v>11485.77</v>
      </c>
      <c r="E113" s="9" t="n">
        <v>0</v>
      </c>
      <c r="F113" s="13" t="n">
        <v>0</v>
      </c>
      <c r="G113" s="13" t="n">
        <v>64.89</v>
      </c>
      <c r="H113" s="13" t="n">
        <v>0</v>
      </c>
      <c r="I113" s="13" t="n">
        <f aca="false">W$1</f>
        <v>4.1</v>
      </c>
      <c r="J113" s="14" t="n">
        <f aca="false">ROUND(G113*I113,2)</f>
        <v>266.05</v>
      </c>
      <c r="K113" s="14"/>
      <c r="L113" s="14"/>
      <c r="M113" s="14"/>
      <c r="N113" s="14" t="n">
        <f aca="false">ROUND((G113*I113)-K113-L113-M113,2)</f>
        <v>266.05</v>
      </c>
      <c r="O113" s="14"/>
      <c r="P113" s="11" t="n">
        <f aca="false">ROUND(IF(D113=0,IF((N113-E113-O113)&gt;0,(N113-E113-O113),0),IF((D113+N113-O113)&gt;0,(D113+N113-O113),0)),2)</f>
        <v>11751.82</v>
      </c>
      <c r="Q113" s="11" t="n">
        <f aca="false">ROUND(IF(E113=0,IF((D113+N113-O113)&lt;0,ABS(D113+N113-O113),0),IF((N113-E113-O113)&lt;0,ABS(N113-E113-O113),0)),2)</f>
        <v>0</v>
      </c>
    </row>
    <row r="114" customFormat="false" ht="15" hidden="false" customHeight="true" outlineLevel="0" collapsed="false">
      <c r="A114" s="12" t="s">
        <v>338</v>
      </c>
      <c r="B114" s="8" t="s">
        <v>339</v>
      </c>
      <c r="C114" s="12" t="s">
        <v>340</v>
      </c>
      <c r="D114" s="9" t="n">
        <v>0</v>
      </c>
      <c r="E114" s="9" t="n">
        <v>0</v>
      </c>
      <c r="F114" s="13" t="n">
        <v>0</v>
      </c>
      <c r="G114" s="13" t="n">
        <v>49.96</v>
      </c>
      <c r="H114" s="13" t="n">
        <v>0</v>
      </c>
      <c r="I114" s="13" t="n">
        <f aca="false">W$1</f>
        <v>4.1</v>
      </c>
      <c r="J114" s="14" t="n">
        <f aca="false">ROUND(G114*I114,2)</f>
        <v>204.84</v>
      </c>
      <c r="K114" s="14"/>
      <c r="L114" s="14"/>
      <c r="M114" s="14"/>
      <c r="N114" s="14" t="n">
        <f aca="false">ROUND((G114*I114)-K114-L114-M114,2)</f>
        <v>204.84</v>
      </c>
      <c r="O114" s="14" t="n">
        <v>205</v>
      </c>
      <c r="P114" s="11" t="n">
        <f aca="false">ROUND(IF(D114=0,IF((N114-E114-O114)&gt;0,(N114-E114-O114),0),IF((D114+N114-O114)&gt;0,(D114+N114-O114),0)),2)</f>
        <v>0</v>
      </c>
      <c r="Q114" s="11" t="n">
        <f aca="false">ROUND(IF(E114=0,IF((D114+N114-O114)&lt;0,ABS(D114+N114-O114),0),IF((N114-E114-O114)&lt;0,ABS(N114-E114-O114),0)),2)</f>
        <v>0.16</v>
      </c>
    </row>
    <row r="115" customFormat="false" ht="15" hidden="false" customHeight="true" outlineLevel="0" collapsed="false">
      <c r="A115" s="12" t="s">
        <v>341</v>
      </c>
      <c r="B115" s="8" t="s">
        <v>342</v>
      </c>
      <c r="C115" s="12" t="s">
        <v>343</v>
      </c>
      <c r="D115" s="9" t="n">
        <v>141.45</v>
      </c>
      <c r="E115" s="9" t="n">
        <v>0</v>
      </c>
      <c r="F115" s="13" t="n">
        <v>0</v>
      </c>
      <c r="G115" s="13" t="n">
        <v>34.5</v>
      </c>
      <c r="H115" s="13" t="n">
        <v>0</v>
      </c>
      <c r="I115" s="13" t="n">
        <f aca="false">W$1</f>
        <v>4.1</v>
      </c>
      <c r="J115" s="14" t="n">
        <f aca="false">ROUND(G115*I115,2)</f>
        <v>141.45</v>
      </c>
      <c r="K115" s="14"/>
      <c r="L115" s="14"/>
      <c r="M115" s="14"/>
      <c r="N115" s="14" t="n">
        <f aca="false">ROUND((G115*I115)-K115-L115-M115,2)</f>
        <v>141.45</v>
      </c>
      <c r="O115" s="14" t="n">
        <v>141.45</v>
      </c>
      <c r="P115" s="11" t="n">
        <f aca="false">ROUND(IF(D115=0,IF((N115-E115-O115)&gt;0,(N115-E115-O115),0),IF((D115+N115-O115)&gt;0,(D115+N115-O115),0)),2)</f>
        <v>141.45</v>
      </c>
      <c r="Q115" s="11" t="n">
        <f aca="false">ROUND(IF(E115=0,IF((D115+N115-O115)&lt;0,ABS(D115+N115-O115),0),IF((N115-E115-O115)&lt;0,ABS(N115-E115-O115),0)),2)</f>
        <v>0</v>
      </c>
    </row>
    <row r="116" customFormat="false" ht="15" hidden="false" customHeight="true" outlineLevel="0" collapsed="false">
      <c r="A116" s="12" t="s">
        <v>344</v>
      </c>
      <c r="B116" s="8" t="s">
        <v>345</v>
      </c>
      <c r="C116" s="12" t="s">
        <v>346</v>
      </c>
      <c r="D116" s="9" t="n">
        <v>15141.04</v>
      </c>
      <c r="E116" s="9" t="n">
        <v>0</v>
      </c>
      <c r="F116" s="13" t="n">
        <v>0</v>
      </c>
      <c r="G116" s="13" t="n">
        <v>62.9</v>
      </c>
      <c r="H116" s="13" t="n">
        <v>0</v>
      </c>
      <c r="I116" s="13" t="n">
        <f aca="false">W$1</f>
        <v>4.1</v>
      </c>
      <c r="J116" s="14" t="n">
        <f aca="false">ROUND(G116*I116,2)</f>
        <v>257.89</v>
      </c>
      <c r="K116" s="14"/>
      <c r="L116" s="14"/>
      <c r="M116" s="14"/>
      <c r="N116" s="14" t="n">
        <f aca="false">ROUND((G116*I116)-K116-L116-M116,2)</f>
        <v>257.89</v>
      </c>
      <c r="O116" s="14"/>
      <c r="P116" s="11" t="n">
        <f aca="false">ROUND(IF(D116=0,IF((N116-E116-O116)&gt;0,(N116-E116-O116),0),IF((D116+N116-O116)&gt;0,(D116+N116-O116),0)),2)</f>
        <v>15398.93</v>
      </c>
      <c r="Q116" s="11" t="n">
        <f aca="false">ROUND(IF(E116=0,IF((D116+N116-O116)&lt;0,ABS(D116+N116-O116),0),IF((N116-E116-O116)&lt;0,ABS(N116-E116-O116),0)),2)</f>
        <v>0</v>
      </c>
    </row>
    <row r="117" customFormat="false" ht="15" hidden="false" customHeight="true" outlineLevel="0" collapsed="false">
      <c r="A117" s="12" t="s">
        <v>347</v>
      </c>
      <c r="B117" s="8" t="s">
        <v>348</v>
      </c>
      <c r="C117" s="12" t="s">
        <v>349</v>
      </c>
      <c r="D117" s="9" t="n">
        <v>398.52</v>
      </c>
      <c r="E117" s="9" t="n">
        <v>0</v>
      </c>
      <c r="F117" s="13" t="n">
        <v>0</v>
      </c>
      <c r="G117" s="13" t="n">
        <v>97.2</v>
      </c>
      <c r="H117" s="13" t="n">
        <v>0</v>
      </c>
      <c r="I117" s="13" t="n">
        <f aca="false">W$1</f>
        <v>4.1</v>
      </c>
      <c r="J117" s="14" t="n">
        <f aca="false">ROUND(G117*I117,2)</f>
        <v>398.52</v>
      </c>
      <c r="K117" s="14"/>
      <c r="L117" s="14"/>
      <c r="M117" s="14"/>
      <c r="N117" s="14" t="n">
        <f aca="false">ROUND((G117*I117)-K117-L117-M117,2)</f>
        <v>398.52</v>
      </c>
      <c r="O117" s="14"/>
      <c r="P117" s="11" t="n">
        <f aca="false">ROUND(IF(D117=0,IF((N117-E117-O117)&gt;0,(N117-E117-O117),0),IF((D117+N117-O117)&gt;0,(D117+N117-O117),0)),2)</f>
        <v>797.04</v>
      </c>
      <c r="Q117" s="11" t="n">
        <f aca="false">ROUND(IF(E117=0,IF((D117+N117-O117)&lt;0,ABS(D117+N117-O117),0),IF((N117-E117-O117)&lt;0,ABS(N117-E117-O117),0)),2)</f>
        <v>0</v>
      </c>
    </row>
    <row r="118" customFormat="false" ht="15" hidden="false" customHeight="true" outlineLevel="0" collapsed="false">
      <c r="A118" s="12" t="s">
        <v>350</v>
      </c>
      <c r="B118" s="8" t="s">
        <v>351</v>
      </c>
      <c r="C118" s="12" t="s">
        <v>352</v>
      </c>
      <c r="D118" s="9" t="n">
        <v>199.88</v>
      </c>
      <c r="E118" s="9" t="n">
        <v>0</v>
      </c>
      <c r="F118" s="13" t="n">
        <v>0</v>
      </c>
      <c r="G118" s="13" t="n">
        <v>48.75</v>
      </c>
      <c r="H118" s="13" t="n">
        <v>0</v>
      </c>
      <c r="I118" s="13" t="n">
        <f aca="false">W$1</f>
        <v>4.1</v>
      </c>
      <c r="J118" s="14" t="n">
        <f aca="false">ROUND(G118*I118,2)</f>
        <v>199.88</v>
      </c>
      <c r="K118" s="14"/>
      <c r="L118" s="14"/>
      <c r="M118" s="14"/>
      <c r="N118" s="14" t="n">
        <f aca="false">ROUND((G118*I118)-K118-L118-M118,2)</f>
        <v>199.88</v>
      </c>
      <c r="O118" s="14" t="n">
        <v>199.88</v>
      </c>
      <c r="P118" s="11" t="n">
        <f aca="false">ROUND(IF(D118=0,IF((N118-E118-O118)&gt;0,(N118-E118-O118),0),IF((D118+N118-O118)&gt;0,(D118+N118-O118),0)),2)</f>
        <v>199.88</v>
      </c>
      <c r="Q118" s="11" t="n">
        <f aca="false">ROUND(IF(E118=0,IF((D118+N118-O118)&lt;0,ABS(D118+N118-O118),0),IF((N118-E118-O118)&lt;0,ABS(N118-E118-O118),0)),2)</f>
        <v>0</v>
      </c>
    </row>
    <row r="119" customFormat="false" ht="15" hidden="false" customHeight="true" outlineLevel="0" collapsed="false">
      <c r="A119" s="12" t="s">
        <v>353</v>
      </c>
      <c r="B119" s="8" t="s">
        <v>354</v>
      </c>
      <c r="C119" s="12" t="s">
        <v>355</v>
      </c>
      <c r="D119" s="9" t="n">
        <v>180.8</v>
      </c>
      <c r="E119" s="9" t="n">
        <v>0</v>
      </c>
      <c r="F119" s="13" t="n">
        <v>0</v>
      </c>
      <c r="G119" s="13" t="n">
        <v>63.8</v>
      </c>
      <c r="H119" s="13" t="n">
        <v>0</v>
      </c>
      <c r="I119" s="13" t="n">
        <f aca="false">W$1</f>
        <v>4.1</v>
      </c>
      <c r="J119" s="14" t="n">
        <f aca="false">ROUND(G119*I119,2)</f>
        <v>261.58</v>
      </c>
      <c r="K119" s="14"/>
      <c r="L119" s="14"/>
      <c r="M119" s="14"/>
      <c r="N119" s="14" t="n">
        <f aca="false">ROUND((G119*I119)-K119-L119-M119,2)</f>
        <v>261.58</v>
      </c>
      <c r="O119" s="14"/>
      <c r="P119" s="11" t="n">
        <f aca="false">ROUND(IF(D119=0,IF((N119-E119-O119)&gt;0,(N119-E119-O119),0),IF((D119+N119-O119)&gt;0,(D119+N119-O119),0)),2)</f>
        <v>442.38</v>
      </c>
      <c r="Q119" s="11" t="n">
        <f aca="false">ROUND(IF(E119=0,IF((D119+N119-O119)&lt;0,ABS(D119+N119-O119),0),IF((N119-E119-O119)&lt;0,ABS(N119-E119-O119),0)),2)</f>
        <v>0</v>
      </c>
    </row>
    <row r="120" customFormat="false" ht="15" hidden="false" customHeight="true" outlineLevel="0" collapsed="false">
      <c r="A120" s="12" t="s">
        <v>356</v>
      </c>
      <c r="B120" s="8" t="s">
        <v>357</v>
      </c>
      <c r="C120" s="12" t="s">
        <v>358</v>
      </c>
      <c r="D120" s="9" t="n">
        <v>17234.25</v>
      </c>
      <c r="E120" s="9" t="n">
        <v>0</v>
      </c>
      <c r="F120" s="13" t="n">
        <v>0</v>
      </c>
      <c r="G120" s="13" t="n">
        <v>62.6</v>
      </c>
      <c r="H120" s="13" t="n">
        <v>0</v>
      </c>
      <c r="I120" s="13" t="n">
        <f aca="false">W$1</f>
        <v>4.1</v>
      </c>
      <c r="J120" s="14" t="n">
        <f aca="false">ROUND(G120*I120,2)</f>
        <v>256.66</v>
      </c>
      <c r="K120" s="14"/>
      <c r="L120" s="14"/>
      <c r="M120" s="14"/>
      <c r="N120" s="14" t="n">
        <f aca="false">ROUND((G120*I120)-K120-L120-M120,2)</f>
        <v>256.66</v>
      </c>
      <c r="O120" s="14"/>
      <c r="P120" s="11" t="n">
        <f aca="false">ROUND(IF(D120=0,IF((N120-E120-O120)&gt;0,(N120-E120-O120),0),IF((D120+N120-O120)&gt;0,(D120+N120-O120),0)),2)</f>
        <v>17490.91</v>
      </c>
      <c r="Q120" s="11" t="n">
        <f aca="false">ROUND(IF(E120=0,IF((D120+N120-O120)&lt;0,ABS(D120+N120-O120),0),IF((N120-E120-O120)&lt;0,ABS(N120-E120-O120),0)),2)</f>
        <v>0</v>
      </c>
    </row>
    <row r="121" customFormat="false" ht="15" hidden="false" customHeight="true" outlineLevel="0" collapsed="false">
      <c r="A121" s="12" t="s">
        <v>359</v>
      </c>
      <c r="B121" s="8" t="s">
        <v>360</v>
      </c>
      <c r="C121" s="12" t="s">
        <v>361</v>
      </c>
      <c r="D121" s="9" t="n">
        <v>2403.19</v>
      </c>
      <c r="E121" s="9" t="n">
        <v>0</v>
      </c>
      <c r="F121" s="13" t="n">
        <v>0</v>
      </c>
      <c r="G121" s="13" t="n">
        <v>34.7</v>
      </c>
      <c r="H121" s="13" t="n">
        <v>0</v>
      </c>
      <c r="I121" s="13" t="n">
        <f aca="false">W$1</f>
        <v>4.1</v>
      </c>
      <c r="J121" s="14" t="n">
        <f aca="false">ROUND(G121*I121,2)</f>
        <v>142.27</v>
      </c>
      <c r="K121" s="14"/>
      <c r="L121" s="14"/>
      <c r="M121" s="14"/>
      <c r="N121" s="14" t="n">
        <f aca="false">ROUND((G121*I121)-K121-L121-M121,2)</f>
        <v>142.27</v>
      </c>
      <c r="O121" s="14"/>
      <c r="P121" s="11" t="n">
        <f aca="false">ROUND(IF(D121=0,IF((N121-E121-O121)&gt;0,(N121-E121-O121),0),IF((D121+N121-O121)&gt;0,(D121+N121-O121),0)),2)</f>
        <v>2545.46</v>
      </c>
      <c r="Q121" s="11" t="n">
        <f aca="false">ROUND(IF(E121=0,IF((D121+N121-O121)&lt;0,ABS(D121+N121-O121),0),IF((N121-E121-O121)&lt;0,ABS(N121-E121-O121),0)),2)</f>
        <v>0</v>
      </c>
    </row>
    <row r="122" customFormat="false" ht="15" hidden="false" customHeight="true" outlineLevel="0" collapsed="false">
      <c r="A122" s="12" t="s">
        <v>362</v>
      </c>
      <c r="B122" s="8" t="s">
        <v>363</v>
      </c>
      <c r="C122" s="12" t="s">
        <v>364</v>
      </c>
      <c r="D122" s="9" t="n">
        <v>3240.2</v>
      </c>
      <c r="E122" s="9" t="n">
        <v>0</v>
      </c>
      <c r="F122" s="13" t="n">
        <v>0</v>
      </c>
      <c r="G122" s="13" t="n">
        <v>49.72</v>
      </c>
      <c r="H122" s="13" t="n">
        <v>0</v>
      </c>
      <c r="I122" s="13" t="n">
        <f aca="false">W$1</f>
        <v>4.1</v>
      </c>
      <c r="J122" s="14" t="n">
        <f aca="false">ROUND(G122*I122,2)</f>
        <v>203.85</v>
      </c>
      <c r="K122" s="14"/>
      <c r="L122" s="14"/>
      <c r="M122" s="14"/>
      <c r="N122" s="14" t="n">
        <f aca="false">ROUND((G122*I122)-K122-L122-M122,2)</f>
        <v>203.85</v>
      </c>
      <c r="O122" s="14"/>
      <c r="P122" s="11" t="n">
        <f aca="false">ROUND(IF(D122=0,IF((N122-E122-O122)&gt;0,(N122-E122-O122),0),IF((D122+N122-O122)&gt;0,(D122+N122-O122),0)),2)</f>
        <v>3444.05</v>
      </c>
      <c r="Q122" s="11" t="n">
        <f aca="false">ROUND(IF(E122=0,IF((D122+N122-O122)&lt;0,ABS(D122+N122-O122),0),IF((N122-E122-O122)&lt;0,ABS(N122-E122-O122),0)),2)</f>
        <v>0</v>
      </c>
    </row>
    <row r="123" customFormat="false" ht="15" hidden="false" customHeight="true" outlineLevel="0" collapsed="false">
      <c r="A123" s="12" t="s">
        <v>365</v>
      </c>
      <c r="B123" s="8" t="s">
        <v>366</v>
      </c>
      <c r="C123" s="12" t="s">
        <v>367</v>
      </c>
      <c r="D123" s="9" t="n">
        <v>51.46</v>
      </c>
      <c r="E123" s="9" t="n">
        <v>0</v>
      </c>
      <c r="F123" s="13" t="n">
        <v>0</v>
      </c>
      <c r="G123" s="13" t="n">
        <v>65.1</v>
      </c>
      <c r="H123" s="13" t="n">
        <v>0</v>
      </c>
      <c r="I123" s="13" t="n">
        <f aca="false">W$1</f>
        <v>4.1</v>
      </c>
      <c r="J123" s="14" t="n">
        <f aca="false">ROUND(G123*I123,2)</f>
        <v>266.91</v>
      </c>
      <c r="K123" s="14"/>
      <c r="L123" s="14"/>
      <c r="M123" s="14"/>
      <c r="N123" s="14" t="n">
        <f aca="false">ROUND((G123*I123)-K123-L123-M123,2)</f>
        <v>266.91</v>
      </c>
      <c r="O123" s="14"/>
      <c r="P123" s="11" t="n">
        <f aca="false">ROUND(IF(D123=0,IF((N123-E123-O123)&gt;0,(N123-E123-O123),0),IF((D123+N123-O123)&gt;0,(D123+N123-O123),0)),2)</f>
        <v>318.37</v>
      </c>
      <c r="Q123" s="11" t="n">
        <f aca="false">ROUND(IF(E123=0,IF((D123+N123-O123)&lt;0,ABS(D123+N123-O123),0),IF((N123-E123-O123)&lt;0,ABS(N123-E123-O123),0)),2)</f>
        <v>0</v>
      </c>
    </row>
    <row r="124" customFormat="false" ht="15" hidden="false" customHeight="true" outlineLevel="0" collapsed="false">
      <c r="A124" s="12" t="s">
        <v>368</v>
      </c>
      <c r="B124" s="8" t="s">
        <v>369</v>
      </c>
      <c r="C124" s="12" t="s">
        <v>370</v>
      </c>
      <c r="D124" s="9" t="n">
        <v>252.68</v>
      </c>
      <c r="E124" s="9" t="n">
        <v>0</v>
      </c>
      <c r="F124" s="13" t="n">
        <v>0</v>
      </c>
      <c r="G124" s="13" t="n">
        <v>62.18</v>
      </c>
      <c r="H124" s="13" t="n">
        <v>0</v>
      </c>
      <c r="I124" s="13" t="n">
        <f aca="false">W$1</f>
        <v>4.1</v>
      </c>
      <c r="J124" s="14" t="n">
        <f aca="false">ROUND(G124*I124,2)</f>
        <v>254.94</v>
      </c>
      <c r="K124" s="14"/>
      <c r="L124" s="14"/>
      <c r="M124" s="14"/>
      <c r="N124" s="14" t="n">
        <f aca="false">ROUND((G124*I124)-K124-L124-M124,2)</f>
        <v>254.94</v>
      </c>
      <c r="O124" s="14" t="n">
        <v>260</v>
      </c>
      <c r="P124" s="11" t="n">
        <f aca="false">ROUND(IF(D124=0,IF((N124-E124-O124)&gt;0,(N124-E124-O124),0),IF((D124+N124-O124)&gt;0,(D124+N124-O124),0)),2)</f>
        <v>247.62</v>
      </c>
      <c r="Q124" s="11" t="n">
        <f aca="false">ROUND(IF(E124=0,IF((D124+N124-O124)&lt;0,ABS(D124+N124-O124),0),IF((N124-E124-O124)&lt;0,ABS(N124-E124-O124),0)),2)</f>
        <v>0</v>
      </c>
    </row>
    <row r="125" customFormat="false" ht="15" hidden="false" customHeight="true" outlineLevel="0" collapsed="false">
      <c r="A125" s="12" t="s">
        <v>371</v>
      </c>
      <c r="B125" s="8" t="s">
        <v>372</v>
      </c>
      <c r="C125" s="12" t="s">
        <v>373</v>
      </c>
      <c r="D125" s="9" t="n">
        <v>6681</v>
      </c>
      <c r="E125" s="9" t="n">
        <v>0</v>
      </c>
      <c r="F125" s="13" t="n">
        <v>0</v>
      </c>
      <c r="G125" s="13" t="n">
        <v>35.1</v>
      </c>
      <c r="H125" s="13" t="n">
        <v>0</v>
      </c>
      <c r="I125" s="13" t="n">
        <f aca="false">W$1</f>
        <v>4.1</v>
      </c>
      <c r="J125" s="14" t="n">
        <f aca="false">ROUND(G125*I125,2)</f>
        <v>143.91</v>
      </c>
      <c r="K125" s="14"/>
      <c r="L125" s="14"/>
      <c r="M125" s="14"/>
      <c r="N125" s="14" t="n">
        <f aca="false">ROUND((G125*I125)-K125-L125-M125,2)</f>
        <v>143.91</v>
      </c>
      <c r="O125" s="14"/>
      <c r="P125" s="11" t="n">
        <f aca="false">ROUND(IF(D125=0,IF((N125-E125-O125)&gt;0,(N125-E125-O125),0),IF((D125+N125-O125)&gt;0,(D125+N125-O125),0)),2)</f>
        <v>6824.91</v>
      </c>
      <c r="Q125" s="11" t="n">
        <f aca="false">ROUND(IF(E125=0,IF((D125+N125-O125)&lt;0,ABS(D125+N125-O125),0),IF((N125-E125-O125)&lt;0,ABS(N125-E125-O125),0)),2)</f>
        <v>0</v>
      </c>
    </row>
    <row r="126" customFormat="false" ht="15" hidden="false" customHeight="true" outlineLevel="0" collapsed="false">
      <c r="A126" s="12" t="s">
        <v>374</v>
      </c>
      <c r="B126" s="8" t="s">
        <v>375</v>
      </c>
      <c r="C126" s="12" t="s">
        <v>376</v>
      </c>
      <c r="D126" s="9" t="n">
        <v>204.18</v>
      </c>
      <c r="E126" s="9" t="n">
        <v>0</v>
      </c>
      <c r="F126" s="13" t="n">
        <v>0</v>
      </c>
      <c r="G126" s="13" t="n">
        <v>49.8</v>
      </c>
      <c r="H126" s="13" t="n">
        <v>0</v>
      </c>
      <c r="I126" s="13" t="n">
        <f aca="false">W$1</f>
        <v>4.1</v>
      </c>
      <c r="J126" s="14" t="n">
        <f aca="false">ROUND(G126*I126,2)</f>
        <v>204.18</v>
      </c>
      <c r="K126" s="14"/>
      <c r="L126" s="14"/>
      <c r="M126" s="14"/>
      <c r="N126" s="14" t="n">
        <f aca="false">ROUND((G126*I126)-K126-L126-M126,2)</f>
        <v>204.18</v>
      </c>
      <c r="O126" s="14"/>
      <c r="P126" s="11" t="n">
        <f aca="false">ROUND(IF(D126=0,IF((N126-E126-O126)&gt;0,(N126-E126-O126),0),IF((D126+N126-O126)&gt;0,(D126+N126-O126),0)),2)</f>
        <v>408.36</v>
      </c>
      <c r="Q126" s="11" t="n">
        <f aca="false">ROUND(IF(E126=0,IF((D126+N126-O126)&lt;0,ABS(D126+N126-O126),0),IF((N126-E126-O126)&lt;0,ABS(N126-E126-O126),0)),2)</f>
        <v>0</v>
      </c>
    </row>
    <row r="127" customFormat="false" ht="15" hidden="false" customHeight="true" outlineLevel="0" collapsed="false">
      <c r="A127" s="12" t="s">
        <v>377</v>
      </c>
      <c r="B127" s="8" t="s">
        <v>378</v>
      </c>
      <c r="C127" s="12" t="s">
        <v>379</v>
      </c>
      <c r="D127" s="9" t="n">
        <v>2945.03</v>
      </c>
      <c r="E127" s="9" t="n">
        <v>0</v>
      </c>
      <c r="F127" s="13" t="n">
        <v>0</v>
      </c>
      <c r="G127" s="13" t="n">
        <v>65.3</v>
      </c>
      <c r="H127" s="13" t="n">
        <v>0</v>
      </c>
      <c r="I127" s="13" t="n">
        <f aca="false">W$1</f>
        <v>4.1</v>
      </c>
      <c r="J127" s="14" t="n">
        <f aca="false">ROUND(G127*I127,2)</f>
        <v>267.73</v>
      </c>
      <c r="K127" s="14"/>
      <c r="L127" s="14"/>
      <c r="M127" s="14"/>
      <c r="N127" s="14" t="n">
        <f aca="false">ROUND((G127*I127)-K127-L127-M127,2)</f>
        <v>267.73</v>
      </c>
      <c r="O127" s="14"/>
      <c r="P127" s="11" t="n">
        <f aca="false">ROUND(IF(D127=0,IF((N127-E127-O127)&gt;0,(N127-E127-O127),0),IF((D127+N127-O127)&gt;0,(D127+N127-O127),0)),2)</f>
        <v>3212.76</v>
      </c>
      <c r="Q127" s="11" t="n">
        <f aca="false">ROUND(IF(E127=0,IF((D127+N127-O127)&lt;0,ABS(D127+N127-O127),0),IF((N127-E127-O127)&lt;0,ABS(N127-E127-O127),0)),2)</f>
        <v>0</v>
      </c>
    </row>
    <row r="128" customFormat="false" ht="15" hidden="false" customHeight="true" outlineLevel="0" collapsed="false">
      <c r="A128" s="12" t="s">
        <v>380</v>
      </c>
      <c r="B128" s="8" t="s">
        <v>381</v>
      </c>
      <c r="C128" s="12" t="s">
        <v>382</v>
      </c>
      <c r="D128" s="9" t="n">
        <v>0</v>
      </c>
      <c r="E128" s="9" t="n">
        <v>53.31</v>
      </c>
      <c r="F128" s="13" t="n">
        <v>0</v>
      </c>
      <c r="G128" s="13" t="n">
        <v>62.44</v>
      </c>
      <c r="H128" s="13" t="n">
        <v>0</v>
      </c>
      <c r="I128" s="13" t="n">
        <f aca="false">W$1</f>
        <v>4.1</v>
      </c>
      <c r="J128" s="14" t="n">
        <f aca="false">ROUND(G128*I128,2)</f>
        <v>256</v>
      </c>
      <c r="K128" s="14"/>
      <c r="L128" s="14"/>
      <c r="M128" s="14"/>
      <c r="N128" s="14" t="n">
        <f aca="false">ROUND((G128*I128)-K128-L128-M128,2)</f>
        <v>256</v>
      </c>
      <c r="O128" s="14" t="n">
        <v>270</v>
      </c>
      <c r="P128" s="11" t="n">
        <f aca="false">ROUND(IF(D128=0,IF((N128-E128-O128)&gt;0,(N128-E128-O128),0),IF((D128+N128-O128)&gt;0,(D128+N128-O128),0)),2)</f>
        <v>0</v>
      </c>
      <c r="Q128" s="11" t="n">
        <f aca="false">ROUND(IF(E128=0,IF((D128+N128-O128)&lt;0,ABS(D128+N128-O128),0),IF((N128-E128-O128)&lt;0,ABS(N128-E128-O128),0)),2)</f>
        <v>67.31</v>
      </c>
    </row>
    <row r="129" customFormat="false" ht="15" hidden="false" customHeight="true" outlineLevel="0" collapsed="false">
      <c r="A129" s="12" t="s">
        <v>383</v>
      </c>
      <c r="B129" s="8" t="s">
        <v>384</v>
      </c>
      <c r="C129" s="12" t="s">
        <v>385</v>
      </c>
      <c r="D129" s="9" t="n">
        <v>0</v>
      </c>
      <c r="E129" s="9" t="n">
        <v>0</v>
      </c>
      <c r="F129" s="13" t="n">
        <v>0</v>
      </c>
      <c r="G129" s="13" t="n">
        <v>35.6</v>
      </c>
      <c r="H129" s="13" t="n">
        <v>0</v>
      </c>
      <c r="I129" s="13" t="n">
        <f aca="false">W$1</f>
        <v>4.1</v>
      </c>
      <c r="J129" s="14" t="n">
        <f aca="false">ROUND(G129*I129,2)</f>
        <v>145.96</v>
      </c>
      <c r="K129" s="14"/>
      <c r="L129" s="14"/>
      <c r="M129" s="14"/>
      <c r="N129" s="14" t="n">
        <f aca="false">ROUND((G129*I129)-K129-L129-M129,2)</f>
        <v>145.96</v>
      </c>
      <c r="O129" s="14"/>
      <c r="P129" s="11" t="n">
        <f aca="false">ROUND(IF(D129=0,IF((N129-E129-O129)&gt;0,(N129-E129-O129),0),IF((D129+N129-O129)&gt;0,(D129+N129-O129),0)),2)</f>
        <v>145.96</v>
      </c>
      <c r="Q129" s="11" t="n">
        <f aca="false">ROUND(IF(E129=0,IF((D129+N129-O129)&lt;0,ABS(D129+N129-O129),0),IF((N129-E129-O129)&lt;0,ABS(N129-E129-O129),0)),2)</f>
        <v>0</v>
      </c>
    </row>
    <row r="130" customFormat="false" ht="15" hidden="false" customHeight="true" outlineLevel="0" collapsed="false">
      <c r="A130" s="12" t="s">
        <v>386</v>
      </c>
      <c r="B130" s="8" t="s">
        <v>387</v>
      </c>
      <c r="C130" s="12" t="s">
        <v>388</v>
      </c>
      <c r="D130" s="9" t="n">
        <v>203.54</v>
      </c>
      <c r="E130" s="9" t="n">
        <v>0</v>
      </c>
      <c r="F130" s="13" t="n">
        <v>0</v>
      </c>
      <c r="G130" s="13" t="n">
        <v>49.7</v>
      </c>
      <c r="H130" s="13" t="n">
        <v>0</v>
      </c>
      <c r="I130" s="13" t="n">
        <f aca="false">W$1</f>
        <v>4.1</v>
      </c>
      <c r="J130" s="14" t="n">
        <f aca="false">ROUND(G130*I130,2)</f>
        <v>203.77</v>
      </c>
      <c r="K130" s="14"/>
      <c r="L130" s="14"/>
      <c r="M130" s="14"/>
      <c r="N130" s="14" t="n">
        <f aca="false">ROUND((G130*I130)-K130-L130-M130,2)</f>
        <v>203.77</v>
      </c>
      <c r="O130" s="14"/>
      <c r="P130" s="11" t="n">
        <f aca="false">ROUND(IF(D130=0,IF((N130-E130-O130)&gt;0,(N130-E130-O130),0),IF((D130+N130-O130)&gt;0,(D130+N130-O130),0)),2)</f>
        <v>407.31</v>
      </c>
      <c r="Q130" s="11" t="n">
        <f aca="false">ROUND(IF(E130=0,IF((D130+N130-O130)&lt;0,ABS(D130+N130-O130),0),IF((N130-E130-O130)&lt;0,ABS(N130-E130-O130),0)),2)</f>
        <v>0</v>
      </c>
    </row>
    <row r="131" customFormat="false" ht="15" hidden="false" customHeight="true" outlineLevel="0" collapsed="false">
      <c r="A131" s="12" t="s">
        <v>389</v>
      </c>
      <c r="B131" s="8" t="s">
        <v>390</v>
      </c>
      <c r="C131" s="12" t="s">
        <v>391</v>
      </c>
      <c r="D131" s="9" t="n">
        <v>4967.12</v>
      </c>
      <c r="E131" s="9" t="n">
        <v>0</v>
      </c>
      <c r="F131" s="13" t="n">
        <v>0</v>
      </c>
      <c r="G131" s="13" t="n">
        <v>65.15</v>
      </c>
      <c r="H131" s="13" t="n">
        <v>0</v>
      </c>
      <c r="I131" s="13" t="n">
        <f aca="false">W$1</f>
        <v>4.1</v>
      </c>
      <c r="J131" s="14" t="n">
        <f aca="false">ROUND(G131*I131,2)</f>
        <v>267.12</v>
      </c>
      <c r="K131" s="14"/>
      <c r="L131" s="14"/>
      <c r="M131" s="14"/>
      <c r="N131" s="14" t="n">
        <f aca="false">ROUND((G131*I131)-K131-L131-M131,2)</f>
        <v>267.12</v>
      </c>
      <c r="O131" s="14" t="n">
        <v>967.12</v>
      </c>
      <c r="P131" s="11" t="n">
        <f aca="false">ROUND(IF(D131=0,IF((N131-E131-O131)&gt;0,(N131-E131-O131),0),IF((D131+N131-O131)&gt;0,(D131+N131-O131),0)),2)</f>
        <v>4267.12</v>
      </c>
      <c r="Q131" s="11" t="n">
        <f aca="false">ROUND(IF(E131=0,IF((D131+N131-O131)&lt;0,ABS(D131+N131-O131),0),IF((N131-E131-O131)&lt;0,ABS(N131-E131-O131),0)),2)</f>
        <v>0</v>
      </c>
    </row>
    <row r="132" customFormat="false" ht="15" hidden="false" customHeight="true" outlineLevel="0" collapsed="false">
      <c r="A132" s="12" t="s">
        <v>392</v>
      </c>
      <c r="B132" s="8" t="s">
        <v>393</v>
      </c>
      <c r="C132" s="12" t="s">
        <v>394</v>
      </c>
      <c r="D132" s="9" t="n">
        <v>258.3</v>
      </c>
      <c r="E132" s="9" t="n">
        <v>0</v>
      </c>
      <c r="F132" s="13" t="n">
        <v>0</v>
      </c>
      <c r="G132" s="13" t="n">
        <v>63</v>
      </c>
      <c r="H132" s="13" t="n">
        <v>0</v>
      </c>
      <c r="I132" s="13" t="n">
        <f aca="false">W$1</f>
        <v>4.1</v>
      </c>
      <c r="J132" s="14" t="n">
        <f aca="false">ROUND(G132*I132,2)</f>
        <v>258.3</v>
      </c>
      <c r="K132" s="14"/>
      <c r="L132" s="14"/>
      <c r="M132" s="14"/>
      <c r="N132" s="14" t="n">
        <f aca="false">ROUND((G132*I132)-K132-L132-M132,2)</f>
        <v>258.3</v>
      </c>
      <c r="O132" s="14"/>
      <c r="P132" s="11" t="n">
        <f aca="false">ROUND(IF(D132=0,IF((N132-E132-O132)&gt;0,(N132-E132-O132),0),IF((D132+N132-O132)&gt;0,(D132+N132-O132),0)),2)</f>
        <v>516.6</v>
      </c>
      <c r="Q132" s="11" t="n">
        <f aca="false">ROUND(IF(E132=0,IF((D132+N132-O132)&lt;0,ABS(D132+N132-O132),0),IF((N132-E132-O132)&lt;0,ABS(N132-E132-O132),0)),2)</f>
        <v>0</v>
      </c>
    </row>
    <row r="133" customFormat="false" ht="15" hidden="false" customHeight="true" outlineLevel="0" collapsed="false">
      <c r="A133" s="12" t="s">
        <v>395</v>
      </c>
      <c r="B133" s="8" t="s">
        <v>396</v>
      </c>
      <c r="C133" s="12" t="s">
        <v>397</v>
      </c>
      <c r="D133" s="9" t="n">
        <v>142.27</v>
      </c>
      <c r="E133" s="9" t="n">
        <v>0</v>
      </c>
      <c r="F133" s="13" t="n">
        <v>0</v>
      </c>
      <c r="G133" s="13" t="n">
        <v>34.7</v>
      </c>
      <c r="H133" s="13" t="n">
        <v>0</v>
      </c>
      <c r="I133" s="13" t="n">
        <f aca="false">W$1</f>
        <v>4.1</v>
      </c>
      <c r="J133" s="14" t="n">
        <f aca="false">ROUND(G133*I133,2)</f>
        <v>142.27</v>
      </c>
      <c r="K133" s="14"/>
      <c r="L133" s="14"/>
      <c r="M133" s="14"/>
      <c r="N133" s="14" t="n">
        <f aca="false">ROUND((G133*I133)-K133-L133-M133,2)</f>
        <v>142.27</v>
      </c>
      <c r="O133" s="14" t="n">
        <v>142.27</v>
      </c>
      <c r="P133" s="11" t="n">
        <f aca="false">ROUND(IF(D133=0,IF((N133-E133-O133)&gt;0,(N133-E133-O133),0),IF((D133+N133-O133)&gt;0,(D133+N133-O133),0)),2)</f>
        <v>142.27</v>
      </c>
      <c r="Q133" s="11" t="n">
        <f aca="false">ROUND(IF(E133=0,IF((D133+N133-O133)&lt;0,ABS(D133+N133-O133),0),IF((N133-E133-O133)&lt;0,ABS(N133-E133-O133),0)),2)</f>
        <v>0</v>
      </c>
    </row>
    <row r="134" customFormat="false" ht="15" hidden="false" customHeight="true" outlineLevel="0" collapsed="false">
      <c r="A134" s="12" t="s">
        <v>398</v>
      </c>
      <c r="B134" s="8" t="s">
        <v>399</v>
      </c>
      <c r="C134" s="12" t="s">
        <v>400</v>
      </c>
      <c r="D134" s="9" t="n">
        <v>201.72</v>
      </c>
      <c r="E134" s="9" t="n">
        <v>0</v>
      </c>
      <c r="F134" s="13" t="n">
        <v>0</v>
      </c>
      <c r="G134" s="13" t="n">
        <v>49.2</v>
      </c>
      <c r="H134" s="13" t="n">
        <v>0</v>
      </c>
      <c r="I134" s="13" t="n">
        <f aca="false">W$1</f>
        <v>4.1</v>
      </c>
      <c r="J134" s="14" t="n">
        <f aca="false">ROUND(G134*I134,2)</f>
        <v>201.72</v>
      </c>
      <c r="K134" s="14"/>
      <c r="L134" s="14"/>
      <c r="M134" s="14"/>
      <c r="N134" s="14" t="n">
        <f aca="false">ROUND((G134*I134)-K134-L134-M134,2)</f>
        <v>201.72</v>
      </c>
      <c r="O134" s="14"/>
      <c r="P134" s="11" t="n">
        <f aca="false">ROUND(IF(D134=0,IF((N134-E134-O134)&gt;0,(N134-E134-O134),0),IF((D134+N134-O134)&gt;0,(D134+N134-O134),0)),2)</f>
        <v>403.44</v>
      </c>
      <c r="Q134" s="11" t="n">
        <f aca="false">ROUND(IF(E134=0,IF((D134+N134-O134)&lt;0,ABS(D134+N134-O134),0),IF((N134-E134-O134)&lt;0,ABS(N134-E134-O134),0)),2)</f>
        <v>0</v>
      </c>
    </row>
    <row r="135" customFormat="false" ht="15" hidden="false" customHeight="true" outlineLevel="0" collapsed="false">
      <c r="A135" s="12" t="s">
        <v>401</v>
      </c>
      <c r="B135" s="8" t="s">
        <v>402</v>
      </c>
      <c r="C135" s="12" t="s">
        <v>403</v>
      </c>
      <c r="D135" s="9" t="n">
        <v>267.12</v>
      </c>
      <c r="E135" s="9" t="n">
        <v>0</v>
      </c>
      <c r="F135" s="13" t="n">
        <v>0</v>
      </c>
      <c r="G135" s="13" t="n">
        <v>65.15</v>
      </c>
      <c r="H135" s="13" t="n">
        <v>0</v>
      </c>
      <c r="I135" s="13" t="n">
        <f aca="false">W$1</f>
        <v>4.1</v>
      </c>
      <c r="J135" s="14" t="n">
        <f aca="false">ROUND(G135*I135,2)</f>
        <v>267.12</v>
      </c>
      <c r="K135" s="14"/>
      <c r="L135" s="14"/>
      <c r="M135" s="14"/>
      <c r="N135" s="14" t="n">
        <f aca="false">ROUND((G135*I135)-K135-L135-M135,2)</f>
        <v>267.12</v>
      </c>
      <c r="O135" s="14" t="n">
        <v>267.12</v>
      </c>
      <c r="P135" s="11" t="n">
        <f aca="false">ROUND(IF(D135=0,IF((N135-E135-O135)&gt;0,(N135-E135-O135),0),IF((D135+N135-O135)&gt;0,(D135+N135-O135),0)),2)</f>
        <v>267.12</v>
      </c>
      <c r="Q135" s="11" t="n">
        <f aca="false">ROUND(IF(E135=0,IF((D135+N135-O135)&lt;0,ABS(D135+N135-O135),0),IF((N135-E135-O135)&lt;0,ABS(N135-E135-O135),0)),2)</f>
        <v>0</v>
      </c>
    </row>
    <row r="136" customFormat="false" ht="15" hidden="false" customHeight="true" outlineLevel="0" collapsed="false">
      <c r="A136" s="12" t="s">
        <v>404</v>
      </c>
      <c r="B136" s="8" t="s">
        <v>405</v>
      </c>
      <c r="C136" s="12" t="s">
        <v>406</v>
      </c>
      <c r="D136" s="9" t="n">
        <v>2414.32</v>
      </c>
      <c r="E136" s="9" t="n">
        <v>0</v>
      </c>
      <c r="F136" s="13" t="n">
        <v>0</v>
      </c>
      <c r="G136" s="13" t="n">
        <v>62.3</v>
      </c>
      <c r="H136" s="13" t="n">
        <v>0</v>
      </c>
      <c r="I136" s="13" t="n">
        <f aca="false">W$1</f>
        <v>4.1</v>
      </c>
      <c r="J136" s="14" t="n">
        <f aca="false">ROUND(G136*I136,2)</f>
        <v>255.43</v>
      </c>
      <c r="K136" s="14"/>
      <c r="L136" s="14"/>
      <c r="M136" s="14"/>
      <c r="N136" s="14" t="n">
        <f aca="false">ROUND((G136*I136)-K136-L136-M136,2)</f>
        <v>255.43</v>
      </c>
      <c r="O136" s="14" t="n">
        <v>909.01</v>
      </c>
      <c r="P136" s="11" t="n">
        <f aca="false">ROUND(IF(D136=0,IF((N136-E136-O136)&gt;0,(N136-E136-O136),0),IF((D136+N136-O136)&gt;0,(D136+N136-O136),0)),2)</f>
        <v>1760.74</v>
      </c>
      <c r="Q136" s="11" t="n">
        <f aca="false">ROUND(IF(E136=0,IF((D136+N136-O136)&lt;0,ABS(D136+N136-O136),0),IF((N136-E136-O136)&lt;0,ABS(N136-E136-O136),0)),2)</f>
        <v>0</v>
      </c>
    </row>
    <row r="137" customFormat="false" ht="15" hidden="false" customHeight="true" outlineLevel="0" collapsed="false">
      <c r="A137" s="12" t="s">
        <v>407</v>
      </c>
      <c r="B137" s="8" t="s">
        <v>408</v>
      </c>
      <c r="C137" s="12" t="s">
        <v>409</v>
      </c>
      <c r="D137" s="9" t="n">
        <v>1523.54</v>
      </c>
      <c r="E137" s="9" t="n">
        <v>0</v>
      </c>
      <c r="F137" s="13" t="n">
        <v>0</v>
      </c>
      <c r="G137" s="13" t="n">
        <v>35.3</v>
      </c>
      <c r="H137" s="13" t="n">
        <v>0</v>
      </c>
      <c r="I137" s="13" t="n">
        <f aca="false">W$1</f>
        <v>4.1</v>
      </c>
      <c r="J137" s="14" t="n">
        <f aca="false">ROUND(G137*I137,2)</f>
        <v>144.73</v>
      </c>
      <c r="K137" s="14"/>
      <c r="L137" s="14"/>
      <c r="M137" s="14"/>
      <c r="N137" s="14" t="n">
        <f aca="false">ROUND((G137*I137)-K137-L137-M137,2)</f>
        <v>144.73</v>
      </c>
      <c r="O137" s="14"/>
      <c r="P137" s="11" t="n">
        <f aca="false">ROUND(IF(D137=0,IF((N137-E137-O137)&gt;0,(N137-E137-O137),0),IF((D137+N137-O137)&gt;0,(D137+N137-O137),0)),2)</f>
        <v>1668.27</v>
      </c>
      <c r="Q137" s="11" t="n">
        <f aca="false">ROUND(IF(E137=0,IF((D137+N137-O137)&lt;0,ABS(D137+N137-O137),0),IF((N137-E137-O137)&lt;0,ABS(N137-E137-O137),0)),2)</f>
        <v>0</v>
      </c>
    </row>
    <row r="138" customFormat="false" ht="15" hidden="false" customHeight="true" outlineLevel="0" collapsed="false">
      <c r="A138" s="12" t="s">
        <v>410</v>
      </c>
      <c r="B138" s="8" t="s">
        <v>411</v>
      </c>
      <c r="C138" s="12" t="s">
        <v>412</v>
      </c>
      <c r="D138" s="9" t="n">
        <v>2500.02</v>
      </c>
      <c r="E138" s="9" t="n">
        <v>0</v>
      </c>
      <c r="F138" s="13" t="n">
        <v>0</v>
      </c>
      <c r="G138" s="13" t="n">
        <v>49.78</v>
      </c>
      <c r="H138" s="13" t="n">
        <v>0</v>
      </c>
      <c r="I138" s="13" t="n">
        <f aca="false">W$1</f>
        <v>4.1</v>
      </c>
      <c r="J138" s="14" t="n">
        <f aca="false">ROUND(G138*I138,2)</f>
        <v>204.1</v>
      </c>
      <c r="K138" s="14"/>
      <c r="L138" s="14"/>
      <c r="M138" s="14"/>
      <c r="N138" s="14" t="n">
        <f aca="false">ROUND((G138*I138)-K138-L138-M138,2)</f>
        <v>204.1</v>
      </c>
      <c r="O138" s="14"/>
      <c r="P138" s="11" t="n">
        <f aca="false">ROUND(IF(D138=0,IF((N138-E138-O138)&gt;0,(N138-E138-O138),0),IF((D138+N138-O138)&gt;0,(D138+N138-O138),0)),2)</f>
        <v>2704.12</v>
      </c>
      <c r="Q138" s="11" t="n">
        <f aca="false">ROUND(IF(E138=0,IF((D138+N138-O138)&lt;0,ABS(D138+N138-O138),0),IF((N138-E138-O138)&lt;0,ABS(N138-E138-O138),0)),2)</f>
        <v>0</v>
      </c>
    </row>
    <row r="139" customFormat="false" ht="15" hidden="false" customHeight="true" outlineLevel="0" collapsed="false">
      <c r="A139" s="12" t="s">
        <v>413</v>
      </c>
      <c r="B139" s="8" t="s">
        <v>414</v>
      </c>
      <c r="C139" s="12" t="s">
        <v>415</v>
      </c>
      <c r="D139" s="9" t="n">
        <v>0</v>
      </c>
      <c r="E139" s="9" t="n">
        <v>5.07</v>
      </c>
      <c r="F139" s="13" t="n">
        <v>0</v>
      </c>
      <c r="G139" s="13" t="n">
        <v>65.93</v>
      </c>
      <c r="H139" s="13" t="n">
        <v>0</v>
      </c>
      <c r="I139" s="13" t="n">
        <f aca="false">W$1</f>
        <v>4.1</v>
      </c>
      <c r="J139" s="14" t="n">
        <f aca="false">ROUND(G139*I139,2)</f>
        <v>270.31</v>
      </c>
      <c r="K139" s="14"/>
      <c r="L139" s="14"/>
      <c r="M139" s="14"/>
      <c r="N139" s="14" t="n">
        <f aca="false">ROUND((G139*I139)-K139-L139-M139,2)</f>
        <v>270.31</v>
      </c>
      <c r="O139" s="14" t="n">
        <v>272</v>
      </c>
      <c r="P139" s="11" t="n">
        <f aca="false">ROUND(IF(D139=0,IF((N139-E139-O139)&gt;0,(N139-E139-O139),0),IF((D139+N139-O139)&gt;0,(D139+N139-O139),0)),2)</f>
        <v>0</v>
      </c>
      <c r="Q139" s="11" t="n">
        <f aca="false">ROUND(IF(E139=0,IF((D139+N139-O139)&lt;0,ABS(D139+N139-O139),0),IF((N139-E139-O139)&lt;0,ABS(N139-E139-O139),0)),2)</f>
        <v>6.76</v>
      </c>
    </row>
    <row r="140" customFormat="false" ht="15" hidden="false" customHeight="true" outlineLevel="0" collapsed="false">
      <c r="A140" s="12" t="s">
        <v>416</v>
      </c>
      <c r="B140" s="8" t="s">
        <v>417</v>
      </c>
      <c r="C140" s="12" t="s">
        <v>418</v>
      </c>
      <c r="D140" s="9" t="n">
        <v>511.36</v>
      </c>
      <c r="E140" s="9" t="n">
        <v>0</v>
      </c>
      <c r="F140" s="13" t="n">
        <v>0</v>
      </c>
      <c r="G140" s="13" t="n">
        <v>62.36</v>
      </c>
      <c r="H140" s="13" t="n">
        <v>0</v>
      </c>
      <c r="I140" s="13" t="n">
        <f aca="false">W$1</f>
        <v>4.1</v>
      </c>
      <c r="J140" s="14" t="n">
        <f aca="false">ROUND(G140*I140,2)</f>
        <v>255.68</v>
      </c>
      <c r="K140" s="14"/>
      <c r="L140" s="14"/>
      <c r="M140" s="14"/>
      <c r="N140" s="14" t="n">
        <f aca="false">ROUND((G140*I140)-K140-L140-M140,2)</f>
        <v>255.68</v>
      </c>
      <c r="O140" s="14" t="n">
        <f aca="false">255.68+511.36</f>
        <v>767.04</v>
      </c>
      <c r="P140" s="11" t="n">
        <f aca="false">ROUND(IF(D140=0,IF((N140-E140-O140)&gt;0,(N140-E140-O140),0),IF((D140+N140-O140)&gt;0,(D140+N140-O140),0)),2)</f>
        <v>0</v>
      </c>
      <c r="Q140" s="11" t="n">
        <f aca="false">ROUND(IF(E140=0,IF((D140+N140-O140)&lt;0,ABS(D140+N140-O140),0),IF((N140-E140-O140)&lt;0,ABS(N140-E140-O140),0)),2)</f>
        <v>0</v>
      </c>
    </row>
    <row r="141" customFormat="false" ht="15" hidden="false" customHeight="true" outlineLevel="0" collapsed="false">
      <c r="A141" s="12" t="s">
        <v>419</v>
      </c>
      <c r="B141" s="8" t="s">
        <v>420</v>
      </c>
      <c r="C141" s="12" t="s">
        <v>421</v>
      </c>
      <c r="D141" s="9" t="n">
        <v>6907.68</v>
      </c>
      <c r="E141" s="9" t="n">
        <v>0</v>
      </c>
      <c r="F141" s="13" t="n">
        <v>0</v>
      </c>
      <c r="G141" s="13" t="n">
        <v>35.1</v>
      </c>
      <c r="H141" s="13" t="n">
        <v>0</v>
      </c>
      <c r="I141" s="13" t="n">
        <f aca="false">W$1</f>
        <v>4.1</v>
      </c>
      <c r="J141" s="14" t="n">
        <f aca="false">ROUND(G141*I141,2)</f>
        <v>143.91</v>
      </c>
      <c r="K141" s="14"/>
      <c r="L141" s="14"/>
      <c r="M141" s="14"/>
      <c r="N141" s="14" t="n">
        <f aca="false">ROUND((G141*I141)-K141-L141-M141,2)</f>
        <v>143.91</v>
      </c>
      <c r="O141" s="14"/>
      <c r="P141" s="11" t="n">
        <f aca="false">ROUND(IF(D141=0,IF((N141-E141-O141)&gt;0,(N141-E141-O141),0),IF((D141+N141-O141)&gt;0,(D141+N141-O141),0)),2)</f>
        <v>7051.59</v>
      </c>
      <c r="Q141" s="11" t="n">
        <f aca="false">ROUND(IF(E141=0,IF((D141+N141-O141)&lt;0,ABS(D141+N141-O141),0),IF((N141-E141-O141)&lt;0,ABS(N141-E141-O141),0)),2)</f>
        <v>0</v>
      </c>
    </row>
    <row r="142" customFormat="false" ht="15" hidden="false" customHeight="true" outlineLevel="0" collapsed="false">
      <c r="A142" s="12" t="s">
        <v>422</v>
      </c>
      <c r="B142" s="8" t="s">
        <v>423</v>
      </c>
      <c r="C142" s="12" t="s">
        <v>424</v>
      </c>
      <c r="D142" s="9" t="n">
        <v>8274.51</v>
      </c>
      <c r="E142" s="9" t="n">
        <v>0</v>
      </c>
      <c r="F142" s="13" t="n">
        <v>0</v>
      </c>
      <c r="G142" s="13" t="n">
        <v>49.47</v>
      </c>
      <c r="H142" s="13" t="n">
        <v>0</v>
      </c>
      <c r="I142" s="13" t="n">
        <f aca="false">W$1</f>
        <v>4.1</v>
      </c>
      <c r="J142" s="14" t="n">
        <f aca="false">ROUND(G142*I142,2)</f>
        <v>202.83</v>
      </c>
      <c r="K142" s="14"/>
      <c r="L142" s="14"/>
      <c r="M142" s="14"/>
      <c r="N142" s="14" t="n">
        <f aca="false">ROUND((G142*I142)-K142-L142-M142,2)</f>
        <v>202.83</v>
      </c>
      <c r="O142" s="14"/>
      <c r="P142" s="11" t="n">
        <f aca="false">ROUND(IF(D142=0,IF((N142-E142-O142)&gt;0,(N142-E142-O142),0),IF((D142+N142-O142)&gt;0,(D142+N142-O142),0)),2)</f>
        <v>8477.34</v>
      </c>
      <c r="Q142" s="11" t="n">
        <f aca="false">ROUND(IF(E142=0,IF((D142+N142-O142)&lt;0,ABS(D142+N142-O142),0),IF((N142-E142-O142)&lt;0,ABS(N142-E142-O142),0)),2)</f>
        <v>0</v>
      </c>
    </row>
    <row r="143" customFormat="false" ht="15" hidden="false" customHeight="true" outlineLevel="0" collapsed="false">
      <c r="A143" s="12" t="s">
        <v>425</v>
      </c>
      <c r="B143" s="8" t="s">
        <v>426</v>
      </c>
      <c r="C143" s="12" t="s">
        <v>427</v>
      </c>
      <c r="D143" s="9" t="n">
        <v>10764.99</v>
      </c>
      <c r="E143" s="9" t="n">
        <v>0</v>
      </c>
      <c r="F143" s="13" t="n">
        <v>0</v>
      </c>
      <c r="G143" s="13" t="n">
        <v>65.65</v>
      </c>
      <c r="H143" s="13" t="n">
        <v>0</v>
      </c>
      <c r="I143" s="13" t="n">
        <f aca="false">W$1</f>
        <v>4.1</v>
      </c>
      <c r="J143" s="14" t="n">
        <f aca="false">ROUND(G143*I143,2)</f>
        <v>269.17</v>
      </c>
      <c r="K143" s="14"/>
      <c r="L143" s="14"/>
      <c r="M143" s="14"/>
      <c r="N143" s="14" t="n">
        <f aca="false">ROUND((G143*I143)-K143-L143-M143,2)</f>
        <v>269.17</v>
      </c>
      <c r="O143" s="14"/>
      <c r="P143" s="11" t="n">
        <f aca="false">ROUND(IF(D143=0,IF((N143-E143-O143)&gt;0,(N143-E143-O143),0),IF((D143+N143-O143)&gt;0,(D143+N143-O143),0)),2)</f>
        <v>11034.16</v>
      </c>
      <c r="Q143" s="11" t="n">
        <f aca="false">ROUND(IF(E143=0,IF((D143+N143-O143)&lt;0,ABS(D143+N143-O143),0),IF((N143-E143-O143)&lt;0,ABS(N143-E143-O143),0)),2)</f>
        <v>0</v>
      </c>
    </row>
    <row r="144" customFormat="false" ht="15" hidden="false" customHeight="true" outlineLevel="0" collapsed="false">
      <c r="A144" s="12" t="s">
        <v>428</v>
      </c>
      <c r="B144" s="8" t="s">
        <v>429</v>
      </c>
      <c r="C144" s="12" t="s">
        <v>430</v>
      </c>
      <c r="D144" s="9" t="n">
        <v>10947.55</v>
      </c>
      <c r="E144" s="9" t="n">
        <v>0</v>
      </c>
      <c r="F144" s="13" t="n">
        <v>0</v>
      </c>
      <c r="G144" s="13" t="n">
        <v>62.1</v>
      </c>
      <c r="H144" s="13" t="n">
        <v>0</v>
      </c>
      <c r="I144" s="13" t="n">
        <f aca="false">W$1</f>
        <v>4.1</v>
      </c>
      <c r="J144" s="14" t="n">
        <f aca="false">ROUND(G144*I144,2)</f>
        <v>254.61</v>
      </c>
      <c r="K144" s="14"/>
      <c r="L144" s="14"/>
      <c r="M144" s="14"/>
      <c r="N144" s="14" t="n">
        <f aca="false">ROUND((G144*I144)-K144-L144-M144,2)</f>
        <v>254.61</v>
      </c>
      <c r="O144" s="14"/>
      <c r="P144" s="11" t="n">
        <f aca="false">ROUND(IF(D144=0,IF((N144-E144-O144)&gt;0,(N144-E144-O144),0),IF((D144+N144-O144)&gt;0,(D144+N144-O144),0)),2)</f>
        <v>11202.16</v>
      </c>
      <c r="Q144" s="11" t="n">
        <f aca="false">ROUND(IF(E144=0,IF((D144+N144-O144)&lt;0,ABS(D144+N144-O144),0),IF((N144-E144-O144)&lt;0,ABS(N144-E144-O144),0)),2)</f>
        <v>0</v>
      </c>
    </row>
    <row r="145" customFormat="false" ht="15" hidden="false" customHeight="true" outlineLevel="0" collapsed="false">
      <c r="A145" s="12" t="s">
        <v>431</v>
      </c>
      <c r="B145" s="8" t="s">
        <v>432</v>
      </c>
      <c r="C145" s="12" t="s">
        <v>433</v>
      </c>
      <c r="D145" s="9" t="n">
        <v>3538.72</v>
      </c>
      <c r="E145" s="9" t="n">
        <v>0</v>
      </c>
      <c r="F145" s="13" t="n">
        <v>0</v>
      </c>
      <c r="G145" s="13" t="n">
        <v>35.2</v>
      </c>
      <c r="H145" s="13" t="n">
        <v>0</v>
      </c>
      <c r="I145" s="13" t="n">
        <f aca="false">W$1</f>
        <v>4.1</v>
      </c>
      <c r="J145" s="14" t="n">
        <f aca="false">ROUND(G145*I145,2)</f>
        <v>144.32</v>
      </c>
      <c r="K145" s="14"/>
      <c r="L145" s="14"/>
      <c r="M145" s="14"/>
      <c r="N145" s="14" t="n">
        <f aca="false">ROUND((G145*I145)-K145-L145-M145,2)</f>
        <v>144.32</v>
      </c>
      <c r="O145" s="14"/>
      <c r="P145" s="11" t="n">
        <f aca="false">ROUND(IF(D145=0,IF((N145-E145-O145)&gt;0,(N145-E145-O145),0),IF((D145+N145-O145)&gt;0,(D145+N145-O145),0)),2)</f>
        <v>3683.04</v>
      </c>
      <c r="Q145" s="11" t="n">
        <f aca="false">ROUND(IF(E145=0,IF((D145+N145-O145)&lt;0,ABS(D145+N145-O145),0),IF((N145-E145-O145)&lt;0,ABS(N145-E145-O145),0)),2)</f>
        <v>0</v>
      </c>
    </row>
    <row r="146" customFormat="false" ht="15" hidden="false" customHeight="true" outlineLevel="0" collapsed="false">
      <c r="A146" s="12" t="s">
        <v>434</v>
      </c>
      <c r="B146" s="8" t="s">
        <v>435</v>
      </c>
      <c r="C146" s="12" t="s">
        <v>436</v>
      </c>
      <c r="D146" s="9" t="n">
        <v>409.18</v>
      </c>
      <c r="E146" s="9" t="n">
        <v>0</v>
      </c>
      <c r="F146" s="13" t="n">
        <v>0</v>
      </c>
      <c r="G146" s="13" t="n">
        <v>49.9</v>
      </c>
      <c r="H146" s="13" t="n">
        <v>0</v>
      </c>
      <c r="I146" s="13" t="n">
        <f aca="false">W$1</f>
        <v>4.1</v>
      </c>
      <c r="J146" s="14" t="n">
        <f aca="false">ROUND(G146*I146,2)</f>
        <v>204.59</v>
      </c>
      <c r="K146" s="14"/>
      <c r="L146" s="14"/>
      <c r="M146" s="14"/>
      <c r="N146" s="14" t="n">
        <f aca="false">ROUND((G146*I146)-K146-L146-M146,2)</f>
        <v>204.59</v>
      </c>
      <c r="O146" s="14"/>
      <c r="P146" s="11" t="n">
        <f aca="false">ROUND(IF(D146=0,IF((N146-E146-O146)&gt;0,(N146-E146-O146),0),IF((D146+N146-O146)&gt;0,(D146+N146-O146),0)),2)</f>
        <v>613.77</v>
      </c>
      <c r="Q146" s="11" t="n">
        <f aca="false">ROUND(IF(E146=0,IF((D146+N146-O146)&lt;0,ABS(D146+N146-O146),0),IF((N146-E146-O146)&lt;0,ABS(N146-E146-O146),0)),2)</f>
        <v>0</v>
      </c>
    </row>
    <row r="147" customFormat="false" ht="15" hidden="false" customHeight="true" outlineLevel="0" collapsed="false">
      <c r="A147" s="12" t="s">
        <v>437</v>
      </c>
      <c r="B147" s="8" t="s">
        <v>438</v>
      </c>
      <c r="C147" s="12" t="s">
        <v>439</v>
      </c>
      <c r="D147" s="9" t="n">
        <v>4635.74</v>
      </c>
      <c r="E147" s="9" t="n">
        <v>0</v>
      </c>
      <c r="F147" s="13" t="n">
        <v>0</v>
      </c>
      <c r="G147" s="13" t="n">
        <v>65.8</v>
      </c>
      <c r="H147" s="13" t="n">
        <v>0</v>
      </c>
      <c r="I147" s="13" t="n">
        <f aca="false">W$1</f>
        <v>4.1</v>
      </c>
      <c r="J147" s="14" t="n">
        <f aca="false">ROUND(G147*I147,2)</f>
        <v>269.78</v>
      </c>
      <c r="K147" s="14"/>
      <c r="L147" s="14"/>
      <c r="M147" s="14"/>
      <c r="N147" s="14" t="n">
        <f aca="false">ROUND((G147*I147)-K147-L147-M147,2)</f>
        <v>269.78</v>
      </c>
      <c r="O147" s="14"/>
      <c r="P147" s="11" t="n">
        <f aca="false">ROUND(IF(D147=0,IF((N147-E147-O147)&gt;0,(N147-E147-O147),0),IF((D147+N147-O147)&gt;0,(D147+N147-O147),0)),2)</f>
        <v>4905.52</v>
      </c>
      <c r="Q147" s="11" t="n">
        <f aca="false">ROUND(IF(E147=0,IF((D147+N147-O147)&lt;0,ABS(D147+N147-O147),0),IF((N147-E147-O147)&lt;0,ABS(N147-E147-O147),0)),2)</f>
        <v>0</v>
      </c>
    </row>
    <row r="148" customFormat="false" ht="15" hidden="false" customHeight="true" outlineLevel="0" collapsed="false">
      <c r="A148" s="12" t="s">
        <v>440</v>
      </c>
      <c r="B148" s="8" t="s">
        <v>441</v>
      </c>
      <c r="C148" s="12" t="s">
        <v>442</v>
      </c>
      <c r="D148" s="9" t="n">
        <v>1256.84</v>
      </c>
      <c r="E148" s="9" t="n">
        <v>0</v>
      </c>
      <c r="F148" s="13" t="n">
        <v>0</v>
      </c>
      <c r="G148" s="13" t="n">
        <v>63.2</v>
      </c>
      <c r="H148" s="13" t="n">
        <v>0</v>
      </c>
      <c r="I148" s="13" t="n">
        <f aca="false">W$1</f>
        <v>4.1</v>
      </c>
      <c r="J148" s="14" t="n">
        <f aca="false">ROUND(G148*I148,2)</f>
        <v>259.12</v>
      </c>
      <c r="K148" s="14"/>
      <c r="L148" s="14"/>
      <c r="M148" s="14"/>
      <c r="N148" s="14" t="n">
        <f aca="false">ROUND((G148*I148)-K148-L148-M148,2)</f>
        <v>259.12</v>
      </c>
      <c r="O148" s="14"/>
      <c r="P148" s="11" t="n">
        <f aca="false">ROUND(IF(D148=0,IF((N148-E148-O148)&gt;0,(N148-E148-O148),0),IF((D148+N148-O148)&gt;0,(D148+N148-O148),0)),2)</f>
        <v>1515.96</v>
      </c>
      <c r="Q148" s="11" t="n">
        <f aca="false">ROUND(IF(E148=0,IF((D148+N148-O148)&lt;0,ABS(D148+N148-O148),0),IF((N148-E148-O148)&lt;0,ABS(N148-E148-O148),0)),2)</f>
        <v>0</v>
      </c>
    </row>
    <row r="149" customFormat="false" ht="15" hidden="false" customHeight="true" outlineLevel="0" collapsed="false">
      <c r="A149" s="12" t="s">
        <v>443</v>
      </c>
      <c r="B149" s="8" t="s">
        <v>444</v>
      </c>
      <c r="C149" s="12" t="s">
        <v>445</v>
      </c>
      <c r="D149" s="9" t="n">
        <v>4005.99</v>
      </c>
      <c r="E149" s="9" t="n">
        <v>0</v>
      </c>
      <c r="F149" s="13" t="n">
        <v>0</v>
      </c>
      <c r="G149" s="13" t="n">
        <v>34.9</v>
      </c>
      <c r="H149" s="13" t="n">
        <v>0</v>
      </c>
      <c r="I149" s="13" t="n">
        <f aca="false">W$1</f>
        <v>4.1</v>
      </c>
      <c r="J149" s="14" t="n">
        <f aca="false">ROUND(G149*I149,2)</f>
        <v>143.09</v>
      </c>
      <c r="K149" s="14"/>
      <c r="L149" s="14"/>
      <c r="M149" s="14"/>
      <c r="N149" s="14" t="n">
        <f aca="false">ROUND((G149*I149)-K149-L149-M149,2)</f>
        <v>143.09</v>
      </c>
      <c r="O149" s="14"/>
      <c r="P149" s="11" t="n">
        <f aca="false">ROUND(IF(D149=0,IF((N149-E149-O149)&gt;0,(N149-E149-O149),0),IF((D149+N149-O149)&gt;0,(D149+N149-O149),0)),2)</f>
        <v>4149.08</v>
      </c>
      <c r="Q149" s="11" t="n">
        <f aca="false">ROUND(IF(E149=0,IF((D149+N149-O149)&lt;0,ABS(D149+N149-O149),0),IF((N149-E149-O149)&lt;0,ABS(N149-E149-O149),0)),2)</f>
        <v>0</v>
      </c>
    </row>
    <row r="150" customFormat="false" ht="15" hidden="false" customHeight="true" outlineLevel="0" collapsed="false">
      <c r="A150" s="12" t="s">
        <v>446</v>
      </c>
      <c r="B150" s="8" t="s">
        <v>447</v>
      </c>
      <c r="C150" s="12" t="s">
        <v>448</v>
      </c>
      <c r="D150" s="9" t="n">
        <v>9505.44</v>
      </c>
      <c r="E150" s="9" t="n">
        <v>0</v>
      </c>
      <c r="F150" s="13" t="n">
        <v>0</v>
      </c>
      <c r="G150" s="13" t="n">
        <v>50.4</v>
      </c>
      <c r="H150" s="13" t="n">
        <v>0</v>
      </c>
      <c r="I150" s="13" t="n">
        <f aca="false">W$1</f>
        <v>4.1</v>
      </c>
      <c r="J150" s="14" t="n">
        <f aca="false">ROUND(G150*I150,2)</f>
        <v>206.64</v>
      </c>
      <c r="K150" s="14"/>
      <c r="L150" s="14"/>
      <c r="M150" s="14"/>
      <c r="N150" s="14" t="n">
        <f aca="false">ROUND((G150*I150)-K150-L150-M150,2)</f>
        <v>206.64</v>
      </c>
      <c r="O150" s="14"/>
      <c r="P150" s="11" t="n">
        <f aca="false">ROUND(IF(D150=0,IF((N150-E150-O150)&gt;0,(N150-E150-O150),0),IF((D150+N150-O150)&gt;0,(D150+N150-O150),0)),2)</f>
        <v>9712.08</v>
      </c>
      <c r="Q150" s="11" t="n">
        <f aca="false">ROUND(IF(E150=0,IF((D150+N150-O150)&lt;0,ABS(D150+N150-O150),0),IF((N150-E150-O150)&lt;0,ABS(N150-E150-O150),0)),2)</f>
        <v>0</v>
      </c>
    </row>
    <row r="151" customFormat="false" ht="15" hidden="false" customHeight="true" outlineLevel="0" collapsed="false">
      <c r="A151" s="12" t="s">
        <v>449</v>
      </c>
      <c r="B151" s="8" t="s">
        <v>450</v>
      </c>
      <c r="C151" s="12" t="s">
        <v>451</v>
      </c>
      <c r="D151" s="9" t="n">
        <v>12618.77</v>
      </c>
      <c r="E151" s="9" t="n">
        <v>0</v>
      </c>
      <c r="F151" s="13" t="n">
        <v>0</v>
      </c>
      <c r="G151" s="13" t="n">
        <v>65.2</v>
      </c>
      <c r="H151" s="13" t="n">
        <v>0</v>
      </c>
      <c r="I151" s="13" t="n">
        <f aca="false">W$1</f>
        <v>4.1</v>
      </c>
      <c r="J151" s="14" t="n">
        <f aca="false">ROUND(G151*I151,2)</f>
        <v>267.32</v>
      </c>
      <c r="K151" s="14"/>
      <c r="L151" s="14"/>
      <c r="M151" s="14"/>
      <c r="N151" s="14" t="n">
        <f aca="false">ROUND((G151*I151)-K151-L151-M151,2)</f>
        <v>267.32</v>
      </c>
      <c r="O151" s="14"/>
      <c r="P151" s="11" t="n">
        <f aca="false">ROUND(IF(D151=0,IF((N151-E151-O151)&gt;0,(N151-E151-O151),0),IF((D151+N151-O151)&gt;0,(D151+N151-O151),0)),2)</f>
        <v>12886.09</v>
      </c>
      <c r="Q151" s="11" t="n">
        <f aca="false">ROUND(IF(E151=0,IF((D151+N151-O151)&lt;0,ABS(D151+N151-O151),0),IF((N151-E151-O151)&lt;0,ABS(N151-E151-O151),0)),2)</f>
        <v>0</v>
      </c>
    </row>
    <row r="152" customFormat="false" ht="15" hidden="false" customHeight="true" outlineLevel="0" collapsed="false">
      <c r="A152" s="12" t="s">
        <v>452</v>
      </c>
      <c r="B152" s="8" t="s">
        <v>453</v>
      </c>
      <c r="C152" s="12" t="s">
        <v>454</v>
      </c>
      <c r="D152" s="9" t="n">
        <v>1853.18</v>
      </c>
      <c r="E152" s="9" t="n">
        <v>0</v>
      </c>
      <c r="F152" s="13" t="n">
        <v>0</v>
      </c>
      <c r="G152" s="13" t="n">
        <v>64.57</v>
      </c>
      <c r="H152" s="13" t="n">
        <v>0</v>
      </c>
      <c r="I152" s="13" t="n">
        <f aca="false">W$1</f>
        <v>4.1</v>
      </c>
      <c r="J152" s="14" t="n">
        <f aca="false">ROUND(G152*I152,2)</f>
        <v>264.74</v>
      </c>
      <c r="K152" s="14"/>
      <c r="L152" s="14"/>
      <c r="M152" s="14"/>
      <c r="N152" s="14" t="n">
        <f aca="false">ROUND((G152*I152)-K152-L152-M152,2)</f>
        <v>264.74</v>
      </c>
      <c r="O152" s="14"/>
      <c r="P152" s="11" t="n">
        <f aca="false">ROUND(IF(D152=0,IF((N152-E152-O152)&gt;0,(N152-E152-O152),0),IF((D152+N152-O152)&gt;0,(D152+N152-O152),0)),2)</f>
        <v>2117.92</v>
      </c>
      <c r="Q152" s="11" t="n">
        <f aca="false">ROUND(IF(E152=0,IF((D152+N152-O152)&lt;0,ABS(D152+N152-O152),0),IF((N152-E152-O152)&lt;0,ABS(N152-E152-O152),0)),2)</f>
        <v>0</v>
      </c>
    </row>
    <row r="153" customFormat="false" ht="15" hidden="false" customHeight="true" outlineLevel="0" collapsed="false">
      <c r="A153" s="12" t="s">
        <v>455</v>
      </c>
      <c r="B153" s="8" t="s">
        <v>456</v>
      </c>
      <c r="C153" s="12" t="s">
        <v>457</v>
      </c>
      <c r="D153" s="9" t="n">
        <v>11040.21</v>
      </c>
      <c r="E153" s="9" t="n">
        <v>0</v>
      </c>
      <c r="F153" s="13" t="n">
        <v>0</v>
      </c>
      <c r="G153" s="13" t="n">
        <v>48.7</v>
      </c>
      <c r="H153" s="13" t="n">
        <v>0</v>
      </c>
      <c r="I153" s="13" t="n">
        <f aca="false">W$1</f>
        <v>4.1</v>
      </c>
      <c r="J153" s="14" t="n">
        <f aca="false">ROUND(G153*I153,2)</f>
        <v>199.67</v>
      </c>
      <c r="K153" s="14"/>
      <c r="L153" s="14"/>
      <c r="M153" s="14"/>
      <c r="N153" s="14" t="n">
        <f aca="false">ROUND((G153*I153)-K153-L153-M153,2)</f>
        <v>199.67</v>
      </c>
      <c r="O153" s="14"/>
      <c r="P153" s="11" t="n">
        <f aca="false">ROUND(IF(D153=0,IF((N153-E153-O153)&gt;0,(N153-E153-O153),0),IF((D153+N153-O153)&gt;0,(D153+N153-O153),0)),2)</f>
        <v>11239.88</v>
      </c>
      <c r="Q153" s="11" t="n">
        <f aca="false">ROUND(IF(E153=0,IF((D153+N153-O153)&lt;0,ABS(D153+N153-O153),0),IF((N153-E153-O153)&lt;0,ABS(N153-E153-O153),0)),2)</f>
        <v>0</v>
      </c>
    </row>
    <row r="154" customFormat="false" ht="15" hidden="false" customHeight="true" outlineLevel="0" collapsed="false">
      <c r="A154" s="12" t="s">
        <v>458</v>
      </c>
      <c r="B154" s="8" t="s">
        <v>459</v>
      </c>
      <c r="C154" s="12" t="s">
        <v>460</v>
      </c>
      <c r="D154" s="9" t="n">
        <v>948.77</v>
      </c>
      <c r="E154" s="9" t="n">
        <v>0</v>
      </c>
      <c r="F154" s="13" t="n">
        <v>0</v>
      </c>
      <c r="G154" s="13" t="n">
        <v>35.1</v>
      </c>
      <c r="H154" s="13" t="n">
        <v>0</v>
      </c>
      <c r="I154" s="13" t="n">
        <f aca="false">W$1</f>
        <v>4.1</v>
      </c>
      <c r="J154" s="14" t="n">
        <f aca="false">ROUND(G154*I154,2)</f>
        <v>143.91</v>
      </c>
      <c r="K154" s="14"/>
      <c r="L154" s="14"/>
      <c r="M154" s="14"/>
      <c r="N154" s="14" t="n">
        <f aca="false">ROUND((G154*I154)-K154-L154-M154,2)</f>
        <v>143.91</v>
      </c>
      <c r="O154" s="14"/>
      <c r="P154" s="11" t="n">
        <f aca="false">ROUND(IF(D154=0,IF((N154-E154-O154)&gt;0,(N154-E154-O154),0),IF((D154+N154-O154)&gt;0,(D154+N154-O154),0)),2)</f>
        <v>1092.68</v>
      </c>
      <c r="Q154" s="11" t="n">
        <f aca="false">ROUND(IF(E154=0,IF((D154+N154-O154)&lt;0,ABS(D154+N154-O154),0),IF((N154-E154-O154)&lt;0,ABS(N154-E154-O154),0)),2)</f>
        <v>0</v>
      </c>
    </row>
    <row r="155" customFormat="false" ht="15" hidden="false" customHeight="true" outlineLevel="0" collapsed="false">
      <c r="A155" s="12" t="s">
        <v>461</v>
      </c>
      <c r="B155" s="8" t="s">
        <v>462</v>
      </c>
      <c r="C155" s="12" t="s">
        <v>463</v>
      </c>
      <c r="D155" s="9" t="n">
        <v>6589.2</v>
      </c>
      <c r="E155" s="9" t="n">
        <v>0</v>
      </c>
      <c r="F155" s="13" t="n">
        <v>0</v>
      </c>
      <c r="G155" s="13" t="n">
        <v>53.57</v>
      </c>
      <c r="H155" s="13" t="n">
        <v>0</v>
      </c>
      <c r="I155" s="13" t="n">
        <f aca="false">W$1</f>
        <v>4.1</v>
      </c>
      <c r="J155" s="14" t="n">
        <f aca="false">ROUND(G155*I155,2)</f>
        <v>219.64</v>
      </c>
      <c r="K155" s="14"/>
      <c r="L155" s="14"/>
      <c r="M155" s="14"/>
      <c r="N155" s="14" t="n">
        <f aca="false">ROUND((G155*I155)-K155-L155-M155,2)</f>
        <v>219.64</v>
      </c>
      <c r="O155" s="14"/>
      <c r="P155" s="11" t="n">
        <f aca="false">ROUND(IF(D155=0,IF((N155-E155-O155)&gt;0,(N155-E155-O155),0),IF((D155+N155-O155)&gt;0,(D155+N155-O155),0)),2)</f>
        <v>6808.84</v>
      </c>
      <c r="Q155" s="11" t="n">
        <f aca="false">ROUND(IF(E155=0,IF((D155+N155-O155)&lt;0,ABS(D155+N155-O155),0),IF((N155-E155-O155)&lt;0,ABS(N155-E155-O155),0)),2)</f>
        <v>0</v>
      </c>
    </row>
    <row r="156" customFormat="false" ht="15" hidden="false" customHeight="true" outlineLevel="0" collapsed="false">
      <c r="A156" s="12" t="s">
        <v>464</v>
      </c>
      <c r="B156" s="8" t="s">
        <v>465</v>
      </c>
      <c r="C156" s="12" t="s">
        <v>466</v>
      </c>
      <c r="D156" s="9" t="n">
        <v>0</v>
      </c>
      <c r="E156" s="9" t="n">
        <v>2052.36</v>
      </c>
      <c r="F156" s="13" t="n">
        <v>0</v>
      </c>
      <c r="G156" s="13" t="n">
        <v>65.7</v>
      </c>
      <c r="H156" s="13" t="n">
        <v>0</v>
      </c>
      <c r="I156" s="13" t="n">
        <f aca="false">W$1</f>
        <v>4.1</v>
      </c>
      <c r="J156" s="14" t="n">
        <f aca="false">ROUND(G156*I156,2)</f>
        <v>269.37</v>
      </c>
      <c r="K156" s="14"/>
      <c r="L156" s="14"/>
      <c r="M156" s="14"/>
      <c r="N156" s="14" t="n">
        <f aca="false">ROUND((G156*I156)-K156-L156-M156,2)</f>
        <v>269.37</v>
      </c>
      <c r="O156" s="14" t="n">
        <v>306.02</v>
      </c>
      <c r="P156" s="11" t="n">
        <f aca="false">ROUND(IF(D156=0,IF((N156-E156-O156)&gt;0,(N156-E156-O156),0),IF((D156+N156-O156)&gt;0,(D156+N156-O156),0)),2)</f>
        <v>0</v>
      </c>
      <c r="Q156" s="11" t="n">
        <f aca="false">ROUND(IF(E156=0,IF((D156+N156-O156)&lt;0,ABS(D156+N156-O156),0),IF((N156-E156-O156)&lt;0,ABS(N156-E156-O156),0)),2)</f>
        <v>2089.01</v>
      </c>
    </row>
    <row r="157" customFormat="false" ht="15" hidden="false" customHeight="true" outlineLevel="0" collapsed="false">
      <c r="A157" s="12" t="s">
        <v>467</v>
      </c>
      <c r="B157" s="8" t="s">
        <v>468</v>
      </c>
      <c r="C157" s="12" t="s">
        <v>469</v>
      </c>
      <c r="D157" s="9" t="n">
        <v>3425.38</v>
      </c>
      <c r="E157" s="9" t="n">
        <v>0</v>
      </c>
      <c r="F157" s="13" t="n">
        <v>0</v>
      </c>
      <c r="G157" s="13" t="n">
        <v>49.78</v>
      </c>
      <c r="H157" s="13" t="n">
        <v>0</v>
      </c>
      <c r="I157" s="13" t="n">
        <f aca="false">W$1</f>
        <v>4.1</v>
      </c>
      <c r="J157" s="14" t="n">
        <f aca="false">ROUND(G157*I157,2)</f>
        <v>204.1</v>
      </c>
      <c r="K157" s="14"/>
      <c r="L157" s="14"/>
      <c r="M157" s="14"/>
      <c r="N157" s="14" t="n">
        <f aca="false">ROUND((G157*I157)-K157-L157-M157,2)</f>
        <v>204.1</v>
      </c>
      <c r="O157" s="14" t="n">
        <f aca="false">500+500</f>
        <v>1000</v>
      </c>
      <c r="P157" s="11" t="n">
        <f aca="false">ROUND(IF(D157=0,IF((N157-E157-O157)&gt;0,(N157-E157-O157),0),IF((D157+N157-O157)&gt;0,(D157+N157-O157),0)),2)</f>
        <v>2629.48</v>
      </c>
      <c r="Q157" s="11" t="n">
        <f aca="false">ROUND(IF(E157=0,IF((D157+N157-O157)&lt;0,ABS(D157+N157-O157),0),IF((N157-E157-O157)&lt;0,ABS(N157-E157-O157),0)),2)</f>
        <v>0</v>
      </c>
    </row>
    <row r="158" customFormat="false" ht="15" hidden="false" customHeight="true" outlineLevel="0" collapsed="false">
      <c r="A158" s="12" t="s">
        <v>470</v>
      </c>
      <c r="B158" s="8" t="s">
        <v>471</v>
      </c>
      <c r="C158" s="12" t="s">
        <v>472</v>
      </c>
      <c r="D158" s="9" t="n">
        <v>287</v>
      </c>
      <c r="E158" s="9" t="n">
        <v>0</v>
      </c>
      <c r="F158" s="13" t="n">
        <v>0</v>
      </c>
      <c r="G158" s="13" t="n">
        <v>35</v>
      </c>
      <c r="H158" s="13" t="n">
        <v>0</v>
      </c>
      <c r="I158" s="13" t="n">
        <f aca="false">W$1</f>
        <v>4.1</v>
      </c>
      <c r="J158" s="14" t="n">
        <f aca="false">ROUND(G158*I158,2)</f>
        <v>143.5</v>
      </c>
      <c r="K158" s="14"/>
      <c r="L158" s="14"/>
      <c r="M158" s="14"/>
      <c r="N158" s="14" t="n">
        <f aca="false">ROUND((G158*I158)-K158-L158-M158,2)</f>
        <v>143.5</v>
      </c>
      <c r="O158" s="14"/>
      <c r="P158" s="11" t="n">
        <f aca="false">ROUND(IF(D158=0,IF((N158-E158-O158)&gt;0,(N158-E158-O158),0),IF((D158+N158-O158)&gt;0,(D158+N158-O158),0)),2)</f>
        <v>430.5</v>
      </c>
      <c r="Q158" s="11" t="n">
        <f aca="false">ROUND(IF(E158=0,IF((D158+N158-O158)&lt;0,ABS(D158+N158-O158),0),IF((N158-E158-O158)&lt;0,ABS(N158-E158-O158),0)),2)</f>
        <v>0</v>
      </c>
    </row>
    <row r="159" customFormat="false" ht="15" hidden="false" customHeight="true" outlineLevel="0" collapsed="false">
      <c r="A159" s="12" t="s">
        <v>473</v>
      </c>
      <c r="B159" s="8" t="s">
        <v>474</v>
      </c>
      <c r="C159" s="12" t="s">
        <v>475</v>
      </c>
      <c r="D159" s="9" t="n">
        <v>9894.97</v>
      </c>
      <c r="E159" s="9" t="n">
        <v>0</v>
      </c>
      <c r="F159" s="13" t="n">
        <v>0</v>
      </c>
      <c r="G159" s="13" t="n">
        <v>62.08</v>
      </c>
      <c r="H159" s="13" t="n">
        <v>0</v>
      </c>
      <c r="I159" s="13" t="n">
        <f aca="false">W$1</f>
        <v>4.1</v>
      </c>
      <c r="J159" s="14" t="n">
        <f aca="false">ROUND(G159*I159,2)</f>
        <v>254.53</v>
      </c>
      <c r="K159" s="14"/>
      <c r="L159" s="14"/>
      <c r="M159" s="14"/>
      <c r="N159" s="14" t="n">
        <f aca="false">ROUND((G159*I159)-K159-L159-M159,2)</f>
        <v>254.53</v>
      </c>
      <c r="O159" s="14"/>
      <c r="P159" s="11" t="n">
        <f aca="false">ROUND(IF(D159=0,IF((N159-E159-O159)&gt;0,(N159-E159-O159),0),IF((D159+N159-O159)&gt;0,(D159+N159-O159),0)),2)</f>
        <v>10149.5</v>
      </c>
      <c r="Q159" s="11" t="n">
        <f aca="false">ROUND(IF(E159=0,IF((D159+N159-O159)&lt;0,ABS(D159+N159-O159),0),IF((N159-E159-O159)&lt;0,ABS(N159-E159-O159),0)),2)</f>
        <v>0</v>
      </c>
    </row>
    <row r="160" customFormat="false" ht="15" hidden="false" customHeight="true" outlineLevel="0" collapsed="false">
      <c r="A160" s="12" t="s">
        <v>476</v>
      </c>
      <c r="B160" s="8" t="s">
        <v>477</v>
      </c>
      <c r="C160" s="12" t="s">
        <v>478</v>
      </c>
      <c r="D160" s="9" t="n">
        <v>0</v>
      </c>
      <c r="E160" s="9" t="n">
        <v>0</v>
      </c>
      <c r="F160" s="13" t="n">
        <v>0</v>
      </c>
      <c r="G160" s="13" t="n">
        <v>65.86</v>
      </c>
      <c r="H160" s="13" t="n">
        <v>0</v>
      </c>
      <c r="I160" s="13" t="n">
        <f aca="false">W$1</f>
        <v>4.1</v>
      </c>
      <c r="J160" s="14" t="n">
        <f aca="false">ROUND(G160*I160,2)</f>
        <v>270.03</v>
      </c>
      <c r="K160" s="14"/>
      <c r="L160" s="14"/>
      <c r="M160" s="14"/>
      <c r="N160" s="14" t="n">
        <f aca="false">ROUND((G160*I160)-K160-L160-M160,2)</f>
        <v>270.03</v>
      </c>
      <c r="O160" s="14" t="n">
        <v>270.03</v>
      </c>
      <c r="P160" s="11" t="n">
        <f aca="false">ROUND(IF(D160=0,IF((N160-E160-O160)&gt;0,(N160-E160-O160),0),IF((D160+N160-O160)&gt;0,(D160+N160-O160),0)),2)</f>
        <v>0</v>
      </c>
      <c r="Q160" s="11" t="n">
        <f aca="false">ROUND(IF(E160=0,IF((D160+N160-O160)&lt;0,ABS(D160+N160-O160),0),IF((N160-E160-O160)&lt;0,ABS(N160-E160-O160),0)),2)</f>
        <v>0</v>
      </c>
    </row>
    <row r="161" customFormat="false" ht="15" hidden="false" customHeight="true" outlineLevel="0" collapsed="false">
      <c r="A161" s="12" t="s">
        <v>479</v>
      </c>
      <c r="B161" s="8" t="s">
        <v>480</v>
      </c>
      <c r="C161" s="12" t="s">
        <v>481</v>
      </c>
      <c r="D161" s="9" t="n">
        <v>0</v>
      </c>
      <c r="E161" s="9" t="n">
        <v>37.6</v>
      </c>
      <c r="F161" s="13" t="n">
        <v>0</v>
      </c>
      <c r="G161" s="13" t="n">
        <v>49.95</v>
      </c>
      <c r="H161" s="13" t="n">
        <v>0</v>
      </c>
      <c r="I161" s="13" t="n">
        <f aca="false">W$1</f>
        <v>4.1</v>
      </c>
      <c r="J161" s="14" t="n">
        <f aca="false">ROUND(G161*I161,2)</f>
        <v>204.8</v>
      </c>
      <c r="K161" s="14"/>
      <c r="L161" s="14"/>
      <c r="M161" s="14"/>
      <c r="N161" s="14" t="n">
        <f aca="false">ROUND((G161*I161)-K161-L161-M161,2)</f>
        <v>204.8</v>
      </c>
      <c r="O161" s="14"/>
      <c r="P161" s="11" t="n">
        <f aca="false">ROUND(IF(D161=0,IF((N161-E161-O161)&gt;0,(N161-E161-O161),0),IF((D161+N161-O161)&gt;0,(D161+N161-O161),0)),2)</f>
        <v>167.2</v>
      </c>
      <c r="Q161" s="11" t="n">
        <f aca="false">ROUND(IF(E161=0,IF((D161+N161-O161)&lt;0,ABS(D161+N161-O161),0),IF((N161-E161-O161)&lt;0,ABS(N161-E161-O161),0)),2)</f>
        <v>0</v>
      </c>
    </row>
    <row r="162" customFormat="false" ht="15" hidden="false" customHeight="true" outlineLevel="0" collapsed="false">
      <c r="A162" s="12" t="s">
        <v>482</v>
      </c>
      <c r="B162" s="8" t="s">
        <v>483</v>
      </c>
      <c r="C162" s="12" t="s">
        <v>484</v>
      </c>
      <c r="D162" s="9" t="n">
        <v>0</v>
      </c>
      <c r="E162" s="9" t="n">
        <v>1400.9</v>
      </c>
      <c r="F162" s="13" t="n">
        <v>0</v>
      </c>
      <c r="G162" s="13" t="n">
        <v>33.9</v>
      </c>
      <c r="H162" s="13" t="n">
        <v>0</v>
      </c>
      <c r="I162" s="13" t="n">
        <f aca="false">W$1</f>
        <v>4.1</v>
      </c>
      <c r="J162" s="14" t="n">
        <f aca="false">ROUND(G162*I162,2)</f>
        <v>138.99</v>
      </c>
      <c r="K162" s="14"/>
      <c r="L162" s="14"/>
      <c r="M162" s="14"/>
      <c r="N162" s="14" t="n">
        <f aca="false">ROUND((G162*I162)-K162-L162-M162,2)</f>
        <v>138.99</v>
      </c>
      <c r="O162" s="14"/>
      <c r="P162" s="11" t="n">
        <f aca="false">ROUND(IF(D162=0,IF((N162-E162-O162)&gt;0,(N162-E162-O162),0),IF((D162+N162-O162)&gt;0,(D162+N162-O162),0)),2)</f>
        <v>0</v>
      </c>
      <c r="Q162" s="11" t="n">
        <f aca="false">ROUND(IF(E162=0,IF((D162+N162-O162)&lt;0,ABS(D162+N162-O162),0),IF((N162-E162-O162)&lt;0,ABS(N162-E162-O162),0)),2)</f>
        <v>1261.91</v>
      </c>
    </row>
    <row r="163" customFormat="false" ht="15" hidden="false" customHeight="true" outlineLevel="0" collapsed="false">
      <c r="A163" s="12" t="s">
        <v>485</v>
      </c>
      <c r="B163" s="8" t="s">
        <v>486</v>
      </c>
      <c r="C163" s="12" t="s">
        <v>487</v>
      </c>
      <c r="D163" s="9" t="n">
        <v>869.2</v>
      </c>
      <c r="E163" s="9" t="n">
        <v>0</v>
      </c>
      <c r="F163" s="13" t="n">
        <v>0</v>
      </c>
      <c r="G163" s="13" t="n">
        <v>62.43</v>
      </c>
      <c r="H163" s="13" t="n">
        <v>0</v>
      </c>
      <c r="I163" s="13" t="n">
        <f aca="false">W$1</f>
        <v>4.1</v>
      </c>
      <c r="J163" s="14" t="n">
        <f aca="false">ROUND(G163*I163,2)</f>
        <v>255.96</v>
      </c>
      <c r="K163" s="14"/>
      <c r="L163" s="14"/>
      <c r="M163" s="14"/>
      <c r="N163" s="14" t="n">
        <f aca="false">ROUND((G163*I163)-K163-L163-M163,2)</f>
        <v>255.96</v>
      </c>
      <c r="O163" s="14"/>
      <c r="P163" s="11" t="n">
        <f aca="false">ROUND(IF(D163=0,IF((N163-E163-O163)&gt;0,(N163-E163-O163),0),IF((D163+N163-O163)&gt;0,(D163+N163-O163),0)),2)</f>
        <v>1125.16</v>
      </c>
      <c r="Q163" s="11" t="n">
        <f aca="false">ROUND(IF(E163=0,IF((D163+N163-O163)&lt;0,ABS(D163+N163-O163),0),IF((N163-E163-O163)&lt;0,ABS(N163-E163-O163),0)),2)</f>
        <v>0</v>
      </c>
    </row>
    <row r="164" customFormat="false" ht="15" hidden="false" customHeight="true" outlineLevel="0" collapsed="false">
      <c r="A164" s="12" t="s">
        <v>488</v>
      </c>
      <c r="B164" s="8" t="s">
        <v>489</v>
      </c>
      <c r="C164" s="12" t="s">
        <v>490</v>
      </c>
      <c r="D164" s="9" t="n">
        <v>6965.68</v>
      </c>
      <c r="E164" s="9" t="n">
        <v>0</v>
      </c>
      <c r="F164" s="13" t="n">
        <v>0</v>
      </c>
      <c r="G164" s="13" t="n">
        <v>64.8</v>
      </c>
      <c r="H164" s="13" t="n">
        <v>0</v>
      </c>
      <c r="I164" s="13" t="n">
        <f aca="false">W$1</f>
        <v>4.1</v>
      </c>
      <c r="J164" s="14" t="n">
        <f aca="false">ROUND(G164*I164,2)</f>
        <v>265.68</v>
      </c>
      <c r="K164" s="14"/>
      <c r="L164" s="14"/>
      <c r="M164" s="14"/>
      <c r="N164" s="14" t="n">
        <f aca="false">ROUND((G164*I164)-K164-L164-M164,2)</f>
        <v>265.68</v>
      </c>
      <c r="O164" s="14"/>
      <c r="P164" s="11" t="n">
        <f aca="false">ROUND(IF(D164=0,IF((N164-E164-O164)&gt;0,(N164-E164-O164),0),IF((D164+N164-O164)&gt;0,(D164+N164-O164),0)),2)</f>
        <v>7231.36</v>
      </c>
      <c r="Q164" s="11" t="n">
        <f aca="false">ROUND(IF(E164=0,IF((D164+N164-O164)&lt;0,ABS(D164+N164-O164),0),IF((N164-E164-O164)&lt;0,ABS(N164-E164-O164),0)),2)</f>
        <v>0</v>
      </c>
    </row>
    <row r="165" customFormat="false" ht="15" hidden="false" customHeight="true" outlineLevel="0" collapsed="false">
      <c r="A165" s="12" t="s">
        <v>491</v>
      </c>
      <c r="B165" s="8" t="s">
        <v>492</v>
      </c>
      <c r="C165" s="12" t="s">
        <v>493</v>
      </c>
      <c r="D165" s="9" t="n">
        <v>202.54</v>
      </c>
      <c r="E165" s="9" t="n">
        <v>0</v>
      </c>
      <c r="F165" s="13" t="n">
        <v>0</v>
      </c>
      <c r="G165" s="13" t="n">
        <v>49.4</v>
      </c>
      <c r="H165" s="13" t="n">
        <v>0</v>
      </c>
      <c r="I165" s="13" t="n">
        <f aca="false">W$1</f>
        <v>4.1</v>
      </c>
      <c r="J165" s="14" t="n">
        <f aca="false">ROUND(G165*I165,2)</f>
        <v>202.54</v>
      </c>
      <c r="K165" s="14"/>
      <c r="L165" s="14"/>
      <c r="M165" s="14"/>
      <c r="N165" s="14" t="n">
        <f aca="false">ROUND((G165*I165)-K165-L165-M165,2)</f>
        <v>202.54</v>
      </c>
      <c r="O165" s="14" t="n">
        <v>202.54</v>
      </c>
      <c r="P165" s="11" t="n">
        <f aca="false">ROUND(IF(D165=0,IF((N165-E165-O165)&gt;0,(N165-E165-O165),0),IF((D165+N165-O165)&gt;0,(D165+N165-O165),0)),2)</f>
        <v>202.54</v>
      </c>
      <c r="Q165" s="11" t="n">
        <f aca="false">ROUND(IF(E165=0,IF((D165+N165-O165)&lt;0,ABS(D165+N165-O165),0),IF((N165-E165-O165)&lt;0,ABS(N165-E165-O165),0)),2)</f>
        <v>0</v>
      </c>
    </row>
    <row r="166" customFormat="false" ht="15" hidden="false" customHeight="true" outlineLevel="0" collapsed="false">
      <c r="A166" s="12" t="s">
        <v>494</v>
      </c>
      <c r="B166" s="8" t="s">
        <v>495</v>
      </c>
      <c r="C166" s="12" t="s">
        <v>496</v>
      </c>
      <c r="D166" s="9" t="n">
        <v>3625.15</v>
      </c>
      <c r="E166" s="9" t="n">
        <v>0</v>
      </c>
      <c r="F166" s="13" t="n">
        <v>0</v>
      </c>
      <c r="G166" s="13" t="n">
        <v>35.1</v>
      </c>
      <c r="H166" s="13" t="n">
        <v>0</v>
      </c>
      <c r="I166" s="13" t="n">
        <f aca="false">W$1</f>
        <v>4.1</v>
      </c>
      <c r="J166" s="14" t="n">
        <f aca="false">ROUND(G166*I166,2)</f>
        <v>143.91</v>
      </c>
      <c r="K166" s="14"/>
      <c r="L166" s="14"/>
      <c r="M166" s="14"/>
      <c r="N166" s="14" t="n">
        <f aca="false">ROUND((G166*I166)-K166-L166-M166,2)</f>
        <v>143.91</v>
      </c>
      <c r="O166" s="14"/>
      <c r="P166" s="11" t="n">
        <f aca="false">ROUND(IF(D166=0,IF((N166-E166-O166)&gt;0,(N166-E166-O166),0),IF((D166+N166-O166)&gt;0,(D166+N166-O166),0)),2)</f>
        <v>3769.06</v>
      </c>
      <c r="Q166" s="11" t="n">
        <f aca="false">ROUND(IF(E166=0,IF((D166+N166-O166)&lt;0,ABS(D166+N166-O166),0),IF((N166-E166-O166)&lt;0,ABS(N166-E166-O166),0)),2)</f>
        <v>0</v>
      </c>
    </row>
    <row r="167" customFormat="false" ht="15" hidden="false" customHeight="true" outlineLevel="0" collapsed="false">
      <c r="A167" s="12" t="s">
        <v>497</v>
      </c>
      <c r="B167" s="8" t="s">
        <v>498</v>
      </c>
      <c r="C167" s="12" t="s">
        <v>499</v>
      </c>
      <c r="D167" s="9" t="n">
        <v>1090.88</v>
      </c>
      <c r="E167" s="9" t="n">
        <v>0</v>
      </c>
      <c r="F167" s="13" t="n">
        <v>0</v>
      </c>
      <c r="G167" s="13" t="n">
        <v>62.4</v>
      </c>
      <c r="H167" s="13" t="n">
        <v>0</v>
      </c>
      <c r="I167" s="13" t="n">
        <f aca="false">W$1</f>
        <v>4.1</v>
      </c>
      <c r="J167" s="14" t="n">
        <f aca="false">ROUND(G167*I167,2)</f>
        <v>255.84</v>
      </c>
      <c r="K167" s="14"/>
      <c r="L167" s="14"/>
      <c r="M167" s="14"/>
      <c r="N167" s="14" t="n">
        <f aca="false">ROUND((G167*I167)-K167-L167-M167,2)</f>
        <v>255.84</v>
      </c>
      <c r="O167" s="14"/>
      <c r="P167" s="11" t="n">
        <f aca="false">ROUND(IF(D167=0,IF((N167-E167-O167)&gt;0,(N167-E167-O167),0),IF((D167+N167-O167)&gt;0,(D167+N167-O167),0)),2)</f>
        <v>1346.72</v>
      </c>
      <c r="Q167" s="11" t="n">
        <f aca="false">ROUND(IF(E167=0,IF((D167+N167-O167)&lt;0,ABS(D167+N167-O167),0),IF((N167-E167-O167)&lt;0,ABS(N167-E167-O167),0)),2)</f>
        <v>0</v>
      </c>
    </row>
    <row r="168" customFormat="false" ht="15" hidden="false" customHeight="true" outlineLevel="0" collapsed="false">
      <c r="A168" s="12" t="s">
        <v>500</v>
      </c>
      <c r="B168" s="8" t="s">
        <v>501</v>
      </c>
      <c r="C168" s="12" t="s">
        <v>502</v>
      </c>
      <c r="D168" s="9" t="n">
        <v>268.55</v>
      </c>
      <c r="E168" s="9" t="n">
        <v>0</v>
      </c>
      <c r="F168" s="13" t="n">
        <v>0</v>
      </c>
      <c r="G168" s="13" t="n">
        <v>65.5</v>
      </c>
      <c r="H168" s="13" t="n">
        <v>0</v>
      </c>
      <c r="I168" s="13" t="n">
        <f aca="false">W$1</f>
        <v>4.1</v>
      </c>
      <c r="J168" s="14" t="n">
        <f aca="false">ROUND(G168*I168,2)</f>
        <v>268.55</v>
      </c>
      <c r="K168" s="14"/>
      <c r="L168" s="14"/>
      <c r="M168" s="14"/>
      <c r="N168" s="14" t="n">
        <f aca="false">ROUND((G168*I168)-K168-L168-M168,2)</f>
        <v>268.55</v>
      </c>
      <c r="O168" s="14" t="n">
        <v>268.55</v>
      </c>
      <c r="P168" s="11" t="n">
        <f aca="false">ROUND(IF(D168=0,IF((N168-E168-O168)&gt;0,(N168-E168-O168),0),IF((D168+N168-O168)&gt;0,(D168+N168-O168),0)),2)</f>
        <v>268.55</v>
      </c>
      <c r="Q168" s="11" t="n">
        <f aca="false">ROUND(IF(E168=0,IF((D168+N168-O168)&lt;0,ABS(D168+N168-O168),0),IF((N168-E168-O168)&lt;0,ABS(N168-E168-O168),0)),2)</f>
        <v>0</v>
      </c>
    </row>
    <row r="169" customFormat="false" ht="15" hidden="false" customHeight="true" outlineLevel="0" collapsed="false">
      <c r="A169" s="12" t="s">
        <v>503</v>
      </c>
      <c r="B169" s="8" t="s">
        <v>504</v>
      </c>
      <c r="C169" s="12" t="s">
        <v>505</v>
      </c>
      <c r="D169" s="9" t="n">
        <v>204.75</v>
      </c>
      <c r="E169" s="9" t="n">
        <v>0</v>
      </c>
      <c r="F169" s="13" t="n">
        <v>0</v>
      </c>
      <c r="G169" s="13" t="n">
        <v>49.94</v>
      </c>
      <c r="H169" s="13" t="n">
        <v>0</v>
      </c>
      <c r="I169" s="13" t="n">
        <f aca="false">W$1</f>
        <v>4.1</v>
      </c>
      <c r="J169" s="14" t="n">
        <f aca="false">ROUND(G169*I169,2)</f>
        <v>204.75</v>
      </c>
      <c r="K169" s="14"/>
      <c r="L169" s="14"/>
      <c r="M169" s="14"/>
      <c r="N169" s="14" t="n">
        <f aca="false">ROUND((G169*I169)-K169-L169-M169,2)</f>
        <v>204.75</v>
      </c>
      <c r="O169" s="14"/>
      <c r="P169" s="11" t="n">
        <f aca="false">ROUND(IF(D169=0,IF((N169-E169-O169)&gt;0,(N169-E169-O169),0),IF((D169+N169-O169)&gt;0,(D169+N169-O169),0)),2)</f>
        <v>409.5</v>
      </c>
      <c r="Q169" s="11" t="n">
        <f aca="false">ROUND(IF(E169=0,IF((D169+N169-O169)&lt;0,ABS(D169+N169-O169),0),IF((N169-E169-O169)&lt;0,ABS(N169-E169-O169),0)),2)</f>
        <v>0</v>
      </c>
    </row>
    <row r="170" customFormat="false" ht="15" hidden="false" customHeight="true" outlineLevel="0" collapsed="false">
      <c r="A170" s="12" t="s">
        <v>506</v>
      </c>
      <c r="B170" s="8" t="s">
        <v>507</v>
      </c>
      <c r="C170" s="12" t="s">
        <v>508</v>
      </c>
      <c r="D170" s="9" t="n">
        <v>143.5</v>
      </c>
      <c r="E170" s="9" t="n">
        <v>0</v>
      </c>
      <c r="F170" s="13" t="n">
        <v>0</v>
      </c>
      <c r="G170" s="13" t="n">
        <v>35</v>
      </c>
      <c r="H170" s="13" t="n">
        <v>0</v>
      </c>
      <c r="I170" s="13" t="n">
        <f aca="false">W$1</f>
        <v>4.1</v>
      </c>
      <c r="J170" s="14" t="n">
        <f aca="false">ROUND(G170*I170,2)</f>
        <v>143.5</v>
      </c>
      <c r="K170" s="14"/>
      <c r="L170" s="14"/>
      <c r="M170" s="14"/>
      <c r="N170" s="14" t="n">
        <f aca="false">ROUND((G170*I170)-K170-L170-M170,2)</f>
        <v>143.5</v>
      </c>
      <c r="O170" s="14" t="n">
        <v>143.5</v>
      </c>
      <c r="P170" s="11" t="n">
        <f aca="false">ROUND(IF(D170=0,IF((N170-E170-O170)&gt;0,(N170-E170-O170),0),IF((D170+N170-O170)&gt;0,(D170+N170-O170),0)),2)</f>
        <v>143.5</v>
      </c>
      <c r="Q170" s="11" t="n">
        <f aca="false">ROUND(IF(E170=0,IF((D170+N170-O170)&lt;0,ABS(D170+N170-O170),0),IF((N170-E170-O170)&lt;0,ABS(N170-E170-O170),0)),2)</f>
        <v>0</v>
      </c>
    </row>
    <row r="171" customFormat="false" ht="15" hidden="false" customHeight="true" outlineLevel="0" collapsed="false">
      <c r="A171" s="12" t="s">
        <v>509</v>
      </c>
      <c r="B171" s="8" t="s">
        <v>510</v>
      </c>
      <c r="C171" s="12" t="s">
        <v>511</v>
      </c>
      <c r="D171" s="9" t="n">
        <v>255.68</v>
      </c>
      <c r="E171" s="9" t="n">
        <v>0</v>
      </c>
      <c r="F171" s="13" t="n">
        <v>0</v>
      </c>
      <c r="G171" s="13" t="n">
        <v>62.36</v>
      </c>
      <c r="H171" s="13" t="n">
        <v>0</v>
      </c>
      <c r="I171" s="13" t="n">
        <f aca="false">W$1</f>
        <v>4.1</v>
      </c>
      <c r="J171" s="14" t="n">
        <f aca="false">ROUND(G171*I171,2)</f>
        <v>255.68</v>
      </c>
      <c r="K171" s="14"/>
      <c r="L171" s="14"/>
      <c r="M171" s="14"/>
      <c r="N171" s="14" t="n">
        <f aca="false">ROUND((G171*I171)-K171-L171-M171,2)</f>
        <v>255.68</v>
      </c>
      <c r="O171" s="14" t="n">
        <v>255.68</v>
      </c>
      <c r="P171" s="11" t="n">
        <f aca="false">ROUND(IF(D171=0,IF((N171-E171-O171)&gt;0,(N171-E171-O171),0),IF((D171+N171-O171)&gt;0,(D171+N171-O171),0)),2)</f>
        <v>255.68</v>
      </c>
      <c r="Q171" s="11" t="n">
        <f aca="false">ROUND(IF(E171=0,IF((D171+N171-O171)&lt;0,ABS(D171+N171-O171),0),IF((N171-E171-O171)&lt;0,ABS(N171-E171-O171),0)),2)</f>
        <v>0</v>
      </c>
    </row>
    <row r="172" customFormat="false" ht="15" hidden="false" customHeight="true" outlineLevel="0" collapsed="false">
      <c r="A172" s="12" t="s">
        <v>512</v>
      </c>
      <c r="B172" s="8" t="s">
        <v>513</v>
      </c>
      <c r="C172" s="12" t="s">
        <v>514</v>
      </c>
      <c r="D172" s="9" t="n">
        <v>7803.4</v>
      </c>
      <c r="E172" s="9" t="n">
        <v>0</v>
      </c>
      <c r="F172" s="13" t="n">
        <v>0</v>
      </c>
      <c r="G172" s="13" t="n">
        <v>65.63</v>
      </c>
      <c r="H172" s="13" t="n">
        <v>0</v>
      </c>
      <c r="I172" s="13" t="n">
        <f aca="false">W$1</f>
        <v>4.1</v>
      </c>
      <c r="J172" s="14" t="n">
        <f aca="false">ROUND(G172*I172,2)</f>
        <v>269.08</v>
      </c>
      <c r="K172" s="14"/>
      <c r="L172" s="14"/>
      <c r="M172" s="14"/>
      <c r="N172" s="14" t="n">
        <f aca="false">ROUND((G172*I172)-K172-L172-M172,2)</f>
        <v>269.08</v>
      </c>
      <c r="O172" s="14"/>
      <c r="P172" s="11" t="n">
        <f aca="false">ROUND(IF(D172=0,IF((N172-E172-O172)&gt;0,(N172-E172-O172),0),IF((D172+N172-O172)&gt;0,(D172+N172-O172),0)),2)</f>
        <v>8072.48</v>
      </c>
      <c r="Q172" s="11" t="n">
        <f aca="false">ROUND(IF(E172=0,IF((D172+N172-O172)&lt;0,ABS(D172+N172-O172),0),IF((N172-E172-O172)&lt;0,ABS(N172-E172-O172),0)),2)</f>
        <v>0</v>
      </c>
    </row>
    <row r="173" customFormat="false" ht="15" hidden="false" customHeight="true" outlineLevel="0" collapsed="false">
      <c r="A173" s="12" t="s">
        <v>515</v>
      </c>
      <c r="B173" s="8" t="s">
        <v>516</v>
      </c>
      <c r="C173" s="12" t="s">
        <v>517</v>
      </c>
      <c r="D173" s="9" t="n">
        <v>16178.15</v>
      </c>
      <c r="E173" s="9" t="n">
        <v>0</v>
      </c>
      <c r="F173" s="13" t="n">
        <v>0</v>
      </c>
      <c r="G173" s="13" t="n">
        <v>49.8</v>
      </c>
      <c r="H173" s="13" t="n">
        <v>0</v>
      </c>
      <c r="I173" s="13" t="n">
        <f aca="false">W$1</f>
        <v>4.1</v>
      </c>
      <c r="J173" s="14" t="n">
        <f aca="false">ROUND(G173*I173,2)</f>
        <v>204.18</v>
      </c>
      <c r="K173" s="14"/>
      <c r="L173" s="14"/>
      <c r="M173" s="14"/>
      <c r="N173" s="14" t="n">
        <f aca="false">ROUND((G173*I173)-K173-L173-M173,2)</f>
        <v>204.18</v>
      </c>
      <c r="O173" s="14"/>
      <c r="P173" s="11" t="n">
        <f aca="false">ROUND(IF(D173=0,IF((N173-E173-O173)&gt;0,(N173-E173-O173),0),IF((D173+N173-O173)&gt;0,(D173+N173-O173),0)),2)</f>
        <v>16382.33</v>
      </c>
      <c r="Q173" s="11" t="n">
        <f aca="false">ROUND(IF(E173=0,IF((D173+N173-O173)&lt;0,ABS(D173+N173-O173),0),IF((N173-E173-O173)&lt;0,ABS(N173-E173-O173),0)),2)</f>
        <v>0</v>
      </c>
    </row>
    <row r="174" customFormat="false" ht="15" hidden="false" customHeight="true" outlineLevel="0" collapsed="false">
      <c r="A174" s="12" t="s">
        <v>518</v>
      </c>
      <c r="B174" s="8" t="s">
        <v>519</v>
      </c>
      <c r="C174" s="12" t="s">
        <v>520</v>
      </c>
      <c r="D174" s="9" t="n">
        <v>4018</v>
      </c>
      <c r="E174" s="9" t="n">
        <v>0</v>
      </c>
      <c r="F174" s="13" t="n">
        <v>0</v>
      </c>
      <c r="G174" s="13" t="n">
        <v>35</v>
      </c>
      <c r="H174" s="13" t="n">
        <v>0</v>
      </c>
      <c r="I174" s="13" t="n">
        <f aca="false">W$1</f>
        <v>4.1</v>
      </c>
      <c r="J174" s="14" t="n">
        <f aca="false">ROUND(G174*I174,2)</f>
        <v>143.5</v>
      </c>
      <c r="K174" s="14"/>
      <c r="L174" s="14"/>
      <c r="M174" s="14"/>
      <c r="N174" s="14" t="n">
        <f aca="false">ROUND((G174*I174)-K174-L174-M174,2)</f>
        <v>143.5</v>
      </c>
      <c r="O174" s="14"/>
      <c r="P174" s="11" t="n">
        <f aca="false">ROUND(IF(D174=0,IF((N174-E174-O174)&gt;0,(N174-E174-O174),0),IF((D174+N174-O174)&gt;0,(D174+N174-O174),0)),2)</f>
        <v>4161.5</v>
      </c>
      <c r="Q174" s="11" t="n">
        <f aca="false">ROUND(IF(E174=0,IF((D174+N174-O174)&lt;0,ABS(D174+N174-O174),0),IF((N174-E174-O174)&lt;0,ABS(N174-E174-O174),0)),2)</f>
        <v>0</v>
      </c>
    </row>
    <row r="175" customFormat="false" ht="15" hidden="false" customHeight="true" outlineLevel="0" collapsed="false">
      <c r="A175" s="12" t="s">
        <v>521</v>
      </c>
      <c r="B175" s="8" t="s">
        <v>522</v>
      </c>
      <c r="C175" s="12" t="s">
        <v>523</v>
      </c>
      <c r="D175" s="9" t="n">
        <v>2658.7</v>
      </c>
      <c r="E175" s="9" t="n">
        <v>0</v>
      </c>
      <c r="F175" s="13" t="n">
        <v>0</v>
      </c>
      <c r="G175" s="13" t="n">
        <v>61.7</v>
      </c>
      <c r="H175" s="13" t="n">
        <v>0</v>
      </c>
      <c r="I175" s="13" t="n">
        <f aca="false">W$1</f>
        <v>4.1</v>
      </c>
      <c r="J175" s="14" t="n">
        <f aca="false">ROUND(G175*I175,2)</f>
        <v>252.97</v>
      </c>
      <c r="K175" s="14"/>
      <c r="L175" s="14"/>
      <c r="M175" s="14"/>
      <c r="N175" s="14" t="n">
        <f aca="false">ROUND((G175*I175)-K175-L175-M175,2)</f>
        <v>252.97</v>
      </c>
      <c r="O175" s="14" t="n">
        <f aca="false">300+257</f>
        <v>557</v>
      </c>
      <c r="P175" s="11" t="n">
        <f aca="false">ROUND(IF(D175=0,IF((N175-E175-O175)&gt;0,(N175-E175-O175),0),IF((D175+N175-O175)&gt;0,(D175+N175-O175),0)),2)</f>
        <v>2354.67</v>
      </c>
      <c r="Q175" s="11" t="n">
        <f aca="false">ROUND(IF(E175=0,IF((D175+N175-O175)&lt;0,ABS(D175+N175-O175),0),IF((N175-E175-O175)&lt;0,ABS(N175-E175-O175),0)),2)</f>
        <v>0</v>
      </c>
    </row>
    <row r="176" customFormat="false" ht="15" hidden="false" customHeight="true" outlineLevel="0" collapsed="false">
      <c r="A176" s="12" t="s">
        <v>524</v>
      </c>
      <c r="B176" s="8" t="s">
        <v>525</v>
      </c>
      <c r="C176" s="12" t="s">
        <v>526</v>
      </c>
      <c r="D176" s="9" t="n">
        <v>268.88</v>
      </c>
      <c r="E176" s="9" t="n">
        <v>0</v>
      </c>
      <c r="F176" s="13" t="n">
        <v>0</v>
      </c>
      <c r="G176" s="13" t="n">
        <v>65.58</v>
      </c>
      <c r="H176" s="13" t="n">
        <v>0</v>
      </c>
      <c r="I176" s="13" t="n">
        <f aca="false">W$1</f>
        <v>4.1</v>
      </c>
      <c r="J176" s="14" t="n">
        <f aca="false">ROUND(G176*I176,2)</f>
        <v>268.88</v>
      </c>
      <c r="K176" s="14"/>
      <c r="L176" s="14"/>
      <c r="M176" s="14"/>
      <c r="N176" s="14" t="n">
        <f aca="false">ROUND((G176*I176)-K176-L176-M176,2)</f>
        <v>268.88</v>
      </c>
      <c r="O176" s="14"/>
      <c r="P176" s="11" t="n">
        <f aca="false">ROUND(IF(D176=0,IF((N176-E176-O176)&gt;0,(N176-E176-O176),0),IF((D176+N176-O176)&gt;0,(D176+N176-O176),0)),2)</f>
        <v>537.76</v>
      </c>
      <c r="Q176" s="11" t="n">
        <f aca="false">ROUND(IF(E176=0,IF((D176+N176-O176)&lt;0,ABS(D176+N176-O176),0),IF((N176-E176-O176)&lt;0,ABS(N176-E176-O176),0)),2)</f>
        <v>0</v>
      </c>
    </row>
    <row r="177" customFormat="false" ht="15" hidden="false" customHeight="true" outlineLevel="0" collapsed="false">
      <c r="A177" s="12" t="s">
        <v>527</v>
      </c>
      <c r="B177" s="8" t="s">
        <v>528</v>
      </c>
      <c r="C177" s="12" t="s">
        <v>529</v>
      </c>
      <c r="D177" s="9" t="n">
        <v>1854.47</v>
      </c>
      <c r="E177" s="9" t="n">
        <v>0</v>
      </c>
      <c r="F177" s="13" t="n">
        <v>0</v>
      </c>
      <c r="G177" s="13" t="n">
        <v>49.5</v>
      </c>
      <c r="H177" s="13" t="n">
        <v>0</v>
      </c>
      <c r="I177" s="13" t="n">
        <f aca="false">W$1</f>
        <v>4.1</v>
      </c>
      <c r="J177" s="14" t="n">
        <f aca="false">ROUND(G177*I177,2)</f>
        <v>202.95</v>
      </c>
      <c r="K177" s="14"/>
      <c r="L177" s="14"/>
      <c r="M177" s="14"/>
      <c r="N177" s="14" t="n">
        <f aca="false">ROUND((G177*I177)-K177-L177-M177,2)</f>
        <v>202.95</v>
      </c>
      <c r="O177" s="14" t="n">
        <v>1854.47</v>
      </c>
      <c r="P177" s="11" t="n">
        <f aca="false">ROUND(IF(D177=0,IF((N177-E177-O177)&gt;0,(N177-E177-O177),0),IF((D177+N177-O177)&gt;0,(D177+N177-O177),0)),2)</f>
        <v>202.95</v>
      </c>
      <c r="Q177" s="11" t="n">
        <f aca="false">ROUND(IF(E177=0,IF((D177+N177-O177)&lt;0,ABS(D177+N177-O177),0),IF((N177-E177-O177)&lt;0,ABS(N177-E177-O177),0)),2)</f>
        <v>0</v>
      </c>
    </row>
    <row r="178" customFormat="false" ht="15" hidden="false" customHeight="true" outlineLevel="0" collapsed="false">
      <c r="A178" s="12" t="s">
        <v>530</v>
      </c>
      <c r="B178" s="8" t="s">
        <v>531</v>
      </c>
      <c r="C178" s="12" t="s">
        <v>532</v>
      </c>
      <c r="D178" s="9" t="n">
        <v>143.91</v>
      </c>
      <c r="E178" s="9" t="n">
        <v>0</v>
      </c>
      <c r="F178" s="13" t="n">
        <v>0</v>
      </c>
      <c r="G178" s="13" t="n">
        <v>35.1</v>
      </c>
      <c r="H178" s="13" t="n">
        <v>0</v>
      </c>
      <c r="I178" s="13" t="n">
        <f aca="false">W$1</f>
        <v>4.1</v>
      </c>
      <c r="J178" s="14" t="n">
        <f aca="false">ROUND(G178*I178,2)</f>
        <v>143.91</v>
      </c>
      <c r="K178" s="14"/>
      <c r="L178" s="14"/>
      <c r="M178" s="14"/>
      <c r="N178" s="14" t="n">
        <f aca="false">ROUND((G178*I178)-K178-L178-M178,2)</f>
        <v>143.91</v>
      </c>
      <c r="O178" s="14" t="n">
        <v>143.91</v>
      </c>
      <c r="P178" s="11" t="n">
        <f aca="false">ROUND(IF(D178=0,IF((N178-E178-O178)&gt;0,(N178-E178-O178),0),IF((D178+N178-O178)&gt;0,(D178+N178-O178),0)),2)</f>
        <v>143.91</v>
      </c>
      <c r="Q178" s="11" t="n">
        <f aca="false">ROUND(IF(E178=0,IF((D178+N178-O178)&lt;0,ABS(D178+N178-O178),0),IF((N178-E178-O178)&lt;0,ABS(N178-E178-O178),0)),2)</f>
        <v>0</v>
      </c>
    </row>
    <row r="179" customFormat="false" ht="15" hidden="false" customHeight="true" outlineLevel="0" collapsed="false">
      <c r="A179" s="12" t="s">
        <v>533</v>
      </c>
      <c r="B179" s="8" t="s">
        <v>534</v>
      </c>
      <c r="C179" s="12" t="s">
        <v>535</v>
      </c>
      <c r="D179" s="9" t="n">
        <v>257.93</v>
      </c>
      <c r="E179" s="9" t="n">
        <v>0</v>
      </c>
      <c r="F179" s="13" t="n">
        <v>0</v>
      </c>
      <c r="G179" s="13" t="n">
        <v>62.91</v>
      </c>
      <c r="H179" s="13" t="n">
        <v>0</v>
      </c>
      <c r="I179" s="13" t="n">
        <f aca="false">W$1</f>
        <v>4.1</v>
      </c>
      <c r="J179" s="14" t="n">
        <f aca="false">ROUND(G179*I179,2)</f>
        <v>257.93</v>
      </c>
      <c r="K179" s="14"/>
      <c r="L179" s="14"/>
      <c r="M179" s="14"/>
      <c r="N179" s="14" t="n">
        <f aca="false">ROUND((G179*I179)-K179-L179-M179,2)</f>
        <v>257.93</v>
      </c>
      <c r="O179" s="14" t="n">
        <v>257.93</v>
      </c>
      <c r="P179" s="11" t="n">
        <f aca="false">ROUND(IF(D179=0,IF((N179-E179-O179)&gt;0,(N179-E179-O179),0),IF((D179+N179-O179)&gt;0,(D179+N179-O179),0)),2)</f>
        <v>257.93</v>
      </c>
      <c r="Q179" s="11" t="n">
        <f aca="false">ROUND(IF(E179=0,IF((D179+N179-O179)&lt;0,ABS(D179+N179-O179),0),IF((N179-E179-O179)&lt;0,ABS(N179-E179-O179),0)),2)</f>
        <v>0</v>
      </c>
    </row>
    <row r="180" customFormat="false" ht="15" hidden="false" customHeight="true" outlineLevel="0" collapsed="false">
      <c r="A180" s="12" t="s">
        <v>536</v>
      </c>
      <c r="B180" s="8" t="s">
        <v>537</v>
      </c>
      <c r="C180" s="12" t="s">
        <v>538</v>
      </c>
      <c r="D180" s="9" t="n">
        <v>0</v>
      </c>
      <c r="E180" s="9" t="n">
        <v>0</v>
      </c>
      <c r="F180" s="13" t="n">
        <v>0</v>
      </c>
      <c r="G180" s="13" t="n">
        <v>66.03</v>
      </c>
      <c r="H180" s="13" t="n">
        <v>0</v>
      </c>
      <c r="I180" s="13" t="n">
        <f aca="false">W$1</f>
        <v>4.1</v>
      </c>
      <c r="J180" s="14" t="n">
        <f aca="false">ROUND(G180*I180,2)</f>
        <v>270.72</v>
      </c>
      <c r="K180" s="14"/>
      <c r="L180" s="14"/>
      <c r="M180" s="14"/>
      <c r="N180" s="14" t="n">
        <f aca="false">ROUND((G180*I180)-K180-L180-M180,2)</f>
        <v>270.72</v>
      </c>
      <c r="O180" s="14"/>
      <c r="P180" s="11" t="n">
        <f aca="false">ROUND(IF(D180=0,IF((N180-E180-O180)&gt;0,(N180-E180-O180),0),IF((D180+N180-O180)&gt;0,(D180+N180-O180),0)),2)</f>
        <v>270.72</v>
      </c>
      <c r="Q180" s="11" t="n">
        <f aca="false">ROUND(IF(E180=0,IF((D180+N180-O180)&lt;0,ABS(D180+N180-O180),0),IF((N180-E180-O180)&lt;0,ABS(N180-E180-O180),0)),2)</f>
        <v>0</v>
      </c>
    </row>
    <row r="181" customFormat="false" ht="15" hidden="false" customHeight="true" outlineLevel="0" collapsed="false">
      <c r="A181" s="12" t="s">
        <v>539</v>
      </c>
      <c r="B181" s="8" t="s">
        <v>540</v>
      </c>
      <c r="C181" s="12" t="s">
        <v>541</v>
      </c>
      <c r="D181" s="9" t="n">
        <v>38.96</v>
      </c>
      <c r="E181" s="9" t="n">
        <v>0</v>
      </c>
      <c r="F181" s="13" t="n">
        <v>0</v>
      </c>
      <c r="G181" s="13" t="n">
        <v>49.9</v>
      </c>
      <c r="H181" s="13" t="n">
        <v>0</v>
      </c>
      <c r="I181" s="13" t="n">
        <f aca="false">W$1</f>
        <v>4.1</v>
      </c>
      <c r="J181" s="14" t="n">
        <f aca="false">ROUND(G181*I181,2)</f>
        <v>204.59</v>
      </c>
      <c r="K181" s="14"/>
      <c r="L181" s="14"/>
      <c r="M181" s="14"/>
      <c r="N181" s="14" t="n">
        <f aca="false">ROUND((G181*I181)-K181-L181-M181,2)</f>
        <v>204.59</v>
      </c>
      <c r="O181" s="14" t="n">
        <v>205</v>
      </c>
      <c r="P181" s="11" t="n">
        <f aca="false">ROUND(IF(D181=0,IF((N181-E181-O181)&gt;0,(N181-E181-O181),0),IF((D181+N181-O181)&gt;0,(D181+N181-O181),0)),2)</f>
        <v>38.55</v>
      </c>
      <c r="Q181" s="11" t="n">
        <f aca="false">ROUND(IF(E181=0,IF((D181+N181-O181)&lt;0,ABS(D181+N181-O181),0),IF((N181-E181-O181)&lt;0,ABS(N181-E181-O181),0)),2)</f>
        <v>0</v>
      </c>
    </row>
    <row r="182" customFormat="false" ht="15" hidden="false" customHeight="true" outlineLevel="0" collapsed="false">
      <c r="A182" s="12" t="s">
        <v>542</v>
      </c>
      <c r="B182" s="8" t="s">
        <v>543</v>
      </c>
      <c r="C182" s="12" t="s">
        <v>544</v>
      </c>
      <c r="D182" s="9" t="n">
        <v>143.17</v>
      </c>
      <c r="E182" s="9" t="n">
        <v>0</v>
      </c>
      <c r="F182" s="13" t="n">
        <v>0</v>
      </c>
      <c r="G182" s="13" t="n">
        <v>34.92</v>
      </c>
      <c r="H182" s="13" t="n">
        <v>0</v>
      </c>
      <c r="I182" s="13" t="n">
        <f aca="false">W$1</f>
        <v>4.1</v>
      </c>
      <c r="J182" s="14" t="n">
        <f aca="false">ROUND(G182*I182,2)</f>
        <v>143.17</v>
      </c>
      <c r="K182" s="14"/>
      <c r="L182" s="14"/>
      <c r="M182" s="14"/>
      <c r="N182" s="14" t="n">
        <f aca="false">ROUND((G182*I182)-K182-L182-M182,2)</f>
        <v>143.17</v>
      </c>
      <c r="O182" s="14" t="n">
        <v>143.17</v>
      </c>
      <c r="P182" s="11" t="n">
        <f aca="false">ROUND(IF(D182=0,IF((N182-E182-O182)&gt;0,(N182-E182-O182),0),IF((D182+N182-O182)&gt;0,(D182+N182-O182),0)),2)</f>
        <v>143.17</v>
      </c>
      <c r="Q182" s="11" t="n">
        <f aca="false">ROUND(IF(E182=0,IF((D182+N182-O182)&lt;0,ABS(D182+N182-O182),0),IF((N182-E182-O182)&lt;0,ABS(N182-E182-O182),0)),2)</f>
        <v>0</v>
      </c>
    </row>
    <row r="183" customFormat="false" ht="15" hidden="false" customHeight="true" outlineLevel="0" collapsed="false">
      <c r="A183" s="12" t="s">
        <v>545</v>
      </c>
      <c r="B183" s="8" t="s">
        <v>546</v>
      </c>
      <c r="C183" s="12" t="s">
        <v>547</v>
      </c>
      <c r="D183" s="9" t="n">
        <v>253.83</v>
      </c>
      <c r="E183" s="9" t="n">
        <v>0</v>
      </c>
      <c r="F183" s="13" t="n">
        <v>0</v>
      </c>
      <c r="G183" s="13" t="n">
        <v>61.91</v>
      </c>
      <c r="H183" s="13" t="n">
        <v>0</v>
      </c>
      <c r="I183" s="13" t="n">
        <f aca="false">W$1</f>
        <v>4.1</v>
      </c>
      <c r="J183" s="14" t="n">
        <f aca="false">ROUND(G183*I183,2)</f>
        <v>253.83</v>
      </c>
      <c r="K183" s="14"/>
      <c r="L183" s="14"/>
      <c r="M183" s="14"/>
      <c r="N183" s="14" t="n">
        <f aca="false">ROUND((G183*I183)-K183-L183-M183,2)</f>
        <v>253.83</v>
      </c>
      <c r="O183" s="14" t="n">
        <v>253.83</v>
      </c>
      <c r="P183" s="11" t="n">
        <f aca="false">ROUND(IF(D183=0,IF((N183-E183-O183)&gt;0,(N183-E183-O183),0),IF((D183+N183-O183)&gt;0,(D183+N183-O183),0)),2)</f>
        <v>253.83</v>
      </c>
      <c r="Q183" s="11" t="n">
        <f aca="false">ROUND(IF(E183=0,IF((D183+N183-O183)&lt;0,ABS(D183+N183-O183),0),IF((N183-E183-O183)&lt;0,ABS(N183-E183-O183),0)),2)</f>
        <v>0</v>
      </c>
    </row>
    <row r="184" customFormat="false" ht="15" hidden="false" customHeight="true" outlineLevel="0" collapsed="false">
      <c r="A184" s="12" t="s">
        <v>548</v>
      </c>
      <c r="B184" s="8" t="s">
        <v>549</v>
      </c>
      <c r="C184" s="12" t="s">
        <v>550</v>
      </c>
      <c r="D184" s="9" t="n">
        <v>12074.11</v>
      </c>
      <c r="E184" s="9" t="n">
        <v>0</v>
      </c>
      <c r="F184" s="13" t="n">
        <v>0</v>
      </c>
      <c r="G184" s="13" t="n">
        <v>65.15</v>
      </c>
      <c r="H184" s="13" t="n">
        <v>0</v>
      </c>
      <c r="I184" s="13" t="n">
        <f aca="false">W$1</f>
        <v>4.1</v>
      </c>
      <c r="J184" s="14" t="n">
        <f aca="false">ROUND(G184*I184,2)</f>
        <v>267.12</v>
      </c>
      <c r="K184" s="14"/>
      <c r="L184" s="14"/>
      <c r="M184" s="14"/>
      <c r="N184" s="14" t="n">
        <f aca="false">ROUND((G184*I184)-K184-L184-M184,2)</f>
        <v>267.12</v>
      </c>
      <c r="O184" s="14"/>
      <c r="P184" s="11" t="n">
        <f aca="false">ROUND(IF(D184=0,IF((N184-E184-O184)&gt;0,(N184-E184-O184),0),IF((D184+N184-O184)&gt;0,(D184+N184-O184),0)),2)</f>
        <v>12341.23</v>
      </c>
      <c r="Q184" s="11" t="n">
        <f aca="false">ROUND(IF(E184=0,IF((D184+N184-O184)&lt;0,ABS(D184+N184-O184),0),IF((N184-E184-O184)&lt;0,ABS(N184-E184-O184),0)),2)</f>
        <v>0</v>
      </c>
    </row>
    <row r="185" customFormat="false" ht="15" hidden="false" customHeight="true" outlineLevel="0" collapsed="false">
      <c r="A185" s="12" t="s">
        <v>551</v>
      </c>
      <c r="B185" s="8" t="s">
        <v>552</v>
      </c>
      <c r="C185" s="12" t="s">
        <v>553</v>
      </c>
      <c r="D185" s="9" t="n">
        <v>205</v>
      </c>
      <c r="E185" s="9" t="n">
        <v>0</v>
      </c>
      <c r="F185" s="13" t="n">
        <v>0</v>
      </c>
      <c r="G185" s="13" t="n">
        <v>50</v>
      </c>
      <c r="H185" s="13" t="n">
        <v>0</v>
      </c>
      <c r="I185" s="13" t="n">
        <f aca="false">W$1</f>
        <v>4.1</v>
      </c>
      <c r="J185" s="14" t="n">
        <f aca="false">ROUND(G185*I185,2)</f>
        <v>205</v>
      </c>
      <c r="K185" s="14"/>
      <c r="L185" s="14"/>
      <c r="M185" s="14"/>
      <c r="N185" s="14" t="n">
        <f aca="false">ROUND((G185*I185)-K185-L185-M185,2)</f>
        <v>205</v>
      </c>
      <c r="O185" s="14" t="n">
        <v>205</v>
      </c>
      <c r="P185" s="11" t="n">
        <f aca="false">ROUND(IF(D185=0,IF((N185-E185-O185)&gt;0,(N185-E185-O185),0),IF((D185+N185-O185)&gt;0,(D185+N185-O185),0)),2)</f>
        <v>205</v>
      </c>
      <c r="Q185" s="11" t="n">
        <f aca="false">ROUND(IF(E185=0,IF((D185+N185-O185)&lt;0,ABS(D185+N185-O185),0),IF((N185-E185-O185)&lt;0,ABS(N185-E185-O185),0)),2)</f>
        <v>0</v>
      </c>
    </row>
    <row r="186" customFormat="false" ht="15" hidden="false" customHeight="true" outlineLevel="0" collapsed="false">
      <c r="A186" s="12" t="s">
        <v>554</v>
      </c>
      <c r="B186" s="8" t="s">
        <v>555</v>
      </c>
      <c r="C186" s="12" t="s">
        <v>556</v>
      </c>
      <c r="D186" s="9" t="n">
        <v>6187.41</v>
      </c>
      <c r="E186" s="9" t="n">
        <v>0</v>
      </c>
      <c r="F186" s="13" t="n">
        <v>0</v>
      </c>
      <c r="G186" s="13" t="n">
        <v>35.1</v>
      </c>
      <c r="H186" s="13" t="n">
        <v>0</v>
      </c>
      <c r="I186" s="13" t="n">
        <f aca="false">W$1</f>
        <v>4.1</v>
      </c>
      <c r="J186" s="14" t="n">
        <f aca="false">ROUND(G186*I186,2)</f>
        <v>143.91</v>
      </c>
      <c r="K186" s="14"/>
      <c r="L186" s="14"/>
      <c r="M186" s="14"/>
      <c r="N186" s="14" t="n">
        <f aca="false">ROUND((G186*I186)-K186-L186-M186,2)</f>
        <v>143.91</v>
      </c>
      <c r="O186" s="14"/>
      <c r="P186" s="11" t="n">
        <f aca="false">ROUND(IF(D186=0,IF((N186-E186-O186)&gt;0,(N186-E186-O186),0),IF((D186+N186-O186)&gt;0,(D186+N186-O186),0)),2)</f>
        <v>6331.32</v>
      </c>
      <c r="Q186" s="11" t="n">
        <f aca="false">ROUND(IF(E186=0,IF((D186+N186-O186)&lt;0,ABS(D186+N186-O186),0),IF((N186-E186-O186)&lt;0,ABS(N186-E186-O186),0)),2)</f>
        <v>0</v>
      </c>
    </row>
    <row r="187" customFormat="false" ht="15" hidden="false" customHeight="true" outlineLevel="0" collapsed="false">
      <c r="A187" s="12" t="s">
        <v>557</v>
      </c>
      <c r="B187" s="8" t="s">
        <v>558</v>
      </c>
      <c r="C187" s="12" t="s">
        <v>559</v>
      </c>
      <c r="D187" s="9" t="n">
        <v>4814.22</v>
      </c>
      <c r="E187" s="9" t="n">
        <v>0</v>
      </c>
      <c r="F187" s="13" t="n">
        <v>0</v>
      </c>
      <c r="G187" s="13" t="n">
        <v>61.8</v>
      </c>
      <c r="H187" s="13" t="n">
        <v>0</v>
      </c>
      <c r="I187" s="13" t="n">
        <f aca="false">W$1</f>
        <v>4.1</v>
      </c>
      <c r="J187" s="14" t="n">
        <f aca="false">ROUND(G187*I187,2)</f>
        <v>253.38</v>
      </c>
      <c r="K187" s="14"/>
      <c r="L187" s="14"/>
      <c r="M187" s="14"/>
      <c r="N187" s="14" t="n">
        <f aca="false">ROUND((G187*I187)-K187-L187-M187,2)</f>
        <v>253.38</v>
      </c>
      <c r="O187" s="14" t="n">
        <v>3315</v>
      </c>
      <c r="P187" s="11" t="n">
        <f aca="false">ROUND(IF(D187=0,IF((N187-E187-O187)&gt;0,(N187-E187-O187),0),IF((D187+N187-O187)&gt;0,(D187+N187-O187),0)),2)</f>
        <v>1752.6</v>
      </c>
      <c r="Q187" s="11" t="n">
        <f aca="false">ROUND(IF(E187=0,IF((D187+N187-O187)&lt;0,ABS(D187+N187-O187),0),IF((N187-E187-O187)&lt;0,ABS(N187-E187-O187),0)),2)</f>
        <v>0</v>
      </c>
    </row>
    <row r="188" customFormat="false" ht="15" hidden="false" customHeight="true" outlineLevel="0" collapsed="false">
      <c r="A188" s="12" t="s">
        <v>560</v>
      </c>
      <c r="B188" s="8" t="s">
        <v>561</v>
      </c>
      <c r="C188" s="12" t="s">
        <v>562</v>
      </c>
      <c r="D188" s="9" t="n">
        <v>291.35</v>
      </c>
      <c r="E188" s="9" t="n">
        <v>0</v>
      </c>
      <c r="F188" s="13" t="n">
        <v>0</v>
      </c>
      <c r="G188" s="13" t="n">
        <v>71.06</v>
      </c>
      <c r="H188" s="13" t="n">
        <v>0</v>
      </c>
      <c r="I188" s="13" t="n">
        <f aca="false">W$1</f>
        <v>4.1</v>
      </c>
      <c r="J188" s="14" t="n">
        <f aca="false">ROUND(G188*I188,2)</f>
        <v>291.35</v>
      </c>
      <c r="K188" s="14"/>
      <c r="L188" s="14"/>
      <c r="M188" s="14"/>
      <c r="N188" s="14" t="n">
        <f aca="false">ROUND((G188*I188)-K188-L188-M188,2)</f>
        <v>291.35</v>
      </c>
      <c r="O188" s="14" t="n">
        <v>291.35</v>
      </c>
      <c r="P188" s="11" t="n">
        <f aca="false">ROUND(IF(D188=0,IF((N188-E188-O188)&gt;0,(N188-E188-O188),0),IF((D188+N188-O188)&gt;0,(D188+N188-O188),0)),2)</f>
        <v>291.35</v>
      </c>
      <c r="Q188" s="11" t="n">
        <f aca="false">ROUND(IF(E188=0,IF((D188+N188-O188)&lt;0,ABS(D188+N188-O188),0),IF((N188-E188-O188)&lt;0,ABS(N188-E188-O188),0)),2)</f>
        <v>0</v>
      </c>
    </row>
    <row r="189" customFormat="false" ht="15" hidden="false" customHeight="true" outlineLevel="0" collapsed="false">
      <c r="A189" s="12" t="s">
        <v>563</v>
      </c>
      <c r="B189" s="8" t="s">
        <v>564</v>
      </c>
      <c r="C189" s="12" t="s">
        <v>565</v>
      </c>
      <c r="D189" s="9" t="n">
        <v>4754.72</v>
      </c>
      <c r="E189" s="9" t="n">
        <v>0</v>
      </c>
      <c r="F189" s="13" t="n">
        <v>0</v>
      </c>
      <c r="G189" s="13" t="n">
        <v>49.15</v>
      </c>
      <c r="H189" s="13" t="n">
        <v>0</v>
      </c>
      <c r="I189" s="13" t="n">
        <f aca="false">W$1</f>
        <v>4.1</v>
      </c>
      <c r="J189" s="14" t="n">
        <f aca="false">ROUND(G189*I189,2)</f>
        <v>201.52</v>
      </c>
      <c r="K189" s="14"/>
      <c r="L189" s="14"/>
      <c r="M189" s="14"/>
      <c r="N189" s="14" t="n">
        <f aca="false">ROUND((G189*I189)-K189-L189-M189,2)</f>
        <v>201.52</v>
      </c>
      <c r="O189" s="14"/>
      <c r="P189" s="11" t="n">
        <f aca="false">ROUND(IF(D189=0,IF((N189-E189-O189)&gt;0,(N189-E189-O189),0),IF((D189+N189-O189)&gt;0,(D189+N189-O189),0)),2)</f>
        <v>4956.24</v>
      </c>
      <c r="Q189" s="11" t="n">
        <f aca="false">ROUND(IF(E189=0,IF((D189+N189-O189)&lt;0,ABS(D189+N189-O189),0),IF((N189-E189-O189)&lt;0,ABS(N189-E189-O189),0)),2)</f>
        <v>0</v>
      </c>
    </row>
    <row r="190" customFormat="false" ht="15" hidden="false" customHeight="true" outlineLevel="0" collapsed="false">
      <c r="A190" s="12" t="s">
        <v>566</v>
      </c>
      <c r="B190" s="8" t="s">
        <v>567</v>
      </c>
      <c r="C190" s="12" t="s">
        <v>568</v>
      </c>
      <c r="D190" s="9" t="n">
        <v>6171.28</v>
      </c>
      <c r="E190" s="9" t="n">
        <v>0</v>
      </c>
      <c r="F190" s="13" t="n">
        <v>0</v>
      </c>
      <c r="G190" s="13" t="n">
        <v>53.72</v>
      </c>
      <c r="H190" s="13" t="n">
        <v>0</v>
      </c>
      <c r="I190" s="13" t="n">
        <f aca="false">W$1</f>
        <v>4.1</v>
      </c>
      <c r="J190" s="14" t="n">
        <f aca="false">ROUND(G190*I190,2)</f>
        <v>220.25</v>
      </c>
      <c r="K190" s="14"/>
      <c r="L190" s="14"/>
      <c r="M190" s="14"/>
      <c r="N190" s="14" t="n">
        <f aca="false">ROUND((G190*I190)-K190-L190-M190,2)</f>
        <v>220.25</v>
      </c>
      <c r="O190" s="14"/>
      <c r="P190" s="11" t="n">
        <f aca="false">ROUND(IF(D190=0,IF((N190-E190-O190)&gt;0,(N190-E190-O190),0),IF((D190+N190-O190)&gt;0,(D190+N190-O190),0)),2)</f>
        <v>6391.53</v>
      </c>
      <c r="Q190" s="11" t="n">
        <f aca="false">ROUND(IF(E190=0,IF((D190+N190-O190)&lt;0,ABS(D190+N190-O190),0),IF((N190-E190-O190)&lt;0,ABS(N190-E190-O190),0)),2)</f>
        <v>0</v>
      </c>
    </row>
    <row r="191" customFormat="false" ht="15" hidden="false" customHeight="true" outlineLevel="0" collapsed="false">
      <c r="A191" s="12" t="s">
        <v>569</v>
      </c>
      <c r="B191" s="8" t="s">
        <v>570</v>
      </c>
      <c r="C191" s="12" t="s">
        <v>571</v>
      </c>
      <c r="D191" s="9" t="n">
        <v>282.78</v>
      </c>
      <c r="E191" s="9" t="n">
        <v>0</v>
      </c>
      <c r="F191" s="13" t="n">
        <v>0</v>
      </c>
      <c r="G191" s="13" t="n">
        <v>68.97</v>
      </c>
      <c r="H191" s="13" t="n">
        <v>0</v>
      </c>
      <c r="I191" s="13" t="n">
        <f aca="false">W$1</f>
        <v>4.1</v>
      </c>
      <c r="J191" s="14" t="n">
        <f aca="false">ROUND(G191*I191,2)</f>
        <v>282.78</v>
      </c>
      <c r="K191" s="14"/>
      <c r="L191" s="14"/>
      <c r="M191" s="14"/>
      <c r="N191" s="14" t="n">
        <f aca="false">ROUND((G191*I191)-K191-L191-M191,2)</f>
        <v>282.78</v>
      </c>
      <c r="O191" s="14"/>
      <c r="P191" s="11" t="n">
        <f aca="false">ROUND(IF(D191=0,IF((N191-E191-O191)&gt;0,(N191-E191-O191),0),IF((D191+N191-O191)&gt;0,(D191+N191-O191),0)),2)</f>
        <v>565.56</v>
      </c>
      <c r="Q191" s="11" t="n">
        <f aca="false">ROUND(IF(E191=0,IF((D191+N191-O191)&lt;0,ABS(D191+N191-O191),0),IF((N191-E191-O191)&lt;0,ABS(N191-E191-O191),0)),2)</f>
        <v>0</v>
      </c>
    </row>
    <row r="192" customFormat="false" ht="15" hidden="false" customHeight="true" outlineLevel="0" collapsed="false">
      <c r="A192" s="12" t="s">
        <v>572</v>
      </c>
      <c r="B192" s="8" t="s">
        <v>573</v>
      </c>
      <c r="C192" s="12" t="s">
        <v>574</v>
      </c>
      <c r="D192" s="9" t="n">
        <v>8022.15</v>
      </c>
      <c r="E192" s="9" t="n">
        <v>0</v>
      </c>
      <c r="F192" s="13" t="n">
        <v>0</v>
      </c>
      <c r="G192" s="13" t="n">
        <v>49.86</v>
      </c>
      <c r="H192" s="13" t="n">
        <v>0</v>
      </c>
      <c r="I192" s="13" t="n">
        <f aca="false">W$1</f>
        <v>4.1</v>
      </c>
      <c r="J192" s="14" t="n">
        <f aca="false">ROUND(G192*I192,2)</f>
        <v>204.43</v>
      </c>
      <c r="K192" s="14"/>
      <c r="L192" s="14"/>
      <c r="M192" s="14"/>
      <c r="N192" s="14" t="n">
        <f aca="false">ROUND((G192*I192)-K192-L192-M192,2)</f>
        <v>204.43</v>
      </c>
      <c r="O192" s="14"/>
      <c r="P192" s="11" t="n">
        <f aca="false">ROUND(IF(D192=0,IF((N192-E192-O192)&gt;0,(N192-E192-O192),0),IF((D192+N192-O192)&gt;0,(D192+N192-O192),0)),2)</f>
        <v>8226.58</v>
      </c>
      <c r="Q192" s="11" t="n">
        <f aca="false">ROUND(IF(E192=0,IF((D192+N192-O192)&lt;0,ABS(D192+N192-O192),0),IF((N192-E192-O192)&lt;0,ABS(N192-E192-O192),0)),2)</f>
        <v>0</v>
      </c>
    </row>
    <row r="193" customFormat="false" ht="15" hidden="false" customHeight="true" outlineLevel="0" collapsed="false">
      <c r="A193" s="12" t="s">
        <v>575</v>
      </c>
      <c r="B193" s="8" t="s">
        <v>576</v>
      </c>
      <c r="C193" s="12" t="s">
        <v>577</v>
      </c>
      <c r="D193" s="9" t="n">
        <v>11886.45</v>
      </c>
      <c r="E193" s="9" t="n">
        <v>0</v>
      </c>
      <c r="F193" s="13" t="n">
        <v>0</v>
      </c>
      <c r="G193" s="13" t="n">
        <v>60.86</v>
      </c>
      <c r="H193" s="13" t="n">
        <v>0</v>
      </c>
      <c r="I193" s="13" t="n">
        <f aca="false">W$1</f>
        <v>4.1</v>
      </c>
      <c r="J193" s="14" t="n">
        <f aca="false">ROUND(G193*I193,2)</f>
        <v>249.53</v>
      </c>
      <c r="K193" s="14"/>
      <c r="L193" s="14"/>
      <c r="M193" s="14"/>
      <c r="N193" s="14" t="n">
        <f aca="false">ROUND((G193*I193)-K193-L193-M193,2)</f>
        <v>249.53</v>
      </c>
      <c r="O193" s="14"/>
      <c r="P193" s="11" t="n">
        <f aca="false">ROUND(IF(D193=0,IF((N193-E193-O193)&gt;0,(N193-E193-O193),0),IF((D193+N193-O193)&gt;0,(D193+N193-O193),0)),2)</f>
        <v>12135.98</v>
      </c>
      <c r="Q193" s="11" t="n">
        <f aca="false">ROUND(IF(E193=0,IF((D193+N193-O193)&lt;0,ABS(D193+N193-O193),0),IF((N193-E193-O193)&lt;0,ABS(N193-E193-O193),0)),2)</f>
        <v>0</v>
      </c>
    </row>
    <row r="194" customFormat="false" ht="15" hidden="false" customHeight="true" outlineLevel="0" collapsed="false">
      <c r="A194" s="12" t="s">
        <v>578</v>
      </c>
      <c r="B194" s="8" t="s">
        <v>579</v>
      </c>
      <c r="C194" s="12" t="s">
        <v>580</v>
      </c>
      <c r="D194" s="9" t="n">
        <v>8642.11</v>
      </c>
      <c r="E194" s="9" t="n">
        <v>0</v>
      </c>
      <c r="F194" s="13" t="n">
        <v>0</v>
      </c>
      <c r="G194" s="13" t="n">
        <v>66.75</v>
      </c>
      <c r="H194" s="13" t="n">
        <v>0</v>
      </c>
      <c r="I194" s="13" t="n">
        <f aca="false">W$1</f>
        <v>4.1</v>
      </c>
      <c r="J194" s="14" t="n">
        <f aca="false">ROUND(G194*I194,2)</f>
        <v>273.68</v>
      </c>
      <c r="K194" s="14"/>
      <c r="L194" s="14"/>
      <c r="M194" s="14"/>
      <c r="N194" s="14" t="n">
        <f aca="false">ROUND((G194*I194)-K194-L194-M194,2)</f>
        <v>273.68</v>
      </c>
      <c r="O194" s="14" t="n">
        <v>270</v>
      </c>
      <c r="P194" s="11" t="n">
        <f aca="false">ROUND(IF(D194=0,IF((N194-E194-O194)&gt;0,(N194-E194-O194),0),IF((D194+N194-O194)&gt;0,(D194+N194-O194),0)),2)</f>
        <v>8645.79</v>
      </c>
      <c r="Q194" s="11" t="n">
        <f aca="false">ROUND(IF(E194=0,IF((D194+N194-O194)&lt;0,ABS(D194+N194-O194),0),IF((N194-E194-O194)&lt;0,ABS(N194-E194-O194),0)),2)</f>
        <v>0</v>
      </c>
    </row>
    <row r="195" customFormat="false" ht="15" hidden="false" customHeight="true" outlineLevel="0" collapsed="false">
      <c r="A195" s="12" t="s">
        <v>581</v>
      </c>
      <c r="B195" s="8" t="s">
        <v>582</v>
      </c>
      <c r="C195" s="12" t="s">
        <v>583</v>
      </c>
      <c r="D195" s="9" t="n">
        <v>13077.14</v>
      </c>
      <c r="E195" s="9" t="n">
        <v>0</v>
      </c>
      <c r="F195" s="13" t="n">
        <v>0</v>
      </c>
      <c r="G195" s="13" t="n">
        <v>72.49</v>
      </c>
      <c r="H195" s="13" t="n">
        <v>0</v>
      </c>
      <c r="I195" s="13" t="n">
        <f aca="false">W$1</f>
        <v>4.1</v>
      </c>
      <c r="J195" s="14" t="n">
        <f aca="false">ROUND(G195*I195,2)</f>
        <v>297.21</v>
      </c>
      <c r="K195" s="14"/>
      <c r="L195" s="14"/>
      <c r="M195" s="14"/>
      <c r="N195" s="14" t="n">
        <f aca="false">ROUND((G195*I195)-K195-L195-M195,2)</f>
        <v>297.21</v>
      </c>
      <c r="O195" s="14"/>
      <c r="P195" s="11" t="n">
        <f aca="false">ROUND(IF(D195=0,IF((N195-E195-O195)&gt;0,(N195-E195-O195),0),IF((D195+N195-O195)&gt;0,(D195+N195-O195),0)),2)</f>
        <v>13374.35</v>
      </c>
      <c r="Q195" s="11" t="n">
        <f aca="false">ROUND(IF(E195=0,IF((D195+N195-O195)&lt;0,ABS(D195+N195-O195),0),IF((N195-E195-O195)&lt;0,ABS(N195-E195-O195),0)),2)</f>
        <v>0</v>
      </c>
    </row>
    <row r="196" customFormat="false" ht="15" hidden="false" customHeight="true" outlineLevel="0" collapsed="false">
      <c r="A196" s="12" t="s">
        <v>584</v>
      </c>
      <c r="B196" s="8" t="s">
        <v>585</v>
      </c>
      <c r="C196" s="12" t="s">
        <v>586</v>
      </c>
      <c r="D196" s="9" t="n">
        <v>0</v>
      </c>
      <c r="E196" s="9" t="n">
        <v>57.82</v>
      </c>
      <c r="F196" s="13" t="n">
        <v>0</v>
      </c>
      <c r="G196" s="13" t="n">
        <v>49.8</v>
      </c>
      <c r="H196" s="13" t="n">
        <v>0</v>
      </c>
      <c r="I196" s="13" t="n">
        <f aca="false">W$1</f>
        <v>4.1</v>
      </c>
      <c r="J196" s="14" t="n">
        <f aca="false">ROUND(G196*I196,2)</f>
        <v>204.18</v>
      </c>
      <c r="K196" s="14"/>
      <c r="L196" s="14"/>
      <c r="M196" s="14"/>
      <c r="N196" s="14" t="n">
        <f aca="false">ROUND((G196*I196)-K196-L196-M196,2)</f>
        <v>204.18</v>
      </c>
      <c r="O196" s="14"/>
      <c r="P196" s="11" t="n">
        <f aca="false">ROUND(IF(D196=0,IF((N196-E196-O196)&gt;0,(N196-E196-O196),0),IF((D196+N196-O196)&gt;0,(D196+N196-O196),0)),2)</f>
        <v>146.36</v>
      </c>
      <c r="Q196" s="11" t="n">
        <f aca="false">ROUND(IF(E196=0,IF((D196+N196-O196)&lt;0,ABS(D196+N196-O196),0),IF((N196-E196-O196)&lt;0,ABS(N196-E196-O196),0)),2)</f>
        <v>0</v>
      </c>
    </row>
    <row r="197" customFormat="false" ht="15" hidden="false" customHeight="true" outlineLevel="0" collapsed="false">
      <c r="A197" s="12" t="s">
        <v>587</v>
      </c>
      <c r="B197" s="8" t="s">
        <v>588</v>
      </c>
      <c r="C197" s="12" t="s">
        <v>589</v>
      </c>
      <c r="D197" s="9" t="n">
        <v>7239.27</v>
      </c>
      <c r="E197" s="9" t="n">
        <v>0</v>
      </c>
      <c r="F197" s="13" t="n">
        <v>0</v>
      </c>
      <c r="G197" s="13" t="n">
        <v>62.36</v>
      </c>
      <c r="H197" s="13" t="n">
        <v>0</v>
      </c>
      <c r="I197" s="13" t="n">
        <f aca="false">W$1</f>
        <v>4.1</v>
      </c>
      <c r="J197" s="14" t="n">
        <f aca="false">ROUND(G197*I197,2)</f>
        <v>255.68</v>
      </c>
      <c r="K197" s="14"/>
      <c r="L197" s="14"/>
      <c r="M197" s="14"/>
      <c r="N197" s="14" t="n">
        <f aca="false">ROUND((G197*I197)-K197-L197-M197,2)</f>
        <v>255.68</v>
      </c>
      <c r="O197" s="14"/>
      <c r="P197" s="11" t="n">
        <f aca="false">ROUND(IF(D197=0,IF((N197-E197-O197)&gt;0,(N197-E197-O197),0),IF((D197+N197-O197)&gt;0,(D197+N197-O197),0)),2)</f>
        <v>7494.95</v>
      </c>
      <c r="Q197" s="11" t="n">
        <f aca="false">ROUND(IF(E197=0,IF((D197+N197-O197)&lt;0,ABS(D197+N197-O197),0),IF((N197-E197-O197)&lt;0,ABS(N197-E197-O197),0)),2)</f>
        <v>0</v>
      </c>
    </row>
    <row r="198" customFormat="false" ht="15" hidden="false" customHeight="true" outlineLevel="0" collapsed="false">
      <c r="A198" s="12" t="s">
        <v>590</v>
      </c>
      <c r="B198" s="8" t="s">
        <v>591</v>
      </c>
      <c r="C198" s="12" t="s">
        <v>592</v>
      </c>
      <c r="D198" s="9" t="n">
        <v>280.85</v>
      </c>
      <c r="E198" s="9" t="n">
        <v>0</v>
      </c>
      <c r="F198" s="13" t="n">
        <v>0</v>
      </c>
      <c r="G198" s="13" t="n">
        <v>68.5</v>
      </c>
      <c r="H198" s="13" t="n">
        <v>0</v>
      </c>
      <c r="I198" s="13" t="n">
        <f aca="false">W$1</f>
        <v>4.1</v>
      </c>
      <c r="J198" s="14" t="n">
        <f aca="false">ROUND(G198*I198,2)</f>
        <v>280.85</v>
      </c>
      <c r="K198" s="14"/>
      <c r="L198" s="14"/>
      <c r="M198" s="14"/>
      <c r="N198" s="14" t="n">
        <f aca="false">ROUND((G198*I198)-K198-L198-M198,2)</f>
        <v>280.85</v>
      </c>
      <c r="O198" s="14" t="n">
        <v>280.85</v>
      </c>
      <c r="P198" s="11" t="n">
        <f aca="false">ROUND(IF(D198=0,IF((N198-E198-O198)&gt;0,(N198-E198-O198),0),IF((D198+N198-O198)&gt;0,(D198+N198-O198),0)),2)</f>
        <v>280.85</v>
      </c>
      <c r="Q198" s="11" t="n">
        <f aca="false">ROUND(IF(E198=0,IF((D198+N198-O198)&lt;0,ABS(D198+N198-O198),0),IF((N198-E198-O198)&lt;0,ABS(N198-E198-O198),0)),2)</f>
        <v>0</v>
      </c>
    </row>
    <row r="199" customFormat="false" ht="15" hidden="false" customHeight="true" outlineLevel="0" collapsed="false">
      <c r="A199" s="12" t="s">
        <v>593</v>
      </c>
      <c r="B199" s="8" t="s">
        <v>594</v>
      </c>
      <c r="C199" s="12" t="s">
        <v>595</v>
      </c>
      <c r="D199" s="9" t="n">
        <v>11012.32</v>
      </c>
      <c r="E199" s="9" t="n">
        <v>0</v>
      </c>
      <c r="F199" s="13" t="n">
        <v>0</v>
      </c>
      <c r="G199" s="13" t="n">
        <v>70.42</v>
      </c>
      <c r="H199" s="13" t="n">
        <v>0</v>
      </c>
      <c r="I199" s="13" t="n">
        <f aca="false">W$1</f>
        <v>4.1</v>
      </c>
      <c r="J199" s="14" t="n">
        <f aca="false">ROUND(G199*I199,2)</f>
        <v>288.72</v>
      </c>
      <c r="K199" s="14"/>
      <c r="L199" s="14"/>
      <c r="M199" s="14"/>
      <c r="N199" s="14" t="n">
        <f aca="false">ROUND((G199*I199)-K199-L199-M199,2)</f>
        <v>288.72</v>
      </c>
      <c r="O199" s="14"/>
      <c r="P199" s="11" t="n">
        <f aca="false">ROUND(IF(D199=0,IF((N199-E199-O199)&gt;0,(N199-E199-O199),0),IF((D199+N199-O199)&gt;0,(D199+N199-O199),0)),2)</f>
        <v>11301.04</v>
      </c>
      <c r="Q199" s="11" t="n">
        <f aca="false">ROUND(IF(E199=0,IF((D199+N199-O199)&lt;0,ABS(D199+N199-O199),0),IF((N199-E199-O199)&lt;0,ABS(N199-E199-O199),0)),2)</f>
        <v>0</v>
      </c>
    </row>
    <row r="200" customFormat="false" ht="15" hidden="false" customHeight="true" outlineLevel="0" collapsed="false">
      <c r="A200" s="12" t="s">
        <v>596</v>
      </c>
      <c r="B200" s="8" t="s">
        <v>597</v>
      </c>
      <c r="C200" s="12" t="s">
        <v>598</v>
      </c>
      <c r="D200" s="9" t="n">
        <v>10078.74</v>
      </c>
      <c r="E200" s="9" t="n">
        <v>0</v>
      </c>
      <c r="F200" s="13" t="n">
        <v>0</v>
      </c>
      <c r="G200" s="13" t="n">
        <v>49.7</v>
      </c>
      <c r="H200" s="13" t="n">
        <v>0</v>
      </c>
      <c r="I200" s="13" t="n">
        <f aca="false">W$1</f>
        <v>4.1</v>
      </c>
      <c r="J200" s="14" t="n">
        <f aca="false">ROUND(G200*I200,2)</f>
        <v>203.77</v>
      </c>
      <c r="K200" s="14"/>
      <c r="L200" s="14"/>
      <c r="M200" s="14"/>
      <c r="N200" s="14" t="n">
        <f aca="false">ROUND((G200*I200)-K200-L200-M200,2)</f>
        <v>203.77</v>
      </c>
      <c r="O200" s="14"/>
      <c r="P200" s="11" t="n">
        <f aca="false">ROUND(IF(D200=0,IF((N200-E200-O200)&gt;0,(N200-E200-O200),0),IF((D200+N200-O200)&gt;0,(D200+N200-O200),0)),2)</f>
        <v>10282.51</v>
      </c>
      <c r="Q200" s="11" t="n">
        <f aca="false">ROUND(IF(E200=0,IF((D200+N200-O200)&lt;0,ABS(D200+N200-O200),0),IF((N200-E200-O200)&lt;0,ABS(N200-E200-O200),0)),2)</f>
        <v>0</v>
      </c>
    </row>
    <row r="201" customFormat="false" ht="15" hidden="false" customHeight="true" outlineLevel="0" collapsed="false">
      <c r="A201" s="12" t="s">
        <v>599</v>
      </c>
      <c r="B201" s="8" t="s">
        <v>600</v>
      </c>
      <c r="C201" s="12" t="s">
        <v>601</v>
      </c>
      <c r="D201" s="9" t="n">
        <v>12063.02</v>
      </c>
      <c r="E201" s="9" t="n">
        <v>0</v>
      </c>
      <c r="F201" s="13" t="n">
        <v>0</v>
      </c>
      <c r="G201" s="13" t="n">
        <v>62.6</v>
      </c>
      <c r="H201" s="13" t="n">
        <v>0</v>
      </c>
      <c r="I201" s="13" t="n">
        <f aca="false">W$1</f>
        <v>4.1</v>
      </c>
      <c r="J201" s="14" t="n">
        <f aca="false">ROUND(G201*I201,2)</f>
        <v>256.66</v>
      </c>
      <c r="K201" s="14"/>
      <c r="L201" s="14"/>
      <c r="M201" s="14"/>
      <c r="N201" s="14" t="n">
        <f aca="false">ROUND((G201*I201)-K201-L201-M201,2)</f>
        <v>256.66</v>
      </c>
      <c r="O201" s="14"/>
      <c r="P201" s="11" t="n">
        <f aca="false">ROUND(IF(D201=0,IF((N201-E201-O201)&gt;0,(N201-E201-O201),0),IF((D201+N201-O201)&gt;0,(D201+N201-O201),0)),2)</f>
        <v>12319.68</v>
      </c>
      <c r="Q201" s="11" t="n">
        <f aca="false">ROUND(IF(E201=0,IF((D201+N201-O201)&lt;0,ABS(D201+N201-O201),0),IF((N201-E201-O201)&lt;0,ABS(N201-E201-O201),0)),2)</f>
        <v>0</v>
      </c>
    </row>
    <row r="202" customFormat="false" ht="15" hidden="false" customHeight="true" outlineLevel="0" collapsed="false">
      <c r="A202" s="12" t="s">
        <v>602</v>
      </c>
      <c r="B202" s="8" t="s">
        <v>603</v>
      </c>
      <c r="C202" s="12" t="s">
        <v>604</v>
      </c>
      <c r="D202" s="9" t="n">
        <v>288.64</v>
      </c>
      <c r="E202" s="9" t="n">
        <v>0</v>
      </c>
      <c r="F202" s="13" t="n">
        <v>0</v>
      </c>
      <c r="G202" s="13" t="n">
        <v>70.4</v>
      </c>
      <c r="H202" s="13" t="n">
        <v>0</v>
      </c>
      <c r="I202" s="13" t="n">
        <f aca="false">W$1</f>
        <v>4.1</v>
      </c>
      <c r="J202" s="14" t="n">
        <f aca="false">ROUND(G202*I202,2)</f>
        <v>288.64</v>
      </c>
      <c r="K202" s="14"/>
      <c r="L202" s="14"/>
      <c r="M202" s="14"/>
      <c r="N202" s="14" t="n">
        <f aca="false">ROUND((G202*I202)-K202-L202-M202,2)</f>
        <v>288.64</v>
      </c>
      <c r="O202" s="14" t="n">
        <v>288.64</v>
      </c>
      <c r="P202" s="11" t="n">
        <f aca="false">ROUND(IF(D202=0,IF((N202-E202-O202)&gt;0,(N202-E202-O202),0),IF((D202+N202-O202)&gt;0,(D202+N202-O202),0)),2)</f>
        <v>288.64</v>
      </c>
      <c r="Q202" s="11" t="n">
        <f aca="false">ROUND(IF(E202=0,IF((D202+N202-O202)&lt;0,ABS(D202+N202-O202),0),IF((N202-E202-O202)&lt;0,ABS(N202-E202-O202),0)),2)</f>
        <v>0</v>
      </c>
    </row>
    <row r="203" customFormat="false" ht="15" hidden="false" customHeight="true" outlineLevel="0" collapsed="false">
      <c r="A203" s="12" t="s">
        <v>605</v>
      </c>
      <c r="B203" s="8" t="s">
        <v>606</v>
      </c>
      <c r="C203" s="12" t="s">
        <v>607</v>
      </c>
      <c r="D203" s="9" t="n">
        <v>287.82</v>
      </c>
      <c r="E203" s="9" t="n">
        <v>0</v>
      </c>
      <c r="F203" s="13" t="n">
        <v>0</v>
      </c>
      <c r="G203" s="13" t="n">
        <v>70.2</v>
      </c>
      <c r="H203" s="13" t="n">
        <v>0</v>
      </c>
      <c r="I203" s="13" t="n">
        <f aca="false">W$1</f>
        <v>4.1</v>
      </c>
      <c r="J203" s="14" t="n">
        <f aca="false">ROUND(G203*I203,2)</f>
        <v>287.82</v>
      </c>
      <c r="K203" s="14"/>
      <c r="L203" s="14"/>
      <c r="M203" s="14"/>
      <c r="N203" s="14" t="n">
        <f aca="false">ROUND((G203*I203)-K203-L203-M203,2)</f>
        <v>287.82</v>
      </c>
      <c r="O203" s="14" t="n">
        <v>287.82</v>
      </c>
      <c r="P203" s="11" t="n">
        <f aca="false">ROUND(IF(D203=0,IF((N203-E203-O203)&gt;0,(N203-E203-O203),0),IF((D203+N203-O203)&gt;0,(D203+N203-O203),0)),2)</f>
        <v>287.82</v>
      </c>
      <c r="Q203" s="11" t="n">
        <f aca="false">ROUND(IF(E203=0,IF((D203+N203-O203)&lt;0,ABS(D203+N203-O203),0),IF((N203-E203-O203)&lt;0,ABS(N203-E203-O203),0)),2)</f>
        <v>0</v>
      </c>
    </row>
    <row r="204" customFormat="false" ht="15" hidden="false" customHeight="true" outlineLevel="0" collapsed="false">
      <c r="A204" s="12" t="s">
        <v>608</v>
      </c>
      <c r="B204" s="8" t="s">
        <v>609</v>
      </c>
      <c r="C204" s="12" t="s">
        <v>610</v>
      </c>
      <c r="D204" s="9" t="n">
        <v>9060.27</v>
      </c>
      <c r="E204" s="9" t="n">
        <v>0</v>
      </c>
      <c r="F204" s="13" t="n">
        <v>0</v>
      </c>
      <c r="G204" s="13" t="n">
        <v>49.94</v>
      </c>
      <c r="H204" s="13" t="n">
        <v>0</v>
      </c>
      <c r="I204" s="13" t="n">
        <f aca="false">W$1</f>
        <v>4.1</v>
      </c>
      <c r="J204" s="14" t="n">
        <f aca="false">ROUND(G204*I204,2)</f>
        <v>204.75</v>
      </c>
      <c r="K204" s="14"/>
      <c r="L204" s="14"/>
      <c r="M204" s="14"/>
      <c r="N204" s="14" t="n">
        <f aca="false">ROUND((G204*I204)-K204-L204-M204,2)</f>
        <v>204.75</v>
      </c>
      <c r="O204" s="14"/>
      <c r="P204" s="11" t="n">
        <f aca="false">ROUND(IF(D204=0,IF((N204-E204-O204)&gt;0,(N204-E204-O204),0),IF((D204+N204-O204)&gt;0,(D204+N204-O204),0)),2)</f>
        <v>9265.02</v>
      </c>
      <c r="Q204" s="11" t="n">
        <f aca="false">ROUND(IF(E204=0,IF((D204+N204-O204)&lt;0,ABS(D204+N204-O204),0),IF((N204-E204-O204)&lt;0,ABS(N204-E204-O204),0)),2)</f>
        <v>0</v>
      </c>
    </row>
    <row r="205" customFormat="false" ht="15" hidden="false" customHeight="true" outlineLevel="0" collapsed="false">
      <c r="A205" s="12" t="s">
        <v>611</v>
      </c>
      <c r="B205" s="8" t="s">
        <v>612</v>
      </c>
      <c r="C205" s="12" t="s">
        <v>613</v>
      </c>
      <c r="D205" s="9" t="n">
        <v>9957.2</v>
      </c>
      <c r="E205" s="9" t="n">
        <v>0</v>
      </c>
      <c r="F205" s="13" t="n">
        <v>0</v>
      </c>
      <c r="G205" s="13" t="n">
        <v>62.3</v>
      </c>
      <c r="H205" s="13" t="n">
        <v>0</v>
      </c>
      <c r="I205" s="13" t="n">
        <f aca="false">W$1</f>
        <v>4.1</v>
      </c>
      <c r="J205" s="14" t="n">
        <f aca="false">ROUND(G205*I205,2)</f>
        <v>255.43</v>
      </c>
      <c r="K205" s="14"/>
      <c r="L205" s="14"/>
      <c r="M205" s="14"/>
      <c r="N205" s="14" t="n">
        <f aca="false">ROUND((G205*I205)-K205-L205-M205,2)</f>
        <v>255.43</v>
      </c>
      <c r="O205" s="14"/>
      <c r="P205" s="11" t="n">
        <f aca="false">ROUND(IF(D205=0,IF((N205-E205-O205)&gt;0,(N205-E205-O205),0),IF((D205+N205-O205)&gt;0,(D205+N205-O205),0)),2)</f>
        <v>10212.63</v>
      </c>
      <c r="Q205" s="11" t="n">
        <f aca="false">ROUND(IF(E205=0,IF((D205+N205-O205)&lt;0,ABS(D205+N205-O205),0),IF((N205-E205-O205)&lt;0,ABS(N205-E205-O205),0)),2)</f>
        <v>0</v>
      </c>
    </row>
    <row r="206" customFormat="false" ht="15" hidden="false" customHeight="true" outlineLevel="0" collapsed="false">
      <c r="A206" s="12" t="s">
        <v>614</v>
      </c>
      <c r="B206" s="8" t="s">
        <v>615</v>
      </c>
      <c r="C206" s="12" t="s">
        <v>616</v>
      </c>
      <c r="D206" s="9" t="n">
        <v>0</v>
      </c>
      <c r="E206" s="9" t="n">
        <v>277.2</v>
      </c>
      <c r="F206" s="13" t="n">
        <v>0</v>
      </c>
      <c r="G206" s="13" t="n">
        <v>67.61</v>
      </c>
      <c r="H206" s="13" t="n">
        <v>0</v>
      </c>
      <c r="I206" s="13" t="n">
        <f aca="false">W$1</f>
        <v>4.1</v>
      </c>
      <c r="J206" s="14" t="n">
        <f aca="false">ROUND(G206*I206,2)</f>
        <v>277.2</v>
      </c>
      <c r="K206" s="14"/>
      <c r="L206" s="14"/>
      <c r="M206" s="14"/>
      <c r="N206" s="14" t="n">
        <f aca="false">ROUND((G206*I206)-K206-L206-M206,2)</f>
        <v>277.2</v>
      </c>
      <c r="O206" s="14"/>
      <c r="P206" s="11" t="n">
        <f aca="false">ROUND(IF(D206=0,IF((N206-E206-O206)&gt;0,(N206-E206-O206),0),IF((D206+N206-O206)&gt;0,(D206+N206-O206),0)),2)</f>
        <v>0</v>
      </c>
      <c r="Q206" s="11" t="n">
        <f aca="false">ROUND(IF(E206=0,IF((D206+N206-O206)&lt;0,ABS(D206+N206-O206),0),IF((N206-E206-O206)&lt;0,ABS(N206-E206-O206),0)),2)</f>
        <v>0</v>
      </c>
    </row>
    <row r="207" customFormat="false" ht="15" hidden="false" customHeight="true" outlineLevel="0" collapsed="false">
      <c r="A207" s="12" t="s">
        <v>617</v>
      </c>
      <c r="B207" s="8" t="s">
        <v>618</v>
      </c>
      <c r="C207" s="12" t="s">
        <v>619</v>
      </c>
      <c r="D207" s="9" t="n">
        <v>12305.9</v>
      </c>
      <c r="E207" s="9" t="n">
        <v>0</v>
      </c>
      <c r="F207" s="13" t="n">
        <v>0</v>
      </c>
      <c r="G207" s="13" t="n">
        <v>70.38</v>
      </c>
      <c r="H207" s="13" t="n">
        <v>0</v>
      </c>
      <c r="I207" s="13" t="n">
        <f aca="false">W$1</f>
        <v>4.1</v>
      </c>
      <c r="J207" s="14" t="n">
        <f aca="false">ROUND(G207*I207,2)</f>
        <v>288.56</v>
      </c>
      <c r="K207" s="14"/>
      <c r="L207" s="14"/>
      <c r="M207" s="14"/>
      <c r="N207" s="14" t="n">
        <f aca="false">ROUND((G207*I207)-K207-L207-M207,2)</f>
        <v>288.56</v>
      </c>
      <c r="O207" s="14"/>
      <c r="P207" s="11" t="n">
        <f aca="false">ROUND(IF(D207=0,IF((N207-E207-O207)&gt;0,(N207-E207-O207),0),IF((D207+N207-O207)&gt;0,(D207+N207-O207),0)),2)</f>
        <v>12594.46</v>
      </c>
      <c r="Q207" s="11" t="n">
        <f aca="false">ROUND(IF(E207=0,IF((D207+N207-O207)&lt;0,ABS(D207+N207-O207),0),IF((N207-E207-O207)&lt;0,ABS(N207-E207-O207),0)),2)</f>
        <v>0</v>
      </c>
    </row>
    <row r="208" customFormat="false" ht="15" hidden="false" customHeight="true" outlineLevel="0" collapsed="false">
      <c r="A208" s="12" t="s">
        <v>620</v>
      </c>
      <c r="B208" s="8" t="s">
        <v>621</v>
      </c>
      <c r="C208" s="12" t="s">
        <v>622</v>
      </c>
      <c r="D208" s="9" t="n">
        <v>8831.9</v>
      </c>
      <c r="E208" s="9" t="n">
        <v>0</v>
      </c>
      <c r="F208" s="13" t="n">
        <v>0</v>
      </c>
      <c r="G208" s="13" t="n">
        <v>49.88</v>
      </c>
      <c r="H208" s="13" t="n">
        <v>0</v>
      </c>
      <c r="I208" s="13" t="n">
        <f aca="false">W$1</f>
        <v>4.1</v>
      </c>
      <c r="J208" s="14" t="n">
        <f aca="false">ROUND(G208*I208,2)</f>
        <v>204.51</v>
      </c>
      <c r="K208" s="14"/>
      <c r="L208" s="14"/>
      <c r="M208" s="14"/>
      <c r="N208" s="14" t="n">
        <f aca="false">ROUND((G208*I208)-K208-L208-M208,2)</f>
        <v>204.51</v>
      </c>
      <c r="O208" s="14"/>
      <c r="P208" s="11" t="n">
        <f aca="false">ROUND(IF(D208=0,IF((N208-E208-O208)&gt;0,(N208-E208-O208),0),IF((D208+N208-O208)&gt;0,(D208+N208-O208),0)),2)</f>
        <v>9036.41</v>
      </c>
      <c r="Q208" s="11" t="n">
        <f aca="false">ROUND(IF(E208=0,IF((D208+N208-O208)&lt;0,ABS(D208+N208-O208),0),IF((N208-E208-O208)&lt;0,ABS(N208-E208-O208),0)),2)</f>
        <v>0</v>
      </c>
    </row>
    <row r="209" customFormat="false" ht="15" hidden="false" customHeight="true" outlineLevel="0" collapsed="false">
      <c r="A209" s="12" t="s">
        <v>623</v>
      </c>
      <c r="B209" s="8" t="s">
        <v>624</v>
      </c>
      <c r="C209" s="12" t="s">
        <v>625</v>
      </c>
      <c r="D209" s="9" t="n">
        <v>10123.32</v>
      </c>
      <c r="E209" s="9" t="n">
        <v>0</v>
      </c>
      <c r="F209" s="13" t="n">
        <v>0</v>
      </c>
      <c r="G209" s="13" t="n">
        <v>62.02</v>
      </c>
      <c r="H209" s="13" t="n">
        <v>0</v>
      </c>
      <c r="I209" s="13" t="n">
        <f aca="false">W$1</f>
        <v>4.1</v>
      </c>
      <c r="J209" s="14" t="n">
        <f aca="false">ROUND(G209*I209,2)</f>
        <v>254.28</v>
      </c>
      <c r="K209" s="14"/>
      <c r="L209" s="14"/>
      <c r="M209" s="14"/>
      <c r="N209" s="14" t="n">
        <f aca="false">ROUND((G209*I209)-K209-L209-M209,2)</f>
        <v>254.28</v>
      </c>
      <c r="O209" s="14"/>
      <c r="P209" s="11" t="n">
        <f aca="false">ROUND(IF(D209=0,IF((N209-E209-O209)&gt;0,(N209-E209-O209),0),IF((D209+N209-O209)&gt;0,(D209+N209-O209),0)),2)</f>
        <v>10377.6</v>
      </c>
      <c r="Q209" s="11" t="n">
        <f aca="false">ROUND(IF(E209=0,IF((D209+N209-O209)&lt;0,ABS(D209+N209-O209),0),IF((N209-E209-O209)&lt;0,ABS(N209-E209-O209),0)),2)</f>
        <v>0</v>
      </c>
    </row>
    <row r="210" customFormat="false" ht="15" hidden="false" customHeight="true" outlineLevel="0" collapsed="false">
      <c r="A210" s="12" t="s">
        <v>626</v>
      </c>
      <c r="B210" s="8" t="s">
        <v>627</v>
      </c>
      <c r="C210" s="12" t="s">
        <v>628</v>
      </c>
      <c r="D210" s="9" t="n">
        <v>3125.92</v>
      </c>
      <c r="E210" s="9" t="n">
        <v>0</v>
      </c>
      <c r="F210" s="13" t="n">
        <v>0</v>
      </c>
      <c r="G210" s="13" t="n">
        <v>67.6</v>
      </c>
      <c r="H210" s="13" t="n">
        <v>0</v>
      </c>
      <c r="I210" s="13" t="n">
        <f aca="false">W$1</f>
        <v>4.1</v>
      </c>
      <c r="J210" s="14" t="n">
        <f aca="false">ROUND(G210*I210,2)</f>
        <v>277.16</v>
      </c>
      <c r="K210" s="14"/>
      <c r="L210" s="14"/>
      <c r="M210" s="14"/>
      <c r="N210" s="14" t="n">
        <f aca="false">ROUND((G210*I210)-K210-L210-M210,2)</f>
        <v>277.16</v>
      </c>
      <c r="O210" s="14"/>
      <c r="P210" s="11" t="n">
        <f aca="false">ROUND(IF(D210=0,IF((N210-E210-O210)&gt;0,(N210-E210-O210),0),IF((D210+N210-O210)&gt;0,(D210+N210-O210),0)),2)</f>
        <v>3403.08</v>
      </c>
      <c r="Q210" s="11" t="n">
        <f aca="false">ROUND(IF(E210=0,IF((D210+N210-O210)&lt;0,ABS(D210+N210-O210),0),IF((N210-E210-O210)&lt;0,ABS(N210-E210-O210),0)),2)</f>
        <v>0</v>
      </c>
    </row>
    <row r="211" customFormat="false" ht="15" hidden="false" customHeight="true" outlineLevel="0" collapsed="false">
      <c r="A211" s="12" t="s">
        <v>629</v>
      </c>
      <c r="B211" s="8" t="s">
        <v>630</v>
      </c>
      <c r="C211" s="12" t="s">
        <v>631</v>
      </c>
      <c r="D211" s="9" t="n">
        <v>9858.56</v>
      </c>
      <c r="E211" s="9" t="n">
        <v>0</v>
      </c>
      <c r="F211" s="13" t="n">
        <v>0</v>
      </c>
      <c r="G211" s="13" t="n">
        <v>70.42</v>
      </c>
      <c r="H211" s="13" t="n">
        <v>0</v>
      </c>
      <c r="I211" s="13" t="n">
        <f aca="false">W$1</f>
        <v>4.1</v>
      </c>
      <c r="J211" s="14" t="n">
        <f aca="false">ROUND(G211*I211,2)</f>
        <v>288.72</v>
      </c>
      <c r="K211" s="14"/>
      <c r="L211" s="14"/>
      <c r="M211" s="14"/>
      <c r="N211" s="14" t="n">
        <f aca="false">ROUND((G211*I211)-K211-L211-M211,2)</f>
        <v>288.72</v>
      </c>
      <c r="O211" s="14"/>
      <c r="P211" s="11" t="n">
        <f aca="false">ROUND(IF(D211=0,IF((N211-E211-O211)&gt;0,(N211-E211-O211),0),IF((D211+N211-O211)&gt;0,(D211+N211-O211),0)),2)</f>
        <v>10147.28</v>
      </c>
      <c r="Q211" s="11" t="n">
        <f aca="false">ROUND(IF(E211=0,IF((D211+N211-O211)&lt;0,ABS(D211+N211-O211),0),IF((N211-E211-O211)&lt;0,ABS(N211-E211-O211),0)),2)</f>
        <v>0</v>
      </c>
    </row>
    <row r="212" customFormat="false" ht="15" hidden="false" customHeight="true" outlineLevel="0" collapsed="false">
      <c r="A212" s="12" t="s">
        <v>632</v>
      </c>
      <c r="B212" s="8" t="s">
        <v>633</v>
      </c>
      <c r="C212" s="12" t="s">
        <v>634</v>
      </c>
      <c r="D212" s="9" t="n">
        <v>181.28</v>
      </c>
      <c r="E212" s="9" t="n">
        <v>0</v>
      </c>
      <c r="F212" s="13" t="n">
        <v>0</v>
      </c>
      <c r="G212" s="13" t="n">
        <v>49.8</v>
      </c>
      <c r="H212" s="13" t="n">
        <v>0</v>
      </c>
      <c r="I212" s="13" t="n">
        <f aca="false">W$1</f>
        <v>4.1</v>
      </c>
      <c r="J212" s="14" t="n">
        <f aca="false">ROUND(G212*I212,2)</f>
        <v>204.18</v>
      </c>
      <c r="K212" s="14"/>
      <c r="L212" s="14"/>
      <c r="M212" s="14"/>
      <c r="N212" s="14" t="n">
        <f aca="false">ROUND((G212*I212)-K212-L212-M212,2)</f>
        <v>204.18</v>
      </c>
      <c r="O212" s="14" t="n">
        <v>181.28</v>
      </c>
      <c r="P212" s="11" t="n">
        <f aca="false">ROUND(IF(D212=0,IF((N212-E212-O212)&gt;0,(N212-E212-O212),0),IF((D212+N212-O212)&gt;0,(D212+N212-O212),0)),2)</f>
        <v>204.18</v>
      </c>
      <c r="Q212" s="11" t="n">
        <f aca="false">ROUND(IF(E212=0,IF((D212+N212-O212)&lt;0,ABS(D212+N212-O212),0),IF((N212-E212-O212)&lt;0,ABS(N212-E212-O212),0)),2)</f>
        <v>0</v>
      </c>
    </row>
    <row r="213" customFormat="false" ht="15" hidden="false" customHeight="true" outlineLevel="0" collapsed="false">
      <c r="A213" s="12" t="s">
        <v>635</v>
      </c>
      <c r="B213" s="8" t="s">
        <v>636</v>
      </c>
      <c r="C213" s="12" t="s">
        <v>637</v>
      </c>
      <c r="D213" s="9" t="n">
        <v>1230.12</v>
      </c>
      <c r="E213" s="9" t="n">
        <v>0</v>
      </c>
      <c r="F213" s="13" t="n">
        <v>0</v>
      </c>
      <c r="G213" s="13" t="n">
        <v>62.7</v>
      </c>
      <c r="H213" s="13" t="n">
        <v>0</v>
      </c>
      <c r="I213" s="13" t="n">
        <f aca="false">W$1</f>
        <v>4.1</v>
      </c>
      <c r="J213" s="14" t="n">
        <f aca="false">ROUND(G213*I213,2)</f>
        <v>257.07</v>
      </c>
      <c r="K213" s="14"/>
      <c r="L213" s="14"/>
      <c r="M213" s="14"/>
      <c r="N213" s="14" t="n">
        <f aca="false">ROUND((G213*I213)-K213-L213-M213,2)</f>
        <v>257.07</v>
      </c>
      <c r="O213" s="14"/>
      <c r="P213" s="11" t="n">
        <f aca="false">ROUND(IF(D213=0,IF((N213-E213-O213)&gt;0,(N213-E213-O213),0),IF((D213+N213-O213)&gt;0,(D213+N213-O213),0)),2)</f>
        <v>1487.19</v>
      </c>
      <c r="Q213" s="11" t="n">
        <f aca="false">ROUND(IF(E213=0,IF((D213+N213-O213)&lt;0,ABS(D213+N213-O213),0),IF((N213-E213-O213)&lt;0,ABS(N213-E213-O213),0)),2)</f>
        <v>0</v>
      </c>
    </row>
    <row r="214" customFormat="false" ht="15" hidden="false" customHeight="true" outlineLevel="0" collapsed="false">
      <c r="A214" s="12" t="s">
        <v>638</v>
      </c>
      <c r="B214" s="8" t="s">
        <v>639</v>
      </c>
      <c r="C214" s="12" t="s">
        <v>640</v>
      </c>
      <c r="D214" s="9" t="n">
        <v>278.8</v>
      </c>
      <c r="E214" s="9" t="n">
        <v>0</v>
      </c>
      <c r="F214" s="13" t="n">
        <v>0</v>
      </c>
      <c r="G214" s="13" t="n">
        <v>68</v>
      </c>
      <c r="H214" s="13" t="n">
        <v>0</v>
      </c>
      <c r="I214" s="13" t="n">
        <f aca="false">W$1</f>
        <v>4.1</v>
      </c>
      <c r="J214" s="14" t="n">
        <f aca="false">ROUND(G214*I214,2)</f>
        <v>278.8</v>
      </c>
      <c r="K214" s="14"/>
      <c r="L214" s="14"/>
      <c r="M214" s="14"/>
      <c r="N214" s="14" t="n">
        <f aca="false">ROUND((G214*I214)-K214-L214-M214,2)</f>
        <v>278.8</v>
      </c>
      <c r="O214" s="14" t="n">
        <v>278.8</v>
      </c>
      <c r="P214" s="11" t="n">
        <f aca="false">ROUND(IF(D214=0,IF((N214-E214-O214)&gt;0,(N214-E214-O214),0),IF((D214+N214-O214)&gt;0,(D214+N214-O214),0)),2)</f>
        <v>278.8</v>
      </c>
      <c r="Q214" s="11" t="n">
        <f aca="false">ROUND(IF(E214=0,IF((D214+N214-O214)&lt;0,ABS(D214+N214-O214),0),IF((N214-E214-O214)&lt;0,ABS(N214-E214-O214),0)),2)</f>
        <v>0</v>
      </c>
    </row>
    <row r="215" customFormat="false" ht="15" hidden="false" customHeight="true" outlineLevel="0" collapsed="false">
      <c r="A215" s="12" t="s">
        <v>641</v>
      </c>
      <c r="B215" s="8" t="s">
        <v>642</v>
      </c>
      <c r="C215" s="12" t="s">
        <v>643</v>
      </c>
      <c r="D215" s="9" t="n">
        <v>0</v>
      </c>
      <c r="E215" s="9" t="n">
        <v>14.18</v>
      </c>
      <c r="F215" s="13" t="n">
        <v>0</v>
      </c>
      <c r="G215" s="13" t="n">
        <v>72.1</v>
      </c>
      <c r="H215" s="13" t="n">
        <v>0</v>
      </c>
      <c r="I215" s="13" t="n">
        <f aca="false">W$1</f>
        <v>4.1</v>
      </c>
      <c r="J215" s="14" t="n">
        <f aca="false">ROUND(G215*I215,2)</f>
        <v>295.61</v>
      </c>
      <c r="K215" s="14"/>
      <c r="L215" s="14"/>
      <c r="M215" s="14"/>
      <c r="N215" s="14" t="n">
        <f aca="false">ROUND((G215*I215)-K215-L215-M215,2)</f>
        <v>295.61</v>
      </c>
      <c r="O215" s="14"/>
      <c r="P215" s="11" t="n">
        <f aca="false">ROUND(IF(D215=0,IF((N215-E215-O215)&gt;0,(N215-E215-O215),0),IF((D215+N215-O215)&gt;0,(D215+N215-O215),0)),2)</f>
        <v>281.43</v>
      </c>
      <c r="Q215" s="11" t="n">
        <f aca="false">ROUND(IF(E215=0,IF((D215+N215-O215)&lt;0,ABS(D215+N215-O215),0),IF((N215-E215-O215)&lt;0,ABS(N215-E215-O215),0)),2)</f>
        <v>0</v>
      </c>
    </row>
    <row r="216" customFormat="false" ht="15" hidden="false" customHeight="true" outlineLevel="0" collapsed="false">
      <c r="A216" s="12" t="s">
        <v>644</v>
      </c>
      <c r="B216" s="8" t="s">
        <v>645</v>
      </c>
      <c r="C216" s="12" t="s">
        <v>646</v>
      </c>
      <c r="D216" s="9" t="n">
        <v>203.85</v>
      </c>
      <c r="E216" s="9" t="n">
        <v>0</v>
      </c>
      <c r="F216" s="13" t="n">
        <v>0</v>
      </c>
      <c r="G216" s="13" t="n">
        <v>49.72</v>
      </c>
      <c r="H216" s="13" t="n">
        <v>0</v>
      </c>
      <c r="I216" s="13" t="n">
        <f aca="false">W$1</f>
        <v>4.1</v>
      </c>
      <c r="J216" s="14" t="n">
        <f aca="false">ROUND(G216*I216,2)</f>
        <v>203.85</v>
      </c>
      <c r="K216" s="14"/>
      <c r="L216" s="14"/>
      <c r="M216" s="14"/>
      <c r="N216" s="14" t="n">
        <f aca="false">ROUND((G216*I216)-K216-L216-M216,2)</f>
        <v>203.85</v>
      </c>
      <c r="O216" s="14" t="n">
        <v>203.85</v>
      </c>
      <c r="P216" s="11" t="n">
        <f aca="false">ROUND(IF(D216=0,IF((N216-E216-O216)&gt;0,(N216-E216-O216),0),IF((D216+N216-O216)&gt;0,(D216+N216-O216),0)),2)</f>
        <v>203.85</v>
      </c>
      <c r="Q216" s="11" t="n">
        <f aca="false">ROUND(IF(E216=0,IF((D216+N216-O216)&lt;0,ABS(D216+N216-O216),0),IF((N216-E216-O216)&lt;0,ABS(N216-E216-O216),0)),2)</f>
        <v>0</v>
      </c>
    </row>
    <row r="217" customFormat="false" ht="15" hidden="false" customHeight="true" outlineLevel="0" collapsed="false">
      <c r="A217" s="12" t="s">
        <v>647</v>
      </c>
      <c r="B217" s="8" t="s">
        <v>648</v>
      </c>
      <c r="C217" s="12" t="s">
        <v>649</v>
      </c>
      <c r="D217" s="9" t="n">
        <v>0</v>
      </c>
      <c r="E217" s="9" t="n">
        <v>284.95</v>
      </c>
      <c r="F217" s="13" t="n">
        <v>0</v>
      </c>
      <c r="G217" s="13" t="n">
        <v>62.39</v>
      </c>
      <c r="H217" s="13" t="n">
        <v>0</v>
      </c>
      <c r="I217" s="13" t="n">
        <f aca="false">W$1</f>
        <v>4.1</v>
      </c>
      <c r="J217" s="14" t="n">
        <f aca="false">ROUND(G217*I217,2)</f>
        <v>255.8</v>
      </c>
      <c r="K217" s="14"/>
      <c r="L217" s="14"/>
      <c r="M217" s="14"/>
      <c r="N217" s="14" t="n">
        <f aca="false">ROUND((G217*I217)-K217-L217-M217,2)</f>
        <v>255.8</v>
      </c>
      <c r="O217" s="14" t="n">
        <v>256</v>
      </c>
      <c r="P217" s="11" t="n">
        <f aca="false">ROUND(IF(D217=0,IF((N217-E217-O217)&gt;0,(N217-E217-O217),0),IF((D217+N217-O217)&gt;0,(D217+N217-O217),0)),2)</f>
        <v>0</v>
      </c>
      <c r="Q217" s="11" t="n">
        <f aca="false">ROUND(IF(E217=0,IF((D217+N217-O217)&lt;0,ABS(D217+N217-O217),0),IF((N217-E217-O217)&lt;0,ABS(N217-E217-O217),0)),2)</f>
        <v>285.15</v>
      </c>
    </row>
    <row r="218" customFormat="false" ht="15" hidden="false" customHeight="true" outlineLevel="0" collapsed="false">
      <c r="A218" s="12" t="s">
        <v>650</v>
      </c>
      <c r="B218" s="8" t="s">
        <v>651</v>
      </c>
      <c r="C218" s="12" t="s">
        <v>652</v>
      </c>
      <c r="D218" s="9" t="n">
        <v>12506.13</v>
      </c>
      <c r="E218" s="9" t="n">
        <v>0</v>
      </c>
      <c r="F218" s="13" t="n">
        <v>0</v>
      </c>
      <c r="G218" s="13" t="n">
        <v>67.47</v>
      </c>
      <c r="H218" s="13" t="n">
        <v>0</v>
      </c>
      <c r="I218" s="13" t="n">
        <f aca="false">W$1</f>
        <v>4.1</v>
      </c>
      <c r="J218" s="14" t="n">
        <f aca="false">ROUND(G218*I218,2)</f>
        <v>276.63</v>
      </c>
      <c r="K218" s="14"/>
      <c r="L218" s="14"/>
      <c r="M218" s="14"/>
      <c r="N218" s="14" t="n">
        <f aca="false">ROUND((G218*I218)-K218-L218-M218,2)</f>
        <v>276.63</v>
      </c>
      <c r="O218" s="14"/>
      <c r="P218" s="11" t="n">
        <f aca="false">ROUND(IF(D218=0,IF((N218-E218-O218)&gt;0,(N218-E218-O218),0),IF((D218+N218-O218)&gt;0,(D218+N218-O218),0)),2)</f>
        <v>12782.76</v>
      </c>
      <c r="Q218" s="11" t="n">
        <f aca="false">ROUND(IF(E218=0,IF((D218+N218-O218)&lt;0,ABS(D218+N218-O218),0),IF((N218-E218-O218)&lt;0,ABS(N218-E218-O218),0)),2)</f>
        <v>0</v>
      </c>
    </row>
    <row r="219" customFormat="false" ht="15" hidden="false" customHeight="true" outlineLevel="0" collapsed="false">
      <c r="A219" s="12" t="s">
        <v>653</v>
      </c>
      <c r="B219" s="8" t="s">
        <v>654</v>
      </c>
      <c r="C219" s="12" t="s">
        <v>655</v>
      </c>
      <c r="D219" s="9" t="n">
        <v>288.68</v>
      </c>
      <c r="E219" s="9" t="n">
        <v>0</v>
      </c>
      <c r="F219" s="13" t="n">
        <v>0</v>
      </c>
      <c r="G219" s="13" t="n">
        <v>70.41</v>
      </c>
      <c r="H219" s="13" t="n">
        <v>0</v>
      </c>
      <c r="I219" s="13" t="n">
        <f aca="false">W$1</f>
        <v>4.1</v>
      </c>
      <c r="J219" s="14" t="n">
        <f aca="false">ROUND(G219*I219,2)</f>
        <v>288.68</v>
      </c>
      <c r="K219" s="14"/>
      <c r="L219" s="14"/>
      <c r="M219" s="14"/>
      <c r="N219" s="14" t="n">
        <f aca="false">ROUND((G219*I219)-K219-L219-M219,2)</f>
        <v>288.68</v>
      </c>
      <c r="O219" s="14" t="n">
        <v>288.68</v>
      </c>
      <c r="P219" s="11" t="n">
        <f aca="false">ROUND(IF(D219=0,IF((N219-E219-O219)&gt;0,(N219-E219-O219),0),IF((D219+N219-O219)&gt;0,(D219+N219-O219),0)),2)</f>
        <v>288.68</v>
      </c>
      <c r="Q219" s="11" t="n">
        <f aca="false">ROUND(IF(E219=0,IF((D219+N219-O219)&lt;0,ABS(D219+N219-O219),0),IF((N219-E219-O219)&lt;0,ABS(N219-E219-O219),0)),2)</f>
        <v>0</v>
      </c>
    </row>
    <row r="220" customFormat="false" ht="15" hidden="false" customHeight="true" outlineLevel="0" collapsed="false">
      <c r="A220" s="12" t="s">
        <v>656</v>
      </c>
      <c r="B220" s="8" t="s">
        <v>657</v>
      </c>
      <c r="C220" s="12" t="s">
        <v>658</v>
      </c>
      <c r="D220" s="9" t="n">
        <v>4044.46</v>
      </c>
      <c r="E220" s="9" t="n">
        <v>0</v>
      </c>
      <c r="F220" s="13" t="n">
        <v>0</v>
      </c>
      <c r="G220" s="13" t="n">
        <v>49.73</v>
      </c>
      <c r="H220" s="13" t="n">
        <v>0</v>
      </c>
      <c r="I220" s="13" t="n">
        <f aca="false">W$1</f>
        <v>4.1</v>
      </c>
      <c r="J220" s="14" t="n">
        <f aca="false">ROUND(G220*I220,2)</f>
        <v>203.89</v>
      </c>
      <c r="K220" s="14"/>
      <c r="L220" s="14"/>
      <c r="M220" s="14"/>
      <c r="N220" s="14" t="n">
        <f aca="false">ROUND((G220*I220)-K220-L220-M220,2)</f>
        <v>203.89</v>
      </c>
      <c r="O220" s="14"/>
      <c r="P220" s="11" t="n">
        <f aca="false">ROUND(IF(D220=0,IF((N220-E220-O220)&gt;0,(N220-E220-O220),0),IF((D220+N220-O220)&gt;0,(D220+N220-O220),0)),2)</f>
        <v>4248.35</v>
      </c>
      <c r="Q220" s="11" t="n">
        <f aca="false">ROUND(IF(E220=0,IF((D220+N220-O220)&lt;0,ABS(D220+N220-O220),0),IF((N220-E220-O220)&lt;0,ABS(N220-E220-O220),0)),2)</f>
        <v>0</v>
      </c>
    </row>
    <row r="221" customFormat="false" ht="15.75" hidden="false" customHeight="true" outlineLevel="0" collapsed="false">
      <c r="A221" s="12" t="s">
        <v>659</v>
      </c>
      <c r="B221" s="8" t="s">
        <v>660</v>
      </c>
      <c r="C221" s="12" t="s">
        <v>661</v>
      </c>
      <c r="D221" s="9" t="n">
        <v>9524.8</v>
      </c>
      <c r="E221" s="9" t="n">
        <v>0</v>
      </c>
      <c r="F221" s="13" t="n">
        <v>0</v>
      </c>
      <c r="G221" s="13" t="n">
        <v>62</v>
      </c>
      <c r="H221" s="13" t="n">
        <v>0</v>
      </c>
      <c r="I221" s="13" t="n">
        <f aca="false">W$1</f>
        <v>4.1</v>
      </c>
      <c r="J221" s="14" t="n">
        <f aca="false">ROUND(G221*I221,2)</f>
        <v>254.2</v>
      </c>
      <c r="K221" s="14"/>
      <c r="L221" s="14"/>
      <c r="M221" s="14"/>
      <c r="N221" s="14" t="n">
        <f aca="false">ROUND((G221*I221)-K221-L221-M221,2)</f>
        <v>254.2</v>
      </c>
      <c r="O221" s="14" t="n">
        <v>2000</v>
      </c>
      <c r="P221" s="11" t="n">
        <f aca="false">ROUND(IF(D221=0,IF((N221-E221-O221)&gt;0,(N221-E221-O221),0),IF((D221+N221-O221)&gt;0,(D221+N221-O221),0)),2)</f>
        <v>7779</v>
      </c>
      <c r="Q221" s="11" t="n">
        <f aca="false">ROUND(IF(E221=0,IF((D221+N221-O221)&lt;0,ABS(D221+N221-O221),0),IF((N221-E221-O221)&lt;0,ABS(N221-E221-O221),0)),2)</f>
        <v>0</v>
      </c>
    </row>
    <row r="222" customFormat="false" ht="15" hidden="false" customHeight="true" outlineLevel="0" collapsed="false">
      <c r="A222" s="15"/>
      <c r="B222" s="15"/>
      <c r="C222" s="15"/>
      <c r="D222" s="16" t="n">
        <f aca="false">SUM(D7:D221)</f>
        <v>792455.14</v>
      </c>
      <c r="E222" s="16" t="n">
        <f aca="false">SUM(E7:E221)</f>
        <v>5442.34</v>
      </c>
      <c r="F222" s="16"/>
      <c r="G222" s="16" t="n">
        <f aca="false">SUM(G7:G221)</f>
        <v>11652.42</v>
      </c>
      <c r="H222" s="16" t="n">
        <f aca="false">SUM(H7:H221)</f>
        <v>0</v>
      </c>
      <c r="I222" s="16"/>
      <c r="J222" s="16" t="n">
        <f aca="false">SUM(J7:J221)</f>
        <v>47774.99</v>
      </c>
      <c r="K222" s="16" t="n">
        <f aca="false">SUM(K7:K221)</f>
        <v>0</v>
      </c>
      <c r="L222" s="16" t="n">
        <f aca="false">SUM(L7:L221)</f>
        <v>0</v>
      </c>
      <c r="M222" s="16" t="n">
        <f aca="false">SUM(M7:M221)</f>
        <v>0</v>
      </c>
      <c r="N222" s="16" t="n">
        <f aca="false">SUM(N7:N221)</f>
        <v>47774.99</v>
      </c>
      <c r="O222" s="16" t="n">
        <f aca="false">SUM(O7:O221)</f>
        <v>27782.91</v>
      </c>
      <c r="P222" s="16" t="n">
        <f aca="false">SUM(P7:P221)</f>
        <v>812245.35</v>
      </c>
      <c r="Q222" s="16" t="n">
        <f aca="false">SUM(Q7:Q221)</f>
        <v>5240.47</v>
      </c>
    </row>
    <row r="223" customFormat="false" ht="15.75" hidden="false" customHeight="true" outlineLevel="0" collapsed="false">
      <c r="A223" s="15"/>
      <c r="B223" s="15"/>
      <c r="C223" s="15"/>
      <c r="D223" s="16" t="n">
        <f aca="false">D222-E222</f>
        <v>787012.8</v>
      </c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 t="n">
        <f aca="false">P222-Q222</f>
        <v>807004.88</v>
      </c>
      <c r="Q223" s="16"/>
    </row>
    <row r="224" customFormat="false" ht="15" hidden="false" customHeight="false" outlineLevel="0" collapsed="false">
      <c r="U224" s="17"/>
    </row>
    <row r="225" customFormat="false" ht="15" hidden="false" customHeight="false" outlineLevel="0" collapsed="false">
      <c r="T225" s="18" t="n">
        <f aca="false">[1]січень!D116</f>
        <v>0</v>
      </c>
      <c r="U225" s="17"/>
    </row>
    <row r="226" customFormat="false" ht="15" hidden="false" customHeight="false" outlineLevel="0" collapsed="false">
      <c r="T226" s="17" t="n">
        <f aca="false">O222-T225</f>
        <v>27782.91</v>
      </c>
    </row>
    <row r="229" customFormat="false" ht="15" hidden="false" customHeight="false" outlineLevel="0" collapsed="false">
      <c r="D229" s="17"/>
    </row>
    <row r="230" customFormat="false" ht="15" hidden="false" customHeight="false" outlineLevel="0" collapsed="false">
      <c r="D230" s="17"/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printOptions headings="false" gridLines="false" gridLinesSet="true" horizontalCentered="true" verticalCentered="false"/>
  <pageMargins left="0" right="0" top="0.669444444444445" bottom="0.196527777777778" header="0.511811023622047" footer="0.511811023622047"/>
  <pageSetup paperSize="9" scale="9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27"/>
  <sheetViews>
    <sheetView showFormulas="false" showGridLines="true" showRowColHeaders="true" showZeros="false" rightToLeft="false" tabSelected="false" showOutlineSymbols="true" defaultGridColor="true" view="normal" topLeftCell="A200" colorId="64" zoomScale="90" zoomScaleNormal="90" zoomScalePageLayoutView="100" workbookViewId="0">
      <selection pane="topLeft" activeCell="A161" activeCellId="0" sqref="A16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76"/>
    <col collapsed="false" customWidth="true" hidden="false" outlineLevel="0" max="2" min="2" style="1" width="23.25"/>
    <col collapsed="false" customWidth="true" hidden="false" outlineLevel="0" max="3" min="3" style="1" width="7"/>
    <col collapsed="false" customWidth="true" hidden="false" outlineLevel="0" max="4" min="4" style="1" width="9.26"/>
    <col collapsed="false" customWidth="true" hidden="false" outlineLevel="0" max="6" min="6" style="1" width="5.37"/>
    <col collapsed="false" customWidth="true" hidden="false" outlineLevel="0" max="7" min="7" style="1" width="6.88"/>
    <col collapsed="false" customWidth="true" hidden="false" outlineLevel="0" max="8" min="8" style="1" width="5.63"/>
    <col collapsed="false" customWidth="true" hidden="false" outlineLevel="0" max="9" min="9" style="1" width="6.25"/>
    <col collapsed="false" customWidth="true" hidden="false" outlineLevel="0" max="10" min="10" style="1" width="9.12"/>
    <col collapsed="false" customWidth="true" hidden="false" outlineLevel="0" max="12" min="11" style="1" width="6.63"/>
    <col collapsed="false" customWidth="true" hidden="false" outlineLevel="0" max="13" min="13" style="1" width="7.25"/>
    <col collapsed="false" customWidth="true" hidden="false" outlineLevel="0" max="14" min="14" style="1" width="9.12"/>
    <col collapsed="false" customWidth="true" hidden="false" outlineLevel="0" max="15" min="15" style="1" width="9.63"/>
    <col collapsed="false" customWidth="true" hidden="false" outlineLevel="0" max="16" min="16" style="1" width="9.26"/>
    <col collapsed="false" customWidth="true" hidden="false" outlineLevel="0" max="17" min="17" style="1" width="9.12"/>
    <col collapsed="false" customWidth="true" hidden="false" outlineLevel="0" max="21" min="21" style="1" width="9.26"/>
    <col collapsed="false" customWidth="true" hidden="false" outlineLevel="0" max="22" min="22" style="1" width="12"/>
  </cols>
  <sheetData>
    <row r="1" customFormat="false" ht="15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2" t="s">
        <v>1</v>
      </c>
      <c r="O1" s="2"/>
      <c r="P1" s="2"/>
      <c r="Q1" s="2"/>
    </row>
    <row r="2" customFormat="false" ht="18" hidden="false" customHeight="true" outlineLevel="0" collapsed="false">
      <c r="A2" s="3"/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8.75" hidden="false" customHeight="true" outlineLevel="0" collapsed="false">
      <c r="A3" s="3"/>
      <c r="B3" s="4" t="s">
        <v>662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true" outlineLevel="0" collapsed="false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60" hidden="false" customHeight="true" outlineLevel="0" collapsed="false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7</v>
      </c>
      <c r="Q6" s="19" t="s">
        <v>8</v>
      </c>
    </row>
    <row r="7" customFormat="false" ht="15" hidden="false" customHeight="true" outlineLevel="0" collapsed="false">
      <c r="A7" s="12" t="s">
        <v>19</v>
      </c>
      <c r="B7" s="12" t="str">
        <f aca="false">січень!B7</f>
        <v>Бережний В.М.</v>
      </c>
      <c r="C7" s="12" t="s">
        <v>21</v>
      </c>
      <c r="D7" s="14" t="n">
        <f aca="false">січень!P7</f>
        <v>1086.62</v>
      </c>
      <c r="E7" s="14" t="n">
        <f aca="false">січень!Q7</f>
        <v>0</v>
      </c>
      <c r="F7" s="13" t="n">
        <f aca="false">січень!F7</f>
        <v>0</v>
      </c>
      <c r="G7" s="13" t="n">
        <f aca="false">січень!G7</f>
        <v>64.26</v>
      </c>
      <c r="H7" s="13" t="n">
        <f aca="false">січень!H7</f>
        <v>0</v>
      </c>
      <c r="I7" s="13" t="n">
        <f aca="false">січень!I7</f>
        <v>4.1</v>
      </c>
      <c r="J7" s="14" t="n">
        <f aca="false">ROUND(G7*I7,2)</f>
        <v>263.47</v>
      </c>
      <c r="K7" s="14"/>
      <c r="L7" s="14"/>
      <c r="M7" s="14"/>
      <c r="N7" s="14" t="n">
        <f aca="false">ROUND((G7*I7)-K7-L7-M7,2)</f>
        <v>263.47</v>
      </c>
      <c r="O7" s="14"/>
      <c r="P7" s="14" t="n">
        <f aca="false">ROUND(IF(D7=0,IF((N7-E7-O7)&gt;0,(N7-E7-O7),0),IF((D7+N7-O7)&gt;0,(D7+N7-O7),0)),2)</f>
        <v>1350.09</v>
      </c>
      <c r="Q7" s="14" t="n">
        <f aca="false">ROUND(IF(E7=0,IF((D7+N7-O7)&lt;0,ABS(D7+N7-O7),0),IF((N7-E7-O7)&lt;0,ABS(N7-E7-O7),0)),2)</f>
        <v>0</v>
      </c>
    </row>
    <row r="8" customFormat="false" ht="15" hidden="false" customHeight="true" outlineLevel="0" collapsed="false">
      <c r="A8" s="12" t="s">
        <v>22</v>
      </c>
      <c r="B8" s="12" t="str">
        <f aca="false">січень!B8</f>
        <v>Старикова Т.О.</v>
      </c>
      <c r="C8" s="12" t="s">
        <v>24</v>
      </c>
      <c r="D8" s="14" t="n">
        <f aca="false">січень!P8</f>
        <v>199.71</v>
      </c>
      <c r="E8" s="14" t="n">
        <f aca="false">січень!Q8</f>
        <v>0</v>
      </c>
      <c r="F8" s="13" t="n">
        <f aca="false">січень!F8</f>
        <v>0</v>
      </c>
      <c r="G8" s="13" t="n">
        <f aca="false">січень!G8</f>
        <v>48.71</v>
      </c>
      <c r="H8" s="13" t="n">
        <f aca="false">січень!H8</f>
        <v>0</v>
      </c>
      <c r="I8" s="13" t="n">
        <f aca="false">січень!I8</f>
        <v>4.1</v>
      </c>
      <c r="J8" s="14" t="n">
        <f aca="false">ROUND(G8*I8,2)</f>
        <v>199.71</v>
      </c>
      <c r="K8" s="14"/>
      <c r="L8" s="14"/>
      <c r="M8" s="14"/>
      <c r="N8" s="14" t="n">
        <f aca="false">ROUND((G8*I8)-K8-L8-M8,2)</f>
        <v>199.71</v>
      </c>
      <c r="O8" s="14"/>
      <c r="P8" s="14" t="n">
        <f aca="false">ROUND(IF(D8=0,IF((N8-E8-O8)&gt;0,(N8-E8-O8),0),IF((D8+N8-O8)&gt;0,(D8+N8-O8),0)),2)</f>
        <v>399.42</v>
      </c>
      <c r="Q8" s="14" t="n">
        <f aca="false">ROUND(IF(E8=0,IF((D8+N8-O8)&lt;0,ABS(D8+N8-O8),0),IF((N8-E8-O8)&lt;0,ABS(N8-E8-O8),0)),2)</f>
        <v>0</v>
      </c>
    </row>
    <row r="9" customFormat="false" ht="15" hidden="false" customHeight="true" outlineLevel="0" collapsed="false">
      <c r="A9" s="12" t="s">
        <v>25</v>
      </c>
      <c r="B9" s="12" t="str">
        <f aca="false">січень!B9</f>
        <v>Мазур Т.В.</v>
      </c>
      <c r="C9" s="12" t="s">
        <v>27</v>
      </c>
      <c r="D9" s="14" t="n">
        <f aca="false">січень!P9</f>
        <v>287</v>
      </c>
      <c r="E9" s="14" t="n">
        <f aca="false">січень!Q9</f>
        <v>0</v>
      </c>
      <c r="F9" s="13" t="n">
        <f aca="false">січень!F9</f>
        <v>0</v>
      </c>
      <c r="G9" s="13" t="n">
        <f aca="false">січень!G9</f>
        <v>35</v>
      </c>
      <c r="H9" s="13" t="n">
        <f aca="false">січень!H9</f>
        <v>0</v>
      </c>
      <c r="I9" s="13" t="n">
        <f aca="false">січень!I9</f>
        <v>4.1</v>
      </c>
      <c r="J9" s="14" t="n">
        <f aca="false">ROUND(G9*I9,2)</f>
        <v>143.5</v>
      </c>
      <c r="K9" s="14"/>
      <c r="L9" s="14"/>
      <c r="M9" s="14"/>
      <c r="N9" s="14" t="n">
        <f aca="false">ROUND((G9*I9)-K9-L9-M9,2)</f>
        <v>143.5</v>
      </c>
      <c r="O9" s="14"/>
      <c r="P9" s="14" t="n">
        <f aca="false">ROUND(IF(D9=0,IF((N9-E9-O9)&gt;0,(N9-E9-O9),0),IF((D9+N9-O9)&gt;0,(D9+N9-O9),0)),2)</f>
        <v>430.5</v>
      </c>
      <c r="Q9" s="14" t="n">
        <f aca="false">ROUND(IF(E9=0,IF((D9+N9-O9)&lt;0,ABS(D9+N9-O9),0),IF((N9-E9-O9)&lt;0,ABS(N9-E9-O9),0)),2)</f>
        <v>0</v>
      </c>
    </row>
    <row r="10" customFormat="false" ht="15" hidden="false" customHeight="true" outlineLevel="0" collapsed="false">
      <c r="A10" s="12" t="s">
        <v>28</v>
      </c>
      <c r="B10" s="12" t="str">
        <f aca="false">січень!B10</f>
        <v>Сокол О.В.</v>
      </c>
      <c r="C10" s="12" t="s">
        <v>30</v>
      </c>
      <c r="D10" s="14" t="n">
        <f aca="false">січень!P10</f>
        <v>0</v>
      </c>
      <c r="E10" s="14" t="n">
        <f aca="false">січень!Q10</f>
        <v>0</v>
      </c>
      <c r="F10" s="13" t="n">
        <f aca="false">січень!F10</f>
        <v>0</v>
      </c>
      <c r="G10" s="13" t="n">
        <f aca="false">січень!G10</f>
        <v>61.6</v>
      </c>
      <c r="H10" s="13" t="n">
        <f aca="false">січень!H10</f>
        <v>0</v>
      </c>
      <c r="I10" s="13" t="n">
        <f aca="false">січень!I10</f>
        <v>4.1</v>
      </c>
      <c r="J10" s="14" t="n">
        <f aca="false">ROUND(G10*I10,2)</f>
        <v>252.56</v>
      </c>
      <c r="K10" s="14"/>
      <c r="L10" s="14"/>
      <c r="M10" s="14"/>
      <c r="N10" s="14" t="n">
        <f aca="false">ROUND((G10*I10)-K10-L10-M10,2)</f>
        <v>252.56</v>
      </c>
      <c r="O10" s="14"/>
      <c r="P10" s="14" t="n">
        <f aca="false">ROUND(IF(D10=0,IF((N10-E10-O10)&gt;0,(N10-E10-O10),0),IF((D10+N10-O10)&gt;0,(D10+N10-O10),0)),2)</f>
        <v>252.56</v>
      </c>
      <c r="Q10" s="14" t="n">
        <f aca="false">ROUND(IF(E10=0,IF((D10+N10-O10)&lt;0,ABS(D10+N10-O10),0),IF((N10-E10-O10)&lt;0,ABS(N10-E10-O10),0)),2)</f>
        <v>0</v>
      </c>
    </row>
    <row r="11" customFormat="false" ht="15" hidden="false" customHeight="true" outlineLevel="0" collapsed="false">
      <c r="A11" s="12" t="s">
        <v>31</v>
      </c>
      <c r="B11" s="12" t="str">
        <f aca="false">січень!B11</f>
        <v>Семко Л.І.</v>
      </c>
      <c r="C11" s="12" t="s">
        <v>33</v>
      </c>
      <c r="D11" s="14" t="n">
        <f aca="false">січень!P11</f>
        <v>2760.06</v>
      </c>
      <c r="E11" s="14" t="n">
        <f aca="false">січень!Q11</f>
        <v>0</v>
      </c>
      <c r="F11" s="13" t="n">
        <f aca="false">січень!F11</f>
        <v>0</v>
      </c>
      <c r="G11" s="13" t="n">
        <f aca="false">січень!G11</f>
        <v>28.34</v>
      </c>
      <c r="H11" s="13" t="n">
        <f aca="false">січень!H11</f>
        <v>0</v>
      </c>
      <c r="I11" s="13" t="n">
        <f aca="false">січень!I11</f>
        <v>4.1</v>
      </c>
      <c r="J11" s="14" t="n">
        <f aca="false">ROUND(G11*I11,2)</f>
        <v>116.19</v>
      </c>
      <c r="K11" s="14"/>
      <c r="L11" s="14"/>
      <c r="M11" s="14"/>
      <c r="N11" s="14" t="n">
        <f aca="false">ROUND((G11*I11)-K11-L11-M11,2)</f>
        <v>116.19</v>
      </c>
      <c r="O11" s="14"/>
      <c r="P11" s="14" t="n">
        <f aca="false">ROUND(IF(D11=0,IF((N11-E11-O11)&gt;0,(N11-E11-O11),0),IF((D11+N11-O11)&gt;0,(D11+N11-O11),0)),2)</f>
        <v>2876.25</v>
      </c>
      <c r="Q11" s="14" t="n">
        <f aca="false">ROUND(IF(E11=0,IF((D11+N11-O11)&lt;0,ABS(D11+N11-O11),0),IF((N11-E11-O11)&lt;0,ABS(N11-E11-O11),0)),2)</f>
        <v>0</v>
      </c>
    </row>
    <row r="12" customFormat="false" ht="15" hidden="false" customHeight="true" outlineLevel="0" collapsed="false">
      <c r="A12" s="12" t="s">
        <v>31</v>
      </c>
      <c r="B12" s="12" t="str">
        <f aca="false">січень!B12</f>
        <v>Гаркуша Н.І.</v>
      </c>
      <c r="C12" s="12" t="s">
        <v>35</v>
      </c>
      <c r="D12" s="14" t="n">
        <f aca="false">січень!P12</f>
        <v>959.57</v>
      </c>
      <c r="E12" s="14" t="n">
        <f aca="false">січень!Q12</f>
        <v>0</v>
      </c>
      <c r="F12" s="13" t="n">
        <f aca="false">січень!F12</f>
        <v>0</v>
      </c>
      <c r="G12" s="13" t="n">
        <f aca="false">січень!G12</f>
        <v>36.66</v>
      </c>
      <c r="H12" s="13" t="n">
        <f aca="false">січень!H12</f>
        <v>0</v>
      </c>
      <c r="I12" s="13" t="n">
        <f aca="false">січень!I12</f>
        <v>4.1</v>
      </c>
      <c r="J12" s="14" t="n">
        <f aca="false">ROUND(G12*I12,2)</f>
        <v>150.31</v>
      </c>
      <c r="K12" s="14"/>
      <c r="L12" s="14"/>
      <c r="M12" s="14"/>
      <c r="N12" s="14" t="n">
        <f aca="false">ROUND((G12*I12)-K12-L12-M12,2)</f>
        <v>150.31</v>
      </c>
      <c r="O12" s="14"/>
      <c r="P12" s="14" t="n">
        <f aca="false">ROUND(IF(D12=0,IF((N12-E12-O12)&gt;0,(N12-E12-O12),0),IF((D12+N12-O12)&gt;0,(D12+N12-O12),0)),2)</f>
        <v>1109.88</v>
      </c>
      <c r="Q12" s="14" t="n">
        <f aca="false">ROUND(IF(E12=0,IF((D12+N12-O12)&lt;0,ABS(D12+N12-O12),0),IF((N12-E12-O12)&lt;0,ABS(N12-E12-O12),0)),2)</f>
        <v>0</v>
      </c>
    </row>
    <row r="13" customFormat="false" ht="15" hidden="false" customHeight="true" outlineLevel="0" collapsed="false">
      <c r="A13" s="12" t="s">
        <v>36</v>
      </c>
      <c r="B13" s="12" t="str">
        <f aca="false">січень!B13</f>
        <v>Андріяшев В.М</v>
      </c>
      <c r="C13" s="12" t="s">
        <v>38</v>
      </c>
      <c r="D13" s="14" t="n">
        <f aca="false">січень!P13</f>
        <v>338.74</v>
      </c>
      <c r="E13" s="14" t="n">
        <f aca="false">січень!Q13</f>
        <v>0</v>
      </c>
      <c r="F13" s="13" t="n">
        <f aca="false">січень!F13</f>
        <v>0</v>
      </c>
      <c r="G13" s="13" t="n">
        <f aca="false">січень!G13</f>
        <v>49.8</v>
      </c>
      <c r="H13" s="13" t="n">
        <f aca="false">січень!H13</f>
        <v>0</v>
      </c>
      <c r="I13" s="13" t="n">
        <f aca="false">січень!I13</f>
        <v>4.1</v>
      </c>
      <c r="J13" s="14" t="n">
        <f aca="false">ROUND(G13*I13,2)</f>
        <v>204.18</v>
      </c>
      <c r="K13" s="14"/>
      <c r="L13" s="14"/>
      <c r="M13" s="14"/>
      <c r="N13" s="14" t="n">
        <f aca="false">ROUND((G13*I13)-K13-L13-M13,2)</f>
        <v>204.18</v>
      </c>
      <c r="O13" s="14"/>
      <c r="P13" s="14" t="n">
        <f aca="false">ROUND(IF(D13=0,IF((N13-E13-O13)&gt;0,(N13-E13-O13),0),IF((D13+N13-O13)&gt;0,(D13+N13-O13),0)),2)</f>
        <v>542.92</v>
      </c>
      <c r="Q13" s="14" t="n">
        <f aca="false">ROUND(IF(E13=0,IF((D13+N13-O13)&lt;0,ABS(D13+N13-O13),0),IF((N13-E13-O13)&lt;0,ABS(N13-E13-O13),0)),2)</f>
        <v>0</v>
      </c>
    </row>
    <row r="14" customFormat="false" ht="15" hidden="false" customHeight="true" outlineLevel="0" collapsed="false">
      <c r="A14" s="12" t="s">
        <v>39</v>
      </c>
      <c r="B14" s="12" t="str">
        <f aca="false">січень!B14</f>
        <v>Старчикова О.М.</v>
      </c>
      <c r="C14" s="12" t="s">
        <v>41</v>
      </c>
      <c r="D14" s="14" t="n">
        <f aca="false">січень!P14</f>
        <v>284.14</v>
      </c>
      <c r="E14" s="14" t="n">
        <f aca="false">січень!Q14</f>
        <v>0</v>
      </c>
      <c r="F14" s="13" t="n">
        <f aca="false">січень!F14</f>
        <v>0</v>
      </c>
      <c r="G14" s="13" t="n">
        <f aca="false">січень!G14</f>
        <v>34.65</v>
      </c>
      <c r="H14" s="13" t="n">
        <f aca="false">січень!H14</f>
        <v>0</v>
      </c>
      <c r="I14" s="13" t="n">
        <f aca="false">січень!I14</f>
        <v>4.1</v>
      </c>
      <c r="J14" s="14" t="n">
        <f aca="false">ROUND(G14*I14,2)</f>
        <v>142.07</v>
      </c>
      <c r="K14" s="14"/>
      <c r="L14" s="14"/>
      <c r="M14" s="14"/>
      <c r="N14" s="14" t="n">
        <f aca="false">ROUND((G14*I14)-K14-L14-M14,2)</f>
        <v>142.07</v>
      </c>
      <c r="O14" s="14"/>
      <c r="P14" s="14" t="n">
        <f aca="false">ROUND(IF(D14=0,IF((N14-E14-O14)&gt;0,(N14-E14-O14),0),IF((D14+N14-O14)&gt;0,(D14+N14-O14),0)),2)</f>
        <v>426.21</v>
      </c>
      <c r="Q14" s="14" t="n">
        <f aca="false">ROUND(IF(E14=0,IF((D14+N14-O14)&lt;0,ABS(D14+N14-O14),0),IF((N14-E14-O14)&lt;0,ABS(N14-E14-O14),0)),2)</f>
        <v>0</v>
      </c>
    </row>
    <row r="15" customFormat="false" ht="15" hidden="false" customHeight="true" outlineLevel="0" collapsed="false">
      <c r="A15" s="12" t="s">
        <v>42</v>
      </c>
      <c r="B15" s="12" t="str">
        <f aca="false">січень!B15</f>
        <v>Безер Т.М</v>
      </c>
      <c r="C15" s="12" t="s">
        <v>44</v>
      </c>
      <c r="D15" s="14" t="n">
        <f aca="false">січень!P15</f>
        <v>247.74</v>
      </c>
      <c r="E15" s="14" t="n">
        <f aca="false">січень!Q15</f>
        <v>0</v>
      </c>
      <c r="F15" s="13" t="n">
        <f aca="false">січень!F15</f>
        <v>0</v>
      </c>
      <c r="G15" s="13" t="n">
        <f aca="false">січень!G15</f>
        <v>62.14</v>
      </c>
      <c r="H15" s="13" t="n">
        <f aca="false">січень!H15</f>
        <v>0</v>
      </c>
      <c r="I15" s="13" t="n">
        <f aca="false">січень!I15</f>
        <v>4.1</v>
      </c>
      <c r="J15" s="14" t="n">
        <f aca="false">ROUND(G15*I15,2)</f>
        <v>254.77</v>
      </c>
      <c r="K15" s="14"/>
      <c r="L15" s="14"/>
      <c r="M15" s="14"/>
      <c r="N15" s="14" t="n">
        <f aca="false">ROUND((G15*I15)-K15-L15-M15,2)</f>
        <v>254.77</v>
      </c>
      <c r="O15" s="14"/>
      <c r="P15" s="14" t="n">
        <f aca="false">ROUND(IF(D15=0,IF((N15-E15-O15)&gt;0,(N15-E15-O15),0),IF((D15+N15-O15)&gt;0,(D15+N15-O15),0)),2)</f>
        <v>502.51</v>
      </c>
      <c r="Q15" s="14" t="n">
        <f aca="false">ROUND(IF(E15=0,IF((D15+N15-O15)&lt;0,ABS(D15+N15-O15),0),IF((N15-E15-O15)&lt;0,ABS(N15-E15-O15),0)),2)</f>
        <v>0</v>
      </c>
    </row>
    <row r="16" customFormat="false" ht="15" hidden="false" customHeight="true" outlineLevel="0" collapsed="false">
      <c r="A16" s="12" t="s">
        <v>45</v>
      </c>
      <c r="B16" s="12" t="str">
        <f aca="false">січень!B16</f>
        <v>Решетило М.М</v>
      </c>
      <c r="C16" s="12" t="s">
        <v>47</v>
      </c>
      <c r="D16" s="14" t="n">
        <f aca="false">січень!P16</f>
        <v>1068.88</v>
      </c>
      <c r="E16" s="14" t="n">
        <f aca="false">січень!Q16</f>
        <v>0</v>
      </c>
      <c r="F16" s="13" t="n">
        <f aca="false">січень!F16</f>
        <v>0</v>
      </c>
      <c r="G16" s="13" t="n">
        <f aca="false">січень!G16</f>
        <v>65.16</v>
      </c>
      <c r="H16" s="13" t="n">
        <f aca="false">січень!H16</f>
        <v>0</v>
      </c>
      <c r="I16" s="13" t="n">
        <f aca="false">січень!I16</f>
        <v>4.1</v>
      </c>
      <c r="J16" s="14" t="n">
        <f aca="false">ROUND(G16*I16,2)</f>
        <v>267.16</v>
      </c>
      <c r="K16" s="14"/>
      <c r="L16" s="14"/>
      <c r="M16" s="14"/>
      <c r="N16" s="14" t="n">
        <f aca="false">ROUND((G16*I16)-K16-L16-M16,2)</f>
        <v>267.16</v>
      </c>
      <c r="O16" s="14"/>
      <c r="P16" s="14" t="n">
        <f aca="false">ROUND(IF(D16=0,IF((N16-E16-O16)&gt;0,(N16-E16-O16),0),IF((D16+N16-O16)&gt;0,(D16+N16-O16),0)),2)</f>
        <v>1336.04</v>
      </c>
      <c r="Q16" s="14" t="n">
        <f aca="false">ROUND(IF(E16=0,IF((D16+N16-O16)&lt;0,ABS(D16+N16-O16),0),IF((N16-E16-O16)&lt;0,ABS(N16-E16-O16),0)),2)</f>
        <v>0</v>
      </c>
    </row>
    <row r="17" customFormat="false" ht="15" hidden="false" customHeight="true" outlineLevel="0" collapsed="false">
      <c r="A17" s="12" t="s">
        <v>48</v>
      </c>
      <c r="B17" s="12" t="str">
        <f aca="false">січень!B17</f>
        <v>Фесенко О.В.</v>
      </c>
      <c r="C17" s="12" t="s">
        <v>50</v>
      </c>
      <c r="D17" s="14" t="n">
        <f aca="false">січень!P17</f>
        <v>5082.1</v>
      </c>
      <c r="E17" s="14" t="n">
        <f aca="false">січень!Q17</f>
        <v>0</v>
      </c>
      <c r="F17" s="13" t="n">
        <f aca="false">січень!F17</f>
        <v>0</v>
      </c>
      <c r="G17" s="13" t="n">
        <f aca="false">січень!G17</f>
        <v>50.1</v>
      </c>
      <c r="H17" s="13" t="n">
        <f aca="false">січень!H17</f>
        <v>0</v>
      </c>
      <c r="I17" s="13" t="n">
        <f aca="false">січень!I17</f>
        <v>4.1</v>
      </c>
      <c r="J17" s="14" t="n">
        <f aca="false">ROUND(G17*I17,2)</f>
        <v>205.41</v>
      </c>
      <c r="K17" s="14"/>
      <c r="L17" s="14"/>
      <c r="M17" s="14"/>
      <c r="N17" s="14" t="n">
        <f aca="false">ROUND((G17*I17)-K17-L17-M17,2)</f>
        <v>205.41</v>
      </c>
      <c r="O17" s="14"/>
      <c r="P17" s="14" t="n">
        <f aca="false">ROUND(IF(D17=0,IF((N17-E17-O17)&gt;0,(N17-E17-O17),0),IF((D17+N17-O17)&gt;0,(D17+N17-O17),0)),2)</f>
        <v>5287.51</v>
      </c>
      <c r="Q17" s="14" t="n">
        <f aca="false">ROUND(IF(E17=0,IF((D17+N17-O17)&lt;0,ABS(D17+N17-O17),0),IF((N17-E17-O17)&lt;0,ABS(N17-E17-O17),0)),2)</f>
        <v>0</v>
      </c>
    </row>
    <row r="18" customFormat="false" ht="15" hidden="false" customHeight="true" outlineLevel="0" collapsed="false">
      <c r="A18" s="12" t="s">
        <v>51</v>
      </c>
      <c r="B18" s="12" t="str">
        <f aca="false">січень!B18</f>
        <v>Петренко О.М.</v>
      </c>
      <c r="C18" s="12" t="s">
        <v>53</v>
      </c>
      <c r="D18" s="14" t="n">
        <f aca="false">січень!P18</f>
        <v>1692.52</v>
      </c>
      <c r="E18" s="14" t="n">
        <f aca="false">січень!Q18</f>
        <v>0</v>
      </c>
      <c r="F18" s="13" t="n">
        <f aca="false">січень!F18</f>
        <v>0</v>
      </c>
      <c r="G18" s="13" t="n">
        <f aca="false">січень!G18</f>
        <v>35.2</v>
      </c>
      <c r="H18" s="13" t="n">
        <f aca="false">січень!H18</f>
        <v>0</v>
      </c>
      <c r="I18" s="13" t="n">
        <f aca="false">січень!I18</f>
        <v>4.1</v>
      </c>
      <c r="J18" s="14" t="n">
        <f aca="false">ROUND(G18*I18,2)</f>
        <v>144.32</v>
      </c>
      <c r="K18" s="14"/>
      <c r="L18" s="14"/>
      <c r="M18" s="14"/>
      <c r="N18" s="14" t="n">
        <f aca="false">ROUND((G18*I18)-K18-L18-M18,2)</f>
        <v>144.32</v>
      </c>
      <c r="O18" s="14"/>
      <c r="P18" s="14" t="n">
        <f aca="false">ROUND(IF(D18=0,IF((N18-E18-O18)&gt;0,(N18-E18-O18),0),IF((D18+N18-O18)&gt;0,(D18+N18-O18),0)),2)</f>
        <v>1836.84</v>
      </c>
      <c r="Q18" s="14" t="n">
        <f aca="false">ROUND(IF(E18=0,IF((D18+N18-O18)&lt;0,ABS(D18+N18-O18),0),IF((N18-E18-O18)&lt;0,ABS(N18-E18-O18),0)),2)</f>
        <v>0</v>
      </c>
    </row>
    <row r="19" customFormat="false" ht="15" hidden="false" customHeight="true" outlineLevel="0" collapsed="false">
      <c r="A19" s="12" t="s">
        <v>54</v>
      </c>
      <c r="B19" s="12" t="str">
        <f aca="false">січень!B19</f>
        <v>Зеленюк А.Д</v>
      </c>
      <c r="C19" s="12" t="s">
        <v>56</v>
      </c>
      <c r="D19" s="14" t="n">
        <f aca="false">січень!P19</f>
        <v>12437.01</v>
      </c>
      <c r="E19" s="14" t="n">
        <f aca="false">січень!Q19</f>
        <v>0</v>
      </c>
      <c r="F19" s="13" t="n">
        <f aca="false">січень!F19</f>
        <v>0</v>
      </c>
      <c r="G19" s="13" t="n">
        <f aca="false">січень!G19</f>
        <v>62.78</v>
      </c>
      <c r="H19" s="13" t="n">
        <f aca="false">січень!H19</f>
        <v>0</v>
      </c>
      <c r="I19" s="13" t="n">
        <f aca="false">січень!I19</f>
        <v>4.1</v>
      </c>
      <c r="J19" s="14" t="n">
        <f aca="false">ROUND(G19*I19,2)</f>
        <v>257.4</v>
      </c>
      <c r="K19" s="14"/>
      <c r="L19" s="14"/>
      <c r="M19" s="14"/>
      <c r="N19" s="14" t="n">
        <f aca="false">ROUND((G19*I19)-K19-L19-M19,2)</f>
        <v>257.4</v>
      </c>
      <c r="O19" s="14"/>
      <c r="P19" s="14" t="n">
        <f aca="false">ROUND(IF(D19=0,IF((N19-E19-O19)&gt;0,(N19-E19-O19),0),IF((D19+N19-O19)&gt;0,(D19+N19-O19),0)),2)</f>
        <v>12694.41</v>
      </c>
      <c r="Q19" s="14" t="n">
        <f aca="false">ROUND(IF(E19=0,IF((D19+N19-O19)&lt;0,ABS(D19+N19-O19),0),IF((N19-E19-O19)&lt;0,ABS(N19-E19-O19),0)),2)</f>
        <v>0</v>
      </c>
    </row>
    <row r="20" customFormat="false" ht="15" hidden="false" customHeight="true" outlineLevel="0" collapsed="false">
      <c r="A20" s="12" t="s">
        <v>57</v>
      </c>
      <c r="B20" s="12" t="str">
        <f aca="false">січень!B20</f>
        <v>Вовк І.В</v>
      </c>
      <c r="C20" s="12" t="s">
        <v>59</v>
      </c>
      <c r="D20" s="14" t="n">
        <f aca="false">січень!P20</f>
        <v>5314.8</v>
      </c>
      <c r="E20" s="14" t="n">
        <f aca="false">січень!Q20</f>
        <v>0</v>
      </c>
      <c r="F20" s="13" t="n">
        <f aca="false">січень!F20</f>
        <v>0</v>
      </c>
      <c r="G20" s="13" t="n">
        <f aca="false">січень!G20</f>
        <v>28.23</v>
      </c>
      <c r="H20" s="13" t="n">
        <f aca="false">січень!H20</f>
        <v>0</v>
      </c>
      <c r="I20" s="13" t="n">
        <f aca="false">січень!I20</f>
        <v>4.1</v>
      </c>
      <c r="J20" s="14" t="n">
        <f aca="false">ROUND(G20*I20,2)</f>
        <v>115.74</v>
      </c>
      <c r="K20" s="14"/>
      <c r="L20" s="14"/>
      <c r="M20" s="14"/>
      <c r="N20" s="14" t="n">
        <f aca="false">ROUND((G20*I20)-K20-L20-M20,2)</f>
        <v>115.74</v>
      </c>
      <c r="O20" s="14"/>
      <c r="P20" s="14" t="n">
        <f aca="false">ROUND(IF(D20=0,IF((N20-E20-O20)&gt;0,(N20-E20-O20),0),IF((D20+N20-O20)&gt;0,(D20+N20-O20),0)),2)</f>
        <v>5430.54</v>
      </c>
      <c r="Q20" s="14" t="n">
        <f aca="false">ROUND(IF(E20=0,IF((D20+N20-O20)&lt;0,ABS(D20+N20-O20),0),IF((N20-E20-O20)&lt;0,ABS(N20-E20-O20),0)),2)</f>
        <v>0</v>
      </c>
    </row>
    <row r="21" customFormat="false" ht="15" hidden="false" customHeight="true" outlineLevel="0" collapsed="false">
      <c r="A21" s="12" t="s">
        <v>57</v>
      </c>
      <c r="B21" s="12" t="str">
        <f aca="false">січень!B21</f>
        <v>Романовський В.М</v>
      </c>
      <c r="C21" s="12" t="s">
        <v>61</v>
      </c>
      <c r="D21" s="14" t="n">
        <f aca="false">січень!P21</f>
        <v>5606.82</v>
      </c>
      <c r="E21" s="14" t="n">
        <f aca="false">січень!Q21</f>
        <v>0</v>
      </c>
      <c r="F21" s="13" t="n">
        <f aca="false">січень!F21</f>
        <v>0</v>
      </c>
      <c r="G21" s="13" t="n">
        <f aca="false">січень!G21</f>
        <v>37.84</v>
      </c>
      <c r="H21" s="13" t="n">
        <f aca="false">січень!H21</f>
        <v>0</v>
      </c>
      <c r="I21" s="13" t="n">
        <f aca="false">січень!I21</f>
        <v>4.1</v>
      </c>
      <c r="J21" s="14" t="n">
        <f aca="false">ROUND(G21*I21,2)</f>
        <v>155.14</v>
      </c>
      <c r="K21" s="14"/>
      <c r="L21" s="14"/>
      <c r="M21" s="14"/>
      <c r="N21" s="14" t="n">
        <f aca="false">ROUND((G21*I21)-K21-L21-M21,2)</f>
        <v>155.14</v>
      </c>
      <c r="O21" s="14"/>
      <c r="P21" s="14" t="n">
        <f aca="false">ROUND(IF(D21=0,IF((N21-E21-O21)&gt;0,(N21-E21-O21),0),IF((D21+N21-O21)&gt;0,(D21+N21-O21),0)),2)</f>
        <v>5761.96</v>
      </c>
      <c r="Q21" s="14" t="n">
        <f aca="false">ROUND(IF(E21=0,IF((D21+N21-O21)&lt;0,ABS(D21+N21-O21),0),IF((N21-E21-O21)&lt;0,ABS(N21-E21-O21),0)),2)</f>
        <v>0</v>
      </c>
    </row>
    <row r="22" customFormat="false" ht="15" hidden="false" customHeight="true" outlineLevel="0" collapsed="false">
      <c r="A22" s="12" t="s">
        <v>62</v>
      </c>
      <c r="B22" s="12" t="str">
        <f aca="false">січень!B22</f>
        <v>Ряба Л.І</v>
      </c>
      <c r="C22" s="12" t="s">
        <v>64</v>
      </c>
      <c r="D22" s="14" t="n">
        <f aca="false">січень!P22</f>
        <v>268.44</v>
      </c>
      <c r="E22" s="14" t="n">
        <f aca="false">січень!Q22</f>
        <v>0</v>
      </c>
      <c r="F22" s="13" t="n">
        <f aca="false">січень!F22</f>
        <v>0</v>
      </c>
      <c r="G22" s="13" t="n">
        <f aca="false">січень!G22</f>
        <v>49.24</v>
      </c>
      <c r="H22" s="13" t="n">
        <f aca="false">січень!H22</f>
        <v>0</v>
      </c>
      <c r="I22" s="13" t="n">
        <f aca="false">січень!I22</f>
        <v>4.1</v>
      </c>
      <c r="J22" s="14" t="n">
        <f aca="false">ROUND(G22*I22,2)</f>
        <v>201.88</v>
      </c>
      <c r="K22" s="14"/>
      <c r="L22" s="14"/>
      <c r="M22" s="14"/>
      <c r="N22" s="14" t="n">
        <f aca="false">ROUND((G22*I22)-K22-L22-M22,2)</f>
        <v>201.88</v>
      </c>
      <c r="O22" s="14"/>
      <c r="P22" s="14" t="n">
        <f aca="false">ROUND(IF(D22=0,IF((N22-E22-O22)&gt;0,(N22-E22-O22),0),IF((D22+N22-O22)&gt;0,(D22+N22-O22),0)),2)</f>
        <v>470.32</v>
      </c>
      <c r="Q22" s="14" t="n">
        <f aca="false">ROUND(IF(E22=0,IF((D22+N22-O22)&lt;0,ABS(D22+N22-O22),0),IF((N22-E22-O22)&lt;0,ABS(N22-E22-O22),0)),2)</f>
        <v>0</v>
      </c>
    </row>
    <row r="23" customFormat="false" ht="15" hidden="false" customHeight="true" outlineLevel="0" collapsed="false">
      <c r="A23" s="12" t="s">
        <v>65</v>
      </c>
      <c r="B23" s="12" t="str">
        <f aca="false">січень!B23</f>
        <v>Кас'янова О.А.</v>
      </c>
      <c r="C23" s="12" t="s">
        <v>67</v>
      </c>
      <c r="D23" s="14" t="n">
        <f aca="false">січень!P23</f>
        <v>579.71</v>
      </c>
      <c r="E23" s="14" t="n">
        <f aca="false">січень!Q23</f>
        <v>0</v>
      </c>
      <c r="F23" s="13" t="n">
        <f aca="false">січень!F23</f>
        <v>0</v>
      </c>
      <c r="G23" s="13" t="n">
        <f aca="false">січень!G23</f>
        <v>35.1</v>
      </c>
      <c r="H23" s="13" t="n">
        <f aca="false">січень!H23</f>
        <v>0</v>
      </c>
      <c r="I23" s="13" t="n">
        <f aca="false">січень!I23</f>
        <v>4.1</v>
      </c>
      <c r="J23" s="14" t="n">
        <f aca="false">ROUND(G23*I23,2)</f>
        <v>143.91</v>
      </c>
      <c r="K23" s="14"/>
      <c r="L23" s="14"/>
      <c r="M23" s="14"/>
      <c r="N23" s="14" t="n">
        <f aca="false">ROUND((G23*I23)-K23-L23-M23,2)</f>
        <v>143.91</v>
      </c>
      <c r="O23" s="14"/>
      <c r="P23" s="14" t="n">
        <f aca="false">ROUND(IF(D23=0,IF((N23-E23-O23)&gt;0,(N23-E23-O23),0),IF((D23+N23-O23)&gt;0,(D23+N23-O23),0)),2)</f>
        <v>723.62</v>
      </c>
      <c r="Q23" s="14" t="n">
        <f aca="false">ROUND(IF(E23=0,IF((D23+N23-O23)&lt;0,ABS(D23+N23-O23),0),IF((N23-E23-O23)&lt;0,ABS(N23-E23-O23),0)),2)</f>
        <v>0</v>
      </c>
    </row>
    <row r="24" customFormat="false" ht="15" hidden="false" customHeight="true" outlineLevel="0" collapsed="false">
      <c r="A24" s="12" t="s">
        <v>68</v>
      </c>
      <c r="B24" s="12" t="str">
        <f aca="false">січень!B24</f>
        <v>Корякіна М.В.</v>
      </c>
      <c r="C24" s="12" t="s">
        <v>70</v>
      </c>
      <c r="D24" s="14" t="n">
        <f aca="false">січень!P24</f>
        <v>4953.79</v>
      </c>
      <c r="E24" s="14" t="n">
        <f aca="false">січень!Q24</f>
        <v>0</v>
      </c>
      <c r="F24" s="13" t="n">
        <f aca="false">січень!F24</f>
        <v>0</v>
      </c>
      <c r="G24" s="13" t="n">
        <f aca="false">січень!G24</f>
        <v>61.9</v>
      </c>
      <c r="H24" s="13" t="n">
        <f aca="false">січень!H24</f>
        <v>0</v>
      </c>
      <c r="I24" s="13" t="n">
        <f aca="false">січень!I24</f>
        <v>4.1</v>
      </c>
      <c r="J24" s="14" t="n">
        <f aca="false">ROUND(G24*I24,2)</f>
        <v>253.79</v>
      </c>
      <c r="K24" s="14"/>
      <c r="L24" s="14"/>
      <c r="M24" s="14"/>
      <c r="N24" s="14" t="n">
        <f aca="false">ROUND((G24*I24)-K24-L24-M24,2)</f>
        <v>253.79</v>
      </c>
      <c r="O24" s="14"/>
      <c r="P24" s="14" t="n">
        <f aca="false">ROUND(IF(D24=0,IF((N24-E24-O24)&gt;0,(N24-E24-O24),0),IF((D24+N24-O24)&gt;0,(D24+N24-O24),0)),2)</f>
        <v>5207.58</v>
      </c>
      <c r="Q24" s="14" t="n">
        <f aca="false">ROUND(IF(E24=0,IF((D24+N24-O24)&lt;0,ABS(D24+N24-O24),0),IF((N24-E24-O24)&lt;0,ABS(N24-E24-O24),0)),2)</f>
        <v>0</v>
      </c>
    </row>
    <row r="25" customFormat="false" ht="15" hidden="false" customHeight="true" outlineLevel="0" collapsed="false">
      <c r="A25" s="12" t="s">
        <v>71</v>
      </c>
      <c r="B25" s="12" t="str">
        <f aca="false">січень!B25</f>
        <v>Сокерчак А.В.</v>
      </c>
      <c r="C25" s="12" t="s">
        <v>73</v>
      </c>
      <c r="D25" s="14" t="n">
        <f aca="false">січень!P25</f>
        <v>543.66</v>
      </c>
      <c r="E25" s="14" t="n">
        <f aca="false">січень!Q25</f>
        <v>0</v>
      </c>
      <c r="F25" s="13" t="n">
        <f aca="false">січень!F25</f>
        <v>0</v>
      </c>
      <c r="G25" s="13" t="n">
        <f aca="false">січень!G25</f>
        <v>66.3</v>
      </c>
      <c r="H25" s="13" t="n">
        <f aca="false">січень!H25</f>
        <v>0</v>
      </c>
      <c r="I25" s="13" t="n">
        <f aca="false">січень!I25</f>
        <v>4.1</v>
      </c>
      <c r="J25" s="14" t="n">
        <f aca="false">ROUND(G25*I25,2)</f>
        <v>271.83</v>
      </c>
      <c r="K25" s="14"/>
      <c r="L25" s="14"/>
      <c r="M25" s="14"/>
      <c r="N25" s="14" t="n">
        <f aca="false">ROUND((G25*I25)-K25-L25-M25,2)</f>
        <v>271.83</v>
      </c>
      <c r="O25" s="14"/>
      <c r="P25" s="14" t="n">
        <f aca="false">ROUND(IF(D25=0,IF((N25-E25-O25)&gt;0,(N25-E25-O25),0),IF((D25+N25-O25)&gt;0,(D25+N25-O25),0)),2)</f>
        <v>815.49</v>
      </c>
      <c r="Q25" s="14" t="n">
        <f aca="false">ROUND(IF(E25=0,IF((D25+N25-O25)&lt;0,ABS(D25+N25-O25),0),IF((N25-E25-O25)&lt;0,ABS(N25-E25-O25),0)),2)</f>
        <v>0</v>
      </c>
    </row>
    <row r="26" customFormat="false" ht="15" hidden="false" customHeight="true" outlineLevel="0" collapsed="false">
      <c r="A26" s="12" t="s">
        <v>74</v>
      </c>
      <c r="B26" s="12" t="str">
        <f aca="false">січень!B26</f>
        <v>Кравченко В.А</v>
      </c>
      <c r="C26" s="12" t="s">
        <v>76</v>
      </c>
      <c r="D26" s="14" t="n">
        <f aca="false">січень!P26</f>
        <v>211.07</v>
      </c>
      <c r="E26" s="14" t="n">
        <f aca="false">січень!Q26</f>
        <v>0</v>
      </c>
      <c r="F26" s="13" t="n">
        <f aca="false">січень!F26</f>
        <v>0</v>
      </c>
      <c r="G26" s="13" t="n">
        <f aca="false">січень!G26</f>
        <v>51.48</v>
      </c>
      <c r="H26" s="13" t="n">
        <f aca="false">січень!H26</f>
        <v>0</v>
      </c>
      <c r="I26" s="13" t="n">
        <f aca="false">січень!I26</f>
        <v>4.1</v>
      </c>
      <c r="J26" s="14" t="n">
        <f aca="false">ROUND(G26*I26,2)</f>
        <v>211.07</v>
      </c>
      <c r="K26" s="14"/>
      <c r="L26" s="14"/>
      <c r="M26" s="14"/>
      <c r="N26" s="14" t="n">
        <f aca="false">ROUND((G26*I26)-K26-L26-M26,2)</f>
        <v>211.07</v>
      </c>
      <c r="O26" s="14"/>
      <c r="P26" s="14" t="n">
        <f aca="false">ROUND(IF(D26=0,IF((N26-E26-O26)&gt;0,(N26-E26-O26),0),IF((D26+N26-O26)&gt;0,(D26+N26-O26),0)),2)</f>
        <v>422.14</v>
      </c>
      <c r="Q26" s="14" t="n">
        <f aca="false">ROUND(IF(E26=0,IF((D26+N26-O26)&lt;0,ABS(D26+N26-O26),0),IF((N26-E26-O26)&lt;0,ABS(N26-E26-O26),0)),2)</f>
        <v>0</v>
      </c>
    </row>
    <row r="27" customFormat="false" ht="15" hidden="false" customHeight="true" outlineLevel="0" collapsed="false">
      <c r="A27" s="12" t="s">
        <v>77</v>
      </c>
      <c r="B27" s="12" t="str">
        <f aca="false">січень!B27</f>
        <v>Чичикало А.С</v>
      </c>
      <c r="C27" s="12" t="s">
        <v>79</v>
      </c>
      <c r="D27" s="14" t="n">
        <f aca="false">січень!P27</f>
        <v>0</v>
      </c>
      <c r="E27" s="14" t="n">
        <f aca="false">січень!Q27</f>
        <v>426.95</v>
      </c>
      <c r="F27" s="13" t="n">
        <f aca="false">січень!F27</f>
        <v>0</v>
      </c>
      <c r="G27" s="13" t="n">
        <f aca="false">січень!G27</f>
        <v>35.1</v>
      </c>
      <c r="H27" s="13" t="n">
        <f aca="false">січень!H27</f>
        <v>0</v>
      </c>
      <c r="I27" s="13" t="n">
        <f aca="false">січень!I27</f>
        <v>4.1</v>
      </c>
      <c r="J27" s="14" t="n">
        <f aca="false">ROUND(G27*I27,2)</f>
        <v>143.91</v>
      </c>
      <c r="K27" s="14"/>
      <c r="L27" s="14"/>
      <c r="M27" s="14"/>
      <c r="N27" s="14" t="n">
        <f aca="false">ROUND((G27*I27)-K27-L27-M27,2)</f>
        <v>143.91</v>
      </c>
      <c r="O27" s="14"/>
      <c r="P27" s="14" t="n">
        <f aca="false">ROUND(IF(D27=0,IF((N27-E27-O27)&gt;0,(N27-E27-O27),0),IF((D27+N27-O27)&gt;0,(D27+N27-O27),0)),2)</f>
        <v>0</v>
      </c>
      <c r="Q27" s="14" t="n">
        <f aca="false">ROUND(IF(E27=0,IF((D27+N27-O27)&lt;0,ABS(D27+N27-O27),0),IF((N27-E27-O27)&lt;0,ABS(N27-E27-O27),0)),2)</f>
        <v>283.04</v>
      </c>
    </row>
    <row r="28" customFormat="false" ht="15" hidden="false" customHeight="true" outlineLevel="0" collapsed="false">
      <c r="A28" s="12" t="s">
        <v>80</v>
      </c>
      <c r="B28" s="12" t="str">
        <f aca="false">січень!B28</f>
        <v>Сільващук А.А</v>
      </c>
      <c r="C28" s="12" t="s">
        <v>82</v>
      </c>
      <c r="D28" s="14" t="n">
        <f aca="false">січень!P28</f>
        <v>257.07</v>
      </c>
      <c r="E28" s="14" t="n">
        <f aca="false">січень!Q28</f>
        <v>0</v>
      </c>
      <c r="F28" s="13" t="n">
        <f aca="false">січень!F28</f>
        <v>0</v>
      </c>
      <c r="G28" s="13" t="n">
        <f aca="false">січень!G28</f>
        <v>62.7</v>
      </c>
      <c r="H28" s="13" t="n">
        <f aca="false">січень!H28</f>
        <v>0</v>
      </c>
      <c r="I28" s="13" t="n">
        <f aca="false">січень!I28</f>
        <v>4.1</v>
      </c>
      <c r="J28" s="14" t="n">
        <f aca="false">ROUND(G28*I28,2)</f>
        <v>257.07</v>
      </c>
      <c r="K28" s="14"/>
      <c r="L28" s="14"/>
      <c r="M28" s="14"/>
      <c r="N28" s="14" t="n">
        <f aca="false">ROUND((G28*I28)-K28-L28-M28,2)</f>
        <v>257.07</v>
      </c>
      <c r="O28" s="14"/>
      <c r="P28" s="14" t="n">
        <f aca="false">ROUND(IF(D28=0,IF((N28-E28-O28)&gt;0,(N28-E28-O28),0),IF((D28+N28-O28)&gt;0,(D28+N28-O28),0)),2)</f>
        <v>514.14</v>
      </c>
      <c r="Q28" s="14" t="n">
        <f aca="false">ROUND(IF(E28=0,IF((D28+N28-O28)&lt;0,ABS(D28+N28-O28),0),IF((N28-E28-O28)&lt;0,ABS(N28-E28-O28),0)),2)</f>
        <v>0</v>
      </c>
    </row>
    <row r="29" customFormat="false" ht="15" hidden="false" customHeight="true" outlineLevel="0" collapsed="false">
      <c r="A29" s="12" t="s">
        <v>83</v>
      </c>
      <c r="B29" s="12" t="str">
        <f aca="false">січень!B29</f>
        <v>Стеценко Г.М</v>
      </c>
      <c r="C29" s="12" t="s">
        <v>85</v>
      </c>
      <c r="D29" s="14" t="n">
        <f aca="false">січень!P29</f>
        <v>535.62</v>
      </c>
      <c r="E29" s="14" t="n">
        <f aca="false">січень!Q29</f>
        <v>0</v>
      </c>
      <c r="F29" s="13" t="n">
        <f aca="false">січень!F29</f>
        <v>0</v>
      </c>
      <c r="G29" s="13" t="n">
        <f aca="false">січень!G29</f>
        <v>65.32</v>
      </c>
      <c r="H29" s="13" t="n">
        <f aca="false">січень!H29</f>
        <v>0</v>
      </c>
      <c r="I29" s="13" t="n">
        <f aca="false">січень!I29</f>
        <v>4.1</v>
      </c>
      <c r="J29" s="14" t="n">
        <f aca="false">ROUND(G29*I29,2)</f>
        <v>267.81</v>
      </c>
      <c r="K29" s="14"/>
      <c r="L29" s="14"/>
      <c r="M29" s="14"/>
      <c r="N29" s="14" t="n">
        <f aca="false">ROUND((G29*I29)-K29-L29-M29,2)</f>
        <v>267.81</v>
      </c>
      <c r="O29" s="14"/>
      <c r="P29" s="14" t="n">
        <f aca="false">ROUND(IF(D29=0,IF((N29-E29-O29)&gt;0,(N29-E29-O29),0),IF((D29+N29-O29)&gt;0,(D29+N29-O29),0)),2)</f>
        <v>803.43</v>
      </c>
      <c r="Q29" s="14" t="n">
        <f aca="false">ROUND(IF(E29=0,IF((D29+N29-O29)&lt;0,ABS(D29+N29-O29),0),IF((N29-E29-O29)&lt;0,ABS(N29-E29-O29),0)),2)</f>
        <v>0</v>
      </c>
    </row>
    <row r="30" customFormat="false" ht="15" hidden="false" customHeight="true" outlineLevel="0" collapsed="false">
      <c r="A30" s="12" t="s">
        <v>86</v>
      </c>
      <c r="B30" s="12" t="str">
        <f aca="false">січень!B30</f>
        <v>Кирдячкіна П.А</v>
      </c>
      <c r="C30" s="12" t="s">
        <v>88</v>
      </c>
      <c r="D30" s="14" t="n">
        <f aca="false">січень!P30</f>
        <v>153.25</v>
      </c>
      <c r="E30" s="14" t="n">
        <f aca="false">січень!Q30</f>
        <v>0</v>
      </c>
      <c r="F30" s="13" t="n">
        <f aca="false">січень!F30</f>
        <v>0</v>
      </c>
      <c r="G30" s="13" t="n">
        <f aca="false">січень!G30</f>
        <v>49.7</v>
      </c>
      <c r="H30" s="13" t="n">
        <f aca="false">січень!H30</f>
        <v>0</v>
      </c>
      <c r="I30" s="13" t="n">
        <f aca="false">січень!I30</f>
        <v>4.1</v>
      </c>
      <c r="J30" s="14" t="n">
        <f aca="false">ROUND(G30*I30,2)</f>
        <v>203.77</v>
      </c>
      <c r="K30" s="14"/>
      <c r="L30" s="14"/>
      <c r="M30" s="14"/>
      <c r="N30" s="14" t="n">
        <f aca="false">ROUND((G30*I30)-K30-L30-M30,2)</f>
        <v>203.77</v>
      </c>
      <c r="O30" s="14"/>
      <c r="P30" s="14" t="n">
        <f aca="false">ROUND(IF(D30=0,IF((N30-E30-O30)&gt;0,(N30-E30-O30),0),IF((D30+N30-O30)&gt;0,(D30+N30-O30),0)),2)</f>
        <v>357.02</v>
      </c>
      <c r="Q30" s="14" t="n">
        <f aca="false">ROUND(IF(E30=0,IF((D30+N30-O30)&lt;0,ABS(D30+N30-O30),0),IF((N30-E30-O30)&lt;0,ABS(N30-E30-O30),0)),2)</f>
        <v>0</v>
      </c>
    </row>
    <row r="31" customFormat="false" ht="15" hidden="false" customHeight="true" outlineLevel="0" collapsed="false">
      <c r="A31" s="12" t="s">
        <v>89</v>
      </c>
      <c r="B31" s="12" t="str">
        <f aca="false">січень!B31</f>
        <v>Фоміченко Л.А</v>
      </c>
      <c r="C31" s="12" t="s">
        <v>91</v>
      </c>
      <c r="D31" s="14" t="n">
        <f aca="false">січень!P31</f>
        <v>3824.67</v>
      </c>
      <c r="E31" s="14" t="n">
        <f aca="false">січень!Q31</f>
        <v>0</v>
      </c>
      <c r="F31" s="13" t="n">
        <f aca="false">січень!F31</f>
        <v>0</v>
      </c>
      <c r="G31" s="13" t="n">
        <f aca="false">січень!G31</f>
        <v>35.1</v>
      </c>
      <c r="H31" s="13" t="n">
        <f aca="false">січень!H31</f>
        <v>0</v>
      </c>
      <c r="I31" s="13" t="n">
        <f aca="false">січень!I31</f>
        <v>4.1</v>
      </c>
      <c r="J31" s="14" t="n">
        <f aca="false">ROUND(G31*I31,2)</f>
        <v>143.91</v>
      </c>
      <c r="K31" s="14"/>
      <c r="L31" s="14"/>
      <c r="M31" s="14"/>
      <c r="N31" s="14" t="n">
        <f aca="false">ROUND((G31*I31)-K31-L31-M31,2)</f>
        <v>143.91</v>
      </c>
      <c r="O31" s="14"/>
      <c r="P31" s="14" t="n">
        <f aca="false">ROUND(IF(D31=0,IF((N31-E31-O31)&gt;0,(N31-E31-O31),0),IF((D31+N31-O31)&gt;0,(D31+N31-O31),0)),2)</f>
        <v>3968.58</v>
      </c>
      <c r="Q31" s="14" t="n">
        <f aca="false">ROUND(IF(E31=0,IF((D31+N31-O31)&lt;0,ABS(D31+N31-O31),0),IF((N31-E31-O31)&lt;0,ABS(N31-E31-O31),0)),2)</f>
        <v>0</v>
      </c>
    </row>
    <row r="32" customFormat="false" ht="15" hidden="false" customHeight="true" outlineLevel="0" collapsed="false">
      <c r="A32" s="12" t="s">
        <v>92</v>
      </c>
      <c r="B32" s="12" t="str">
        <f aca="false">січень!B32</f>
        <v>Сердюк А.Г</v>
      </c>
      <c r="C32" s="12" t="s">
        <v>94</v>
      </c>
      <c r="D32" s="14" t="n">
        <f aca="false">січень!P32</f>
        <v>510.89</v>
      </c>
      <c r="E32" s="14" t="n">
        <f aca="false">січень!Q32</f>
        <v>0</v>
      </c>
      <c r="F32" s="13" t="n">
        <f aca="false">січень!F32</f>
        <v>0</v>
      </c>
      <c r="G32" s="13" t="n">
        <f aca="false">січень!G32</f>
        <v>62.31</v>
      </c>
      <c r="H32" s="13" t="n">
        <f aca="false">січень!H32</f>
        <v>0</v>
      </c>
      <c r="I32" s="13" t="n">
        <f aca="false">січень!I32</f>
        <v>4.1</v>
      </c>
      <c r="J32" s="14" t="n">
        <f aca="false">ROUND(G32*I32,2)</f>
        <v>255.47</v>
      </c>
      <c r="K32" s="14"/>
      <c r="L32" s="14"/>
      <c r="M32" s="14"/>
      <c r="N32" s="14" t="n">
        <f aca="false">ROUND((G32*I32)-K32-L32-M32,2)</f>
        <v>255.47</v>
      </c>
      <c r="O32" s="14"/>
      <c r="P32" s="14" t="n">
        <f aca="false">ROUND(IF(D32=0,IF((N32-E32-O32)&gt;0,(N32-E32-O32),0),IF((D32+N32-O32)&gt;0,(D32+N32-O32),0)),2)</f>
        <v>766.36</v>
      </c>
      <c r="Q32" s="14" t="n">
        <f aca="false">ROUND(IF(E32=0,IF((D32+N32-O32)&lt;0,ABS(D32+N32-O32),0),IF((N32-E32-O32)&lt;0,ABS(N32-E32-O32),0)),2)</f>
        <v>0</v>
      </c>
    </row>
    <row r="33" customFormat="false" ht="15" hidden="false" customHeight="true" outlineLevel="0" collapsed="false">
      <c r="A33" s="12" t="s">
        <v>95</v>
      </c>
      <c r="B33" s="12" t="str">
        <f aca="false">січень!B33</f>
        <v>Михальченко Г.М</v>
      </c>
      <c r="C33" s="12" t="s">
        <v>97</v>
      </c>
      <c r="D33" s="14" t="n">
        <f aca="false">січень!P33</f>
        <v>12653.9</v>
      </c>
      <c r="E33" s="14" t="n">
        <f aca="false">січень!Q33</f>
        <v>0</v>
      </c>
      <c r="F33" s="13" t="n">
        <f aca="false">січень!F33</f>
        <v>0</v>
      </c>
      <c r="G33" s="13" t="n">
        <f aca="false">січень!G33</f>
        <v>65.04</v>
      </c>
      <c r="H33" s="13" t="n">
        <f aca="false">січень!H33</f>
        <v>0</v>
      </c>
      <c r="I33" s="13" t="n">
        <f aca="false">січень!I33</f>
        <v>4.1</v>
      </c>
      <c r="J33" s="14" t="n">
        <f aca="false">ROUND(G33*I33,2)</f>
        <v>266.66</v>
      </c>
      <c r="K33" s="14"/>
      <c r="L33" s="14"/>
      <c r="M33" s="14"/>
      <c r="N33" s="14" t="n">
        <f aca="false">ROUND((G33*I33)-K33-L33-M33,2)</f>
        <v>266.66</v>
      </c>
      <c r="O33" s="14"/>
      <c r="P33" s="14" t="n">
        <f aca="false">ROUND(IF(D33=0,IF((N33-E33-O33)&gt;0,(N33-E33-O33),0),IF((D33+N33-O33)&gt;0,(D33+N33-O33),0)),2)</f>
        <v>12920.56</v>
      </c>
      <c r="Q33" s="14" t="n">
        <f aca="false">ROUND(IF(E33=0,IF((D33+N33-O33)&lt;0,ABS(D33+N33-O33),0),IF((N33-E33-O33)&lt;0,ABS(N33-E33-O33),0)),2)</f>
        <v>0</v>
      </c>
    </row>
    <row r="34" customFormat="false" ht="15" hidden="false" customHeight="true" outlineLevel="0" collapsed="false">
      <c r="A34" s="12" t="s">
        <v>98</v>
      </c>
      <c r="B34" s="12" t="str">
        <f aca="false">січень!B34</f>
        <v>Замуховська Я.С</v>
      </c>
      <c r="C34" s="12" t="s">
        <v>100</v>
      </c>
      <c r="D34" s="14" t="n">
        <f aca="false">січень!P34</f>
        <v>612.54</v>
      </c>
      <c r="E34" s="14" t="n">
        <f aca="false">січень!Q34</f>
        <v>0</v>
      </c>
      <c r="F34" s="13" t="n">
        <f aca="false">січень!F34</f>
        <v>0</v>
      </c>
      <c r="G34" s="13" t="n">
        <f aca="false">січень!G34</f>
        <v>49.8</v>
      </c>
      <c r="H34" s="13" t="n">
        <f aca="false">січень!H34</f>
        <v>0</v>
      </c>
      <c r="I34" s="13" t="n">
        <f aca="false">січень!I34</f>
        <v>4.1</v>
      </c>
      <c r="J34" s="14" t="n">
        <f aca="false">ROUND(G34*I34,2)</f>
        <v>204.18</v>
      </c>
      <c r="K34" s="14"/>
      <c r="L34" s="14"/>
      <c r="M34" s="14"/>
      <c r="N34" s="14" t="n">
        <f aca="false">ROUND((G34*I34)-K34-L34-M34,2)</f>
        <v>204.18</v>
      </c>
      <c r="O34" s="14"/>
      <c r="P34" s="14" t="n">
        <f aca="false">ROUND(IF(D34=0,IF((N34-E34-O34)&gt;0,(N34-E34-O34),0),IF((D34+N34-O34)&gt;0,(D34+N34-O34),0)),2)</f>
        <v>816.72</v>
      </c>
      <c r="Q34" s="14" t="n">
        <f aca="false">ROUND(IF(E34=0,IF((D34+N34-O34)&lt;0,ABS(D34+N34-O34),0),IF((N34-E34-O34)&lt;0,ABS(N34-E34-O34),0)),2)</f>
        <v>0</v>
      </c>
    </row>
    <row r="35" customFormat="false" ht="15" hidden="false" customHeight="true" outlineLevel="0" collapsed="false">
      <c r="A35" s="12" t="s">
        <v>101</v>
      </c>
      <c r="B35" s="12" t="str">
        <f aca="false">січень!B35</f>
        <v>Мержиєвська Г.К</v>
      </c>
      <c r="C35" s="12" t="s">
        <v>103</v>
      </c>
      <c r="D35" s="14" t="n">
        <f aca="false">січень!P35</f>
        <v>432.6</v>
      </c>
      <c r="E35" s="14" t="n">
        <f aca="false">січень!Q35</f>
        <v>0</v>
      </c>
      <c r="F35" s="13" t="n">
        <f aca="false">січень!F35</f>
        <v>0</v>
      </c>
      <c r="G35" s="13" t="n">
        <f aca="false">січень!G35</f>
        <v>35.17</v>
      </c>
      <c r="H35" s="13" t="n">
        <f aca="false">січень!H35</f>
        <v>0</v>
      </c>
      <c r="I35" s="13" t="n">
        <f aca="false">січень!I35</f>
        <v>4.1</v>
      </c>
      <c r="J35" s="14" t="n">
        <f aca="false">ROUND(G35*I35,2)</f>
        <v>144.2</v>
      </c>
      <c r="K35" s="14"/>
      <c r="L35" s="14"/>
      <c r="M35" s="14"/>
      <c r="N35" s="14" t="n">
        <f aca="false">ROUND((G35*I35)-K35-L35-M35,2)</f>
        <v>144.2</v>
      </c>
      <c r="O35" s="14"/>
      <c r="P35" s="14" t="n">
        <f aca="false">ROUND(IF(D35=0,IF((N35-E35-O35)&gt;0,(N35-E35-O35),0),IF((D35+N35-O35)&gt;0,(D35+N35-O35),0)),2)</f>
        <v>576.8</v>
      </c>
      <c r="Q35" s="14" t="n">
        <f aca="false">ROUND(IF(E35=0,IF((D35+N35-O35)&lt;0,ABS(D35+N35-O35),0),IF((N35-E35-O35)&lt;0,ABS(N35-E35-O35),0)),2)</f>
        <v>0</v>
      </c>
    </row>
    <row r="36" customFormat="false" ht="15" hidden="false" customHeight="true" outlineLevel="0" collapsed="false">
      <c r="A36" s="12" t="s">
        <v>104</v>
      </c>
      <c r="B36" s="12" t="str">
        <f aca="false">січень!B36</f>
        <v>Кулакова Л.В.</v>
      </c>
      <c r="C36" s="12" t="s">
        <v>106</v>
      </c>
      <c r="D36" s="14" t="n">
        <f aca="false">січень!P36</f>
        <v>256.13</v>
      </c>
      <c r="E36" s="14" t="n">
        <f aca="false">січень!Q36</f>
        <v>0</v>
      </c>
      <c r="F36" s="13" t="n">
        <f aca="false">січень!F36</f>
        <v>0</v>
      </c>
      <c r="G36" s="13" t="n">
        <f aca="false">січень!G36</f>
        <v>62.47</v>
      </c>
      <c r="H36" s="13" t="n">
        <f aca="false">січень!H36</f>
        <v>0</v>
      </c>
      <c r="I36" s="13" t="n">
        <f aca="false">січень!I36</f>
        <v>4.1</v>
      </c>
      <c r="J36" s="14" t="n">
        <f aca="false">ROUND(G36*I36,2)</f>
        <v>256.13</v>
      </c>
      <c r="K36" s="14"/>
      <c r="L36" s="14"/>
      <c r="M36" s="14"/>
      <c r="N36" s="14" t="n">
        <f aca="false">ROUND((G36*I36)-K36-L36-M36,2)</f>
        <v>256.13</v>
      </c>
      <c r="O36" s="14"/>
      <c r="P36" s="14" t="n">
        <f aca="false">ROUND(IF(D36=0,IF((N36-E36-O36)&gt;0,(N36-E36-O36),0),IF((D36+N36-O36)&gt;0,(D36+N36-O36),0)),2)</f>
        <v>512.26</v>
      </c>
      <c r="Q36" s="14" t="n">
        <f aca="false">ROUND(IF(E36=0,IF((D36+N36-O36)&lt;0,ABS(D36+N36-O36),0),IF((N36-E36-O36)&lt;0,ABS(N36-E36-O36),0)),2)</f>
        <v>0</v>
      </c>
    </row>
    <row r="37" customFormat="false" ht="15" hidden="false" customHeight="true" outlineLevel="0" collapsed="false">
      <c r="A37" s="12" t="s">
        <v>107</v>
      </c>
      <c r="B37" s="12" t="str">
        <f aca="false">січень!B37</f>
        <v>Бочаров В.Л.</v>
      </c>
      <c r="C37" s="12" t="s">
        <v>109</v>
      </c>
      <c r="D37" s="14" t="n">
        <f aca="false">січень!P37</f>
        <v>7253.1</v>
      </c>
      <c r="E37" s="14" t="n">
        <f aca="false">січень!Q37</f>
        <v>0</v>
      </c>
      <c r="F37" s="13" t="n">
        <f aca="false">січень!F37</f>
        <v>0</v>
      </c>
      <c r="G37" s="13" t="n">
        <f aca="false">січень!G37</f>
        <v>65.75</v>
      </c>
      <c r="H37" s="13" t="n">
        <f aca="false">січень!H37</f>
        <v>0</v>
      </c>
      <c r="I37" s="13" t="n">
        <f aca="false">січень!I37</f>
        <v>4.1</v>
      </c>
      <c r="J37" s="14" t="n">
        <f aca="false">ROUND(G37*I37,2)</f>
        <v>269.58</v>
      </c>
      <c r="K37" s="14"/>
      <c r="L37" s="14"/>
      <c r="M37" s="14"/>
      <c r="N37" s="14" t="n">
        <f aca="false">ROUND((G37*I37)-K37-L37-M37,2)</f>
        <v>269.58</v>
      </c>
      <c r="O37" s="14"/>
      <c r="P37" s="14" t="n">
        <f aca="false">ROUND(IF(D37=0,IF((N37-E37-O37)&gt;0,(N37-E37-O37),0),IF((D37+N37-O37)&gt;0,(D37+N37-O37),0)),2)</f>
        <v>7522.68</v>
      </c>
      <c r="Q37" s="14" t="n">
        <f aca="false">ROUND(IF(E37=0,IF((D37+N37-O37)&lt;0,ABS(D37+N37-O37),0),IF((N37-E37-O37)&lt;0,ABS(N37-E37-O37),0)),2)</f>
        <v>0</v>
      </c>
    </row>
    <row r="38" customFormat="false" ht="15" hidden="false" customHeight="true" outlineLevel="0" collapsed="false">
      <c r="A38" s="12" t="s">
        <v>110</v>
      </c>
      <c r="B38" s="12" t="str">
        <f aca="false">січень!B38</f>
        <v>Лучков В.Л.</v>
      </c>
      <c r="C38" s="12" t="s">
        <v>112</v>
      </c>
      <c r="D38" s="14" t="n">
        <f aca="false">січень!P38</f>
        <v>9772.32</v>
      </c>
      <c r="E38" s="14" t="n">
        <f aca="false">січень!Q38</f>
        <v>0</v>
      </c>
      <c r="F38" s="13" t="n">
        <f aca="false">січень!F38</f>
        <v>0</v>
      </c>
      <c r="G38" s="13" t="n">
        <f aca="false">січень!G38</f>
        <v>49.7</v>
      </c>
      <c r="H38" s="13" t="n">
        <f aca="false">січень!H38</f>
        <v>0</v>
      </c>
      <c r="I38" s="13" t="n">
        <f aca="false">січень!I38</f>
        <v>4.1</v>
      </c>
      <c r="J38" s="14" t="n">
        <f aca="false">ROUND(G38*I38,2)</f>
        <v>203.77</v>
      </c>
      <c r="K38" s="14"/>
      <c r="L38" s="14"/>
      <c r="M38" s="14"/>
      <c r="N38" s="14" t="n">
        <f aca="false">ROUND((G38*I38)-K38-L38-M38,2)</f>
        <v>203.77</v>
      </c>
      <c r="O38" s="14"/>
      <c r="P38" s="14" t="n">
        <f aca="false">ROUND(IF(D38=0,IF((N38-E38-O38)&gt;0,(N38-E38-O38),0),IF((D38+N38-O38)&gt;0,(D38+N38-O38),0)),2)</f>
        <v>9976.09</v>
      </c>
      <c r="Q38" s="14" t="n">
        <f aca="false">ROUND(IF(E38=0,IF((D38+N38-O38)&lt;0,ABS(D38+N38-O38),0),IF((N38-E38-O38)&lt;0,ABS(N38-E38-O38),0)),2)</f>
        <v>0</v>
      </c>
    </row>
    <row r="39" customFormat="false" ht="15" hidden="false" customHeight="true" outlineLevel="0" collapsed="false">
      <c r="A39" s="12" t="s">
        <v>113</v>
      </c>
      <c r="B39" s="12" t="str">
        <f aca="false">січень!B39</f>
        <v>Кашкар Т.М.</v>
      </c>
      <c r="C39" s="12" t="s">
        <v>115</v>
      </c>
      <c r="D39" s="14" t="n">
        <f aca="false">січень!P39</f>
        <v>143.91</v>
      </c>
      <c r="E39" s="14" t="n">
        <f aca="false">січень!Q39</f>
        <v>0</v>
      </c>
      <c r="F39" s="13" t="n">
        <f aca="false">січень!F39</f>
        <v>0</v>
      </c>
      <c r="G39" s="13" t="n">
        <f aca="false">січень!G39</f>
        <v>35.1</v>
      </c>
      <c r="H39" s="13" t="n">
        <f aca="false">січень!H39</f>
        <v>0</v>
      </c>
      <c r="I39" s="13" t="n">
        <f aca="false">січень!I39</f>
        <v>4.1</v>
      </c>
      <c r="J39" s="14" t="n">
        <f aca="false">ROUND(G39*I39,2)</f>
        <v>143.91</v>
      </c>
      <c r="K39" s="14"/>
      <c r="L39" s="14"/>
      <c r="M39" s="14"/>
      <c r="N39" s="14" t="n">
        <f aca="false">ROUND((G39*I39)-K39-L39-M39,2)</f>
        <v>143.91</v>
      </c>
      <c r="O39" s="14"/>
      <c r="P39" s="14" t="n">
        <f aca="false">ROUND(IF(D39=0,IF((N39-E39-O39)&gt;0,(N39-E39-O39),0),IF((D39+N39-O39)&gt;0,(D39+N39-O39),0)),2)</f>
        <v>287.82</v>
      </c>
      <c r="Q39" s="14" t="n">
        <f aca="false">ROUND(IF(E39=0,IF((D39+N39-O39)&lt;0,ABS(D39+N39-O39),0),IF((N39-E39-O39)&lt;0,ABS(N39-E39-O39),0)),2)</f>
        <v>0</v>
      </c>
    </row>
    <row r="40" customFormat="false" ht="15" hidden="false" customHeight="true" outlineLevel="0" collapsed="false">
      <c r="A40" s="12" t="s">
        <v>116</v>
      </c>
      <c r="B40" s="12" t="str">
        <f aca="false">січень!B40</f>
        <v>Стецюк Н.П.</v>
      </c>
      <c r="C40" s="12" t="s">
        <v>118</v>
      </c>
      <c r="D40" s="14" t="n">
        <f aca="false">січень!P40</f>
        <v>1171.9</v>
      </c>
      <c r="E40" s="14" t="n">
        <f aca="false">січень!Q40</f>
        <v>0</v>
      </c>
      <c r="F40" s="13" t="n">
        <f aca="false">січень!F40</f>
        <v>0</v>
      </c>
      <c r="G40" s="13" t="n">
        <f aca="false">січень!G40</f>
        <v>61.9</v>
      </c>
      <c r="H40" s="13" t="n">
        <f aca="false">січень!H40</f>
        <v>0</v>
      </c>
      <c r="I40" s="13" t="n">
        <f aca="false">січень!I40</f>
        <v>4.1</v>
      </c>
      <c r="J40" s="14" t="n">
        <f aca="false">ROUND(G40*I40,2)</f>
        <v>253.79</v>
      </c>
      <c r="K40" s="14"/>
      <c r="L40" s="14"/>
      <c r="M40" s="14"/>
      <c r="N40" s="14" t="n">
        <f aca="false">ROUND((G40*I40)-K40-L40-M40,2)</f>
        <v>253.79</v>
      </c>
      <c r="O40" s="14"/>
      <c r="P40" s="14" t="n">
        <f aca="false">ROUND(IF(D40=0,IF((N40-E40-O40)&gt;0,(N40-E40-O40),0),IF((D40+N40-O40)&gt;0,(D40+N40-O40),0)),2)</f>
        <v>1425.69</v>
      </c>
      <c r="Q40" s="14" t="n">
        <f aca="false">ROUND(IF(E40=0,IF((D40+N40-O40)&lt;0,ABS(D40+N40-O40),0),IF((N40-E40-O40)&lt;0,ABS(N40-E40-O40),0)),2)</f>
        <v>0</v>
      </c>
    </row>
    <row r="41" customFormat="false" ht="15" hidden="false" customHeight="true" outlineLevel="0" collapsed="false">
      <c r="A41" s="12" t="s">
        <v>119</v>
      </c>
      <c r="B41" s="12" t="str">
        <f aca="false">січень!B41</f>
        <v>Маханько В.О.</v>
      </c>
      <c r="C41" s="12" t="s">
        <v>121</v>
      </c>
      <c r="D41" s="14" t="n">
        <f aca="false">січень!P41</f>
        <v>9830.08</v>
      </c>
      <c r="E41" s="14" t="n">
        <f aca="false">січень!Q41</f>
        <v>0</v>
      </c>
      <c r="F41" s="13" t="n">
        <f aca="false">січень!F41</f>
        <v>0</v>
      </c>
      <c r="G41" s="13" t="n">
        <f aca="false">січень!G41</f>
        <v>65.53</v>
      </c>
      <c r="H41" s="13" t="n">
        <f aca="false">січень!H41</f>
        <v>0</v>
      </c>
      <c r="I41" s="13" t="n">
        <f aca="false">січень!I41</f>
        <v>4.1</v>
      </c>
      <c r="J41" s="14" t="n">
        <f aca="false">ROUND(G41*I41,2)</f>
        <v>268.67</v>
      </c>
      <c r="K41" s="14"/>
      <c r="L41" s="14"/>
      <c r="M41" s="14"/>
      <c r="N41" s="14" t="n">
        <f aca="false">ROUND((G41*I41)-K41-L41-M41,2)</f>
        <v>268.67</v>
      </c>
      <c r="O41" s="14"/>
      <c r="P41" s="14" t="n">
        <f aca="false">ROUND(IF(D41=0,IF((N41-E41-O41)&gt;0,(N41-E41-O41),0),IF((D41+N41-O41)&gt;0,(D41+N41-O41),0)),2)</f>
        <v>10098.75</v>
      </c>
      <c r="Q41" s="14" t="n">
        <f aca="false">ROUND(IF(E41=0,IF((D41+N41-O41)&lt;0,ABS(D41+N41-O41),0),IF((N41-E41-O41)&lt;0,ABS(N41-E41-O41),0)),2)</f>
        <v>0</v>
      </c>
    </row>
    <row r="42" customFormat="false" ht="15" hidden="false" customHeight="true" outlineLevel="0" collapsed="false">
      <c r="A42" s="12" t="s">
        <v>122</v>
      </c>
      <c r="B42" s="12" t="str">
        <f aca="false">січень!B42</f>
        <v>Реуцька Р.С.</v>
      </c>
      <c r="C42" s="12" t="s">
        <v>124</v>
      </c>
      <c r="D42" s="14" t="n">
        <f aca="false">січень!P42</f>
        <v>8465.23</v>
      </c>
      <c r="E42" s="14" t="n">
        <f aca="false">січень!Q42</f>
        <v>0</v>
      </c>
      <c r="F42" s="13" t="n">
        <f aca="false">січень!F42</f>
        <v>0</v>
      </c>
      <c r="G42" s="13" t="n">
        <f aca="false">січень!G42</f>
        <v>49.7</v>
      </c>
      <c r="H42" s="13" t="n">
        <f aca="false">січень!H42</f>
        <v>0</v>
      </c>
      <c r="I42" s="13" t="n">
        <f aca="false">січень!I42</f>
        <v>4.1</v>
      </c>
      <c r="J42" s="14" t="n">
        <f aca="false">ROUND(G42*I42,2)</f>
        <v>203.77</v>
      </c>
      <c r="K42" s="14"/>
      <c r="L42" s="14"/>
      <c r="M42" s="14"/>
      <c r="N42" s="14" t="n">
        <f aca="false">ROUND((G42*I42)-K42-L42-M42,2)</f>
        <v>203.77</v>
      </c>
      <c r="O42" s="14"/>
      <c r="P42" s="14" t="n">
        <f aca="false">ROUND(IF(D42=0,IF((N42-E42-O42)&gt;0,(N42-E42-O42),0),IF((D42+N42-O42)&gt;0,(D42+N42-O42),0)),2)</f>
        <v>8669</v>
      </c>
      <c r="Q42" s="14" t="n">
        <f aca="false">ROUND(IF(E42=0,IF((D42+N42-O42)&lt;0,ABS(D42+N42-O42),0),IF((N42-E42-O42)&lt;0,ABS(N42-E42-O42),0)),2)</f>
        <v>0</v>
      </c>
    </row>
    <row r="43" customFormat="false" ht="15" hidden="false" customHeight="true" outlineLevel="0" collapsed="false">
      <c r="A43" s="12" t="s">
        <v>125</v>
      </c>
      <c r="B43" s="12" t="str">
        <f aca="false">січень!B43</f>
        <v>Колесникова Р.Г.</v>
      </c>
      <c r="C43" s="12" t="s">
        <v>127</v>
      </c>
      <c r="D43" s="14" t="n">
        <f aca="false">січень!P43</f>
        <v>2020.47</v>
      </c>
      <c r="E43" s="14" t="n">
        <f aca="false">січень!Q43</f>
        <v>0</v>
      </c>
      <c r="F43" s="13" t="n">
        <f aca="false">січень!F43</f>
        <v>0</v>
      </c>
      <c r="G43" s="13" t="n">
        <f aca="false">січень!G43</f>
        <v>35.1</v>
      </c>
      <c r="H43" s="13" t="n">
        <f aca="false">січень!H43</f>
        <v>0</v>
      </c>
      <c r="I43" s="13" t="n">
        <f aca="false">січень!I43</f>
        <v>4.1</v>
      </c>
      <c r="J43" s="14" t="n">
        <f aca="false">ROUND(G43*I43,2)</f>
        <v>143.91</v>
      </c>
      <c r="K43" s="14"/>
      <c r="L43" s="14"/>
      <c r="M43" s="14"/>
      <c r="N43" s="14" t="n">
        <f aca="false">ROUND((G43*I43)-K43-L43-M43,2)</f>
        <v>143.91</v>
      </c>
      <c r="O43" s="14"/>
      <c r="P43" s="14" t="n">
        <f aca="false">ROUND(IF(D43=0,IF((N43-E43-O43)&gt;0,(N43-E43-O43),0),IF((D43+N43-O43)&gt;0,(D43+N43-O43),0)),2)</f>
        <v>2164.38</v>
      </c>
      <c r="Q43" s="14" t="n">
        <f aca="false">ROUND(IF(E43=0,IF((D43+N43-O43)&lt;0,ABS(D43+N43-O43),0),IF((N43-E43-O43)&lt;0,ABS(N43-E43-O43),0)),2)</f>
        <v>0</v>
      </c>
    </row>
    <row r="44" customFormat="false" ht="15" hidden="false" customHeight="true" outlineLevel="0" collapsed="false">
      <c r="A44" s="12" t="s">
        <v>128</v>
      </c>
      <c r="B44" s="12" t="str">
        <f aca="false">січень!B44</f>
        <v>Кучеренко М.М.</v>
      </c>
      <c r="C44" s="12" t="s">
        <v>130</v>
      </c>
      <c r="D44" s="14" t="n">
        <f aca="false">січень!P44</f>
        <v>11475.1</v>
      </c>
      <c r="E44" s="14" t="n">
        <f aca="false">січень!Q44</f>
        <v>0</v>
      </c>
      <c r="F44" s="13" t="n">
        <f aca="false">січень!F44</f>
        <v>0</v>
      </c>
      <c r="G44" s="13" t="n">
        <f aca="false">січень!G44</f>
        <v>61.88</v>
      </c>
      <c r="H44" s="13" t="n">
        <f aca="false">січень!H44</f>
        <v>0</v>
      </c>
      <c r="I44" s="13" t="n">
        <f aca="false">січень!I44</f>
        <v>4.1</v>
      </c>
      <c r="J44" s="14" t="n">
        <f aca="false">ROUND(G44*I44,2)</f>
        <v>253.71</v>
      </c>
      <c r="K44" s="14"/>
      <c r="L44" s="14"/>
      <c r="M44" s="14"/>
      <c r="N44" s="14" t="n">
        <f aca="false">ROUND((G44*I44)-K44-L44-M44,2)</f>
        <v>253.71</v>
      </c>
      <c r="O44" s="14"/>
      <c r="P44" s="14" t="n">
        <f aca="false">ROUND(IF(D44=0,IF((N44-E44-O44)&gt;0,(N44-E44-O44),0),IF((D44+N44-O44)&gt;0,(D44+N44-O44),0)),2)</f>
        <v>11728.81</v>
      </c>
      <c r="Q44" s="14" t="n">
        <f aca="false">ROUND(IF(E44=0,IF((D44+N44-O44)&lt;0,ABS(D44+N44-O44),0),IF((N44-E44-O44)&lt;0,ABS(N44-E44-O44),0)),2)</f>
        <v>0</v>
      </c>
    </row>
    <row r="45" customFormat="false" ht="15" hidden="false" customHeight="true" outlineLevel="0" collapsed="false">
      <c r="A45" s="12" t="s">
        <v>131</v>
      </c>
      <c r="B45" s="12" t="str">
        <f aca="false">січень!B45</f>
        <v>Гурова О.М.</v>
      </c>
      <c r="C45" s="12" t="s">
        <v>133</v>
      </c>
      <c r="D45" s="14" t="n">
        <f aca="false">січень!P45</f>
        <v>0</v>
      </c>
      <c r="E45" s="14" t="n">
        <f aca="false">січень!Q45</f>
        <v>61.35</v>
      </c>
      <c r="F45" s="13" t="n">
        <f aca="false">січень!F45</f>
        <v>0</v>
      </c>
      <c r="G45" s="13" t="n">
        <f aca="false">січень!G45</f>
        <v>62.2</v>
      </c>
      <c r="H45" s="13" t="n">
        <f aca="false">січень!H45</f>
        <v>0</v>
      </c>
      <c r="I45" s="13" t="n">
        <f aca="false">січень!I45</f>
        <v>4.1</v>
      </c>
      <c r="J45" s="14" t="n">
        <f aca="false">ROUND(G45*I45,2)</f>
        <v>255.02</v>
      </c>
      <c r="K45" s="14"/>
      <c r="L45" s="14"/>
      <c r="M45" s="14"/>
      <c r="N45" s="14" t="n">
        <f aca="false">ROUND((G45*I45)-K45-L45-M45,2)</f>
        <v>255.02</v>
      </c>
      <c r="O45" s="14"/>
      <c r="P45" s="14" t="n">
        <f aca="false">ROUND(IF(D45=0,IF((N45-E45-O45)&gt;0,(N45-E45-O45),0),IF((D45+N45-O45)&gt;0,(D45+N45-O45),0)),2)</f>
        <v>193.67</v>
      </c>
      <c r="Q45" s="14" t="n">
        <f aca="false">ROUND(IF(E45=0,IF((D45+N45-O45)&lt;0,ABS(D45+N45-O45),0),IF((N45-E45-O45)&lt;0,ABS(N45-E45-O45),0)),2)</f>
        <v>0</v>
      </c>
    </row>
    <row r="46" customFormat="false" ht="15" hidden="false" customHeight="true" outlineLevel="0" collapsed="false">
      <c r="A46" s="12" t="s">
        <v>134</v>
      </c>
      <c r="B46" s="12" t="str">
        <f aca="false">січень!B46</f>
        <v>Федорова В.І.</v>
      </c>
      <c r="C46" s="12" t="s">
        <v>136</v>
      </c>
      <c r="D46" s="14" t="n">
        <f aca="false">січень!P46</f>
        <v>0</v>
      </c>
      <c r="E46" s="14" t="n">
        <f aca="false">січень!Q46</f>
        <v>213.82</v>
      </c>
      <c r="F46" s="13" t="n">
        <f aca="false">січень!F46</f>
        <v>0</v>
      </c>
      <c r="G46" s="13" t="n">
        <f aca="false">січень!G46</f>
        <v>34.9</v>
      </c>
      <c r="H46" s="13" t="n">
        <f aca="false">січень!H46</f>
        <v>0</v>
      </c>
      <c r="I46" s="13" t="n">
        <f aca="false">січень!I46</f>
        <v>4.1</v>
      </c>
      <c r="J46" s="14" t="n">
        <f aca="false">ROUND(G46*I46,2)</f>
        <v>143.09</v>
      </c>
      <c r="K46" s="14"/>
      <c r="L46" s="14"/>
      <c r="M46" s="14"/>
      <c r="N46" s="14" t="n">
        <f aca="false">ROUND((G46*I46)-K46-L46-M46,2)</f>
        <v>143.09</v>
      </c>
      <c r="O46" s="14"/>
      <c r="P46" s="14" t="n">
        <f aca="false">ROUND(IF(D46=0,IF((N46-E46-O46)&gt;0,(N46-E46-O46),0),IF((D46+N46-O46)&gt;0,(D46+N46-O46),0)),2)</f>
        <v>0</v>
      </c>
      <c r="Q46" s="14" t="n">
        <f aca="false">ROUND(IF(E46=0,IF((D46+N46-O46)&lt;0,ABS(D46+N46-O46),0),IF((N46-E46-O46)&lt;0,ABS(N46-E46-O46),0)),2)</f>
        <v>70.73</v>
      </c>
    </row>
    <row r="47" customFormat="false" ht="15" hidden="false" customHeight="true" outlineLevel="0" collapsed="false">
      <c r="A47" s="12" t="s">
        <v>137</v>
      </c>
      <c r="B47" s="12" t="str">
        <f aca="false">січень!B47</f>
        <v>Лаптєв В.І.</v>
      </c>
      <c r="C47" s="12" t="s">
        <v>139</v>
      </c>
      <c r="D47" s="14" t="n">
        <f aca="false">січень!P47</f>
        <v>200.08</v>
      </c>
      <c r="E47" s="14" t="n">
        <f aca="false">січень!Q47</f>
        <v>0</v>
      </c>
      <c r="F47" s="13" t="n">
        <f aca="false">січень!F47</f>
        <v>0</v>
      </c>
      <c r="G47" s="13" t="n">
        <f aca="false">січень!G47</f>
        <v>48.8</v>
      </c>
      <c r="H47" s="13" t="n">
        <f aca="false">січень!H47</f>
        <v>0</v>
      </c>
      <c r="I47" s="13" t="n">
        <f aca="false">січень!I47</f>
        <v>4.1</v>
      </c>
      <c r="J47" s="14" t="n">
        <f aca="false">ROUND(G47*I47,2)</f>
        <v>200.08</v>
      </c>
      <c r="K47" s="14"/>
      <c r="L47" s="14"/>
      <c r="M47" s="14"/>
      <c r="N47" s="14" t="n">
        <f aca="false">ROUND((G47*I47)-K47-L47-M47,2)</f>
        <v>200.08</v>
      </c>
      <c r="O47" s="14"/>
      <c r="P47" s="14" t="n">
        <f aca="false">ROUND(IF(D47=0,IF((N47-E47-O47)&gt;0,(N47-E47-O47),0),IF((D47+N47-O47)&gt;0,(D47+N47-O47),0)),2)</f>
        <v>400.16</v>
      </c>
      <c r="Q47" s="14" t="n">
        <f aca="false">ROUND(IF(E47=0,IF((D47+N47-O47)&lt;0,ABS(D47+N47-O47),0),IF((N47-E47-O47)&lt;0,ABS(N47-E47-O47),0)),2)</f>
        <v>0</v>
      </c>
    </row>
    <row r="48" customFormat="false" ht="15" hidden="false" customHeight="true" outlineLevel="0" collapsed="false">
      <c r="A48" s="12" t="s">
        <v>140</v>
      </c>
      <c r="B48" s="12" t="str">
        <f aca="false">січень!B48</f>
        <v>Тимощук О.Є.</v>
      </c>
      <c r="C48" s="12" t="s">
        <v>142</v>
      </c>
      <c r="D48" s="14" t="n">
        <f aca="false">січень!P48</f>
        <v>234.93</v>
      </c>
      <c r="E48" s="14" t="n">
        <f aca="false">січень!Q48</f>
        <v>0</v>
      </c>
      <c r="F48" s="13" t="n">
        <f aca="false">січень!F48</f>
        <v>0</v>
      </c>
      <c r="G48" s="13" t="n">
        <f aca="false">січень!G48</f>
        <v>57.3</v>
      </c>
      <c r="H48" s="13" t="n">
        <f aca="false">січень!H48</f>
        <v>0</v>
      </c>
      <c r="I48" s="13" t="n">
        <f aca="false">січень!I48</f>
        <v>4.1</v>
      </c>
      <c r="J48" s="14" t="n">
        <f aca="false">ROUND(G48*I48,2)</f>
        <v>234.93</v>
      </c>
      <c r="K48" s="14"/>
      <c r="L48" s="14"/>
      <c r="M48" s="14"/>
      <c r="N48" s="14" t="n">
        <f aca="false">ROUND((G48*I48)-K48-L48-M48,2)</f>
        <v>234.93</v>
      </c>
      <c r="O48" s="14"/>
      <c r="P48" s="14" t="n">
        <f aca="false">ROUND(IF(D48=0,IF((N48-E48-O48)&gt;0,(N48-E48-O48),0),IF((D48+N48-O48)&gt;0,(D48+N48-O48),0)),2)</f>
        <v>469.86</v>
      </c>
      <c r="Q48" s="14" t="n">
        <f aca="false">ROUND(IF(E48=0,IF((D48+N48-O48)&lt;0,ABS(D48+N48-O48),0),IF((N48-E48-O48)&lt;0,ABS(N48-E48-O48),0)),2)</f>
        <v>0</v>
      </c>
    </row>
    <row r="49" customFormat="false" ht="15" hidden="false" customHeight="true" outlineLevel="0" collapsed="false">
      <c r="A49" s="12" t="s">
        <v>143</v>
      </c>
      <c r="B49" s="12" t="str">
        <f aca="false">січень!B49</f>
        <v>Котяш О.В.</v>
      </c>
      <c r="C49" s="12" t="s">
        <v>145</v>
      </c>
      <c r="D49" s="14" t="n">
        <f aca="false">січень!P49</f>
        <v>3372.18</v>
      </c>
      <c r="E49" s="14" t="n">
        <f aca="false">січень!Q49</f>
        <v>0</v>
      </c>
      <c r="F49" s="13" t="n">
        <f aca="false">січень!F49</f>
        <v>0</v>
      </c>
      <c r="G49" s="13" t="n">
        <f aca="false">січень!G49</f>
        <v>63.3</v>
      </c>
      <c r="H49" s="13" t="n">
        <f aca="false">січень!H49</f>
        <v>0</v>
      </c>
      <c r="I49" s="13" t="n">
        <f aca="false">січень!I49</f>
        <v>4.1</v>
      </c>
      <c r="J49" s="14" t="n">
        <f aca="false">ROUND(G49*I49,2)</f>
        <v>259.53</v>
      </c>
      <c r="K49" s="14"/>
      <c r="L49" s="14"/>
      <c r="M49" s="14"/>
      <c r="N49" s="14" t="n">
        <f aca="false">ROUND((G49*I49)-K49-L49-M49,2)</f>
        <v>259.53</v>
      </c>
      <c r="O49" s="14"/>
      <c r="P49" s="14" t="n">
        <f aca="false">ROUND(IF(D49=0,IF((N49-E49-O49)&gt;0,(N49-E49-O49),0),IF((D49+N49-O49)&gt;0,(D49+N49-O49),0)),2)</f>
        <v>3631.71</v>
      </c>
      <c r="Q49" s="14" t="n">
        <f aca="false">ROUND(IF(E49=0,IF((D49+N49-O49)&lt;0,ABS(D49+N49-O49),0),IF((N49-E49-O49)&lt;0,ABS(N49-E49-O49),0)),2)</f>
        <v>0</v>
      </c>
    </row>
    <row r="50" customFormat="false" ht="15" hidden="false" customHeight="true" outlineLevel="0" collapsed="false">
      <c r="A50" s="12" t="s">
        <v>146</v>
      </c>
      <c r="B50" s="12" t="str">
        <f aca="false">січень!B50</f>
        <v>Токовило-Паращенко Л.П.</v>
      </c>
      <c r="C50" s="12" t="s">
        <v>148</v>
      </c>
      <c r="D50" s="14" t="n">
        <f aca="false">січень!P50</f>
        <v>146.29</v>
      </c>
      <c r="E50" s="14" t="n">
        <f aca="false">січень!Q50</f>
        <v>0</v>
      </c>
      <c r="F50" s="13" t="n">
        <f aca="false">січень!F50</f>
        <v>0</v>
      </c>
      <c r="G50" s="13" t="n">
        <f aca="false">січень!G50</f>
        <v>35.68</v>
      </c>
      <c r="H50" s="13" t="n">
        <f aca="false">січень!H50</f>
        <v>0</v>
      </c>
      <c r="I50" s="13" t="n">
        <f aca="false">січень!I50</f>
        <v>4.1</v>
      </c>
      <c r="J50" s="14" t="n">
        <f aca="false">ROUND(G50*I50,2)</f>
        <v>146.29</v>
      </c>
      <c r="K50" s="14"/>
      <c r="L50" s="14"/>
      <c r="M50" s="14"/>
      <c r="N50" s="14" t="n">
        <f aca="false">ROUND((G50*I50)-K50-L50-M50,2)</f>
        <v>146.29</v>
      </c>
      <c r="O50" s="14"/>
      <c r="P50" s="14" t="n">
        <f aca="false">ROUND(IF(D50=0,IF((N50-E50-O50)&gt;0,(N50-E50-O50),0),IF((D50+N50-O50)&gt;0,(D50+N50-O50),0)),2)</f>
        <v>292.58</v>
      </c>
      <c r="Q50" s="14" t="n">
        <f aca="false">ROUND(IF(E50=0,IF((D50+N50-O50)&lt;0,ABS(D50+N50-O50),0),IF((N50-E50-O50)&lt;0,ABS(N50-E50-O50),0)),2)</f>
        <v>0</v>
      </c>
    </row>
    <row r="51" customFormat="false" ht="15" hidden="false" customHeight="true" outlineLevel="0" collapsed="false">
      <c r="A51" s="12" t="s">
        <v>149</v>
      </c>
      <c r="B51" s="12" t="str">
        <f aca="false">січень!B51</f>
        <v>Бєлая К.В.</v>
      </c>
      <c r="C51" s="12" t="s">
        <v>151</v>
      </c>
      <c r="D51" s="14" t="n">
        <f aca="false">січень!P51</f>
        <v>3024.58</v>
      </c>
      <c r="E51" s="14" t="n">
        <f aca="false">січень!Q51</f>
        <v>0</v>
      </c>
      <c r="F51" s="13" t="n">
        <f aca="false">січень!F51</f>
        <v>0</v>
      </c>
      <c r="G51" s="13" t="n">
        <f aca="false">січень!G51</f>
        <v>49.8</v>
      </c>
      <c r="H51" s="13" t="n">
        <f aca="false">січень!H51</f>
        <v>0</v>
      </c>
      <c r="I51" s="13" t="n">
        <f aca="false">січень!I51</f>
        <v>4.1</v>
      </c>
      <c r="J51" s="14" t="n">
        <f aca="false">ROUND(G51*I51,2)</f>
        <v>204.18</v>
      </c>
      <c r="K51" s="14"/>
      <c r="L51" s="14"/>
      <c r="M51" s="14"/>
      <c r="N51" s="14" t="n">
        <f aca="false">ROUND((G51*I51)-K51-L51-M51,2)</f>
        <v>204.18</v>
      </c>
      <c r="O51" s="14"/>
      <c r="P51" s="14" t="n">
        <f aca="false">ROUND(IF(D51=0,IF((N51-E51-O51)&gt;0,(N51-E51-O51),0),IF((D51+N51-O51)&gt;0,(D51+N51-O51),0)),2)</f>
        <v>3228.76</v>
      </c>
      <c r="Q51" s="14" t="n">
        <f aca="false">ROUND(IF(E51=0,IF((D51+N51-O51)&lt;0,ABS(D51+N51-O51),0),IF((N51-E51-O51)&lt;0,ABS(N51-E51-O51),0)),2)</f>
        <v>0</v>
      </c>
    </row>
    <row r="52" customFormat="false" ht="15" hidden="false" customHeight="true" outlineLevel="0" collapsed="false">
      <c r="A52" s="12" t="s">
        <v>152</v>
      </c>
      <c r="B52" s="12" t="str">
        <f aca="false">січень!B52</f>
        <v>Стадник О.Ф.</v>
      </c>
      <c r="C52" s="12" t="s">
        <v>154</v>
      </c>
      <c r="D52" s="14" t="n">
        <f aca="false">січень!P52</f>
        <v>5995.66</v>
      </c>
      <c r="E52" s="14" t="n">
        <f aca="false">січень!Q52</f>
        <v>0</v>
      </c>
      <c r="F52" s="13" t="n">
        <f aca="false">січень!F52</f>
        <v>0</v>
      </c>
      <c r="G52" s="13" t="n">
        <f aca="false">січень!G52</f>
        <v>65.9</v>
      </c>
      <c r="H52" s="13" t="n">
        <f aca="false">січень!H52</f>
        <v>0</v>
      </c>
      <c r="I52" s="13" t="n">
        <f aca="false">січень!I52</f>
        <v>4.1</v>
      </c>
      <c r="J52" s="14" t="n">
        <f aca="false">ROUND(G52*I52,2)</f>
        <v>270.19</v>
      </c>
      <c r="K52" s="14"/>
      <c r="L52" s="14"/>
      <c r="M52" s="14"/>
      <c r="N52" s="14" t="n">
        <f aca="false">ROUND((G52*I52)-K52-L52-M52,2)</f>
        <v>270.19</v>
      </c>
      <c r="O52" s="14"/>
      <c r="P52" s="14" t="n">
        <f aca="false">ROUND(IF(D52=0,IF((N52-E52-O52)&gt;0,(N52-E52-O52),0),IF((D52+N52-O52)&gt;0,(D52+N52-O52),0)),2)</f>
        <v>6265.85</v>
      </c>
      <c r="Q52" s="14" t="n">
        <f aca="false">ROUND(IF(E52=0,IF((D52+N52-O52)&lt;0,ABS(D52+N52-O52),0),IF((N52-E52-O52)&lt;0,ABS(N52-E52-O52),0)),2)</f>
        <v>0</v>
      </c>
    </row>
    <row r="53" customFormat="false" ht="15" hidden="false" customHeight="true" outlineLevel="0" collapsed="false">
      <c r="A53" s="12" t="s">
        <v>155</v>
      </c>
      <c r="B53" s="12" t="str">
        <f aca="false">січень!B53</f>
        <v>Ляшенко В.М.</v>
      </c>
      <c r="C53" s="12" t="s">
        <v>157</v>
      </c>
      <c r="D53" s="14" t="n">
        <f aca="false">січень!P53</f>
        <v>254.2</v>
      </c>
      <c r="E53" s="14" t="n">
        <f aca="false">січень!Q53</f>
        <v>0</v>
      </c>
      <c r="F53" s="13" t="n">
        <f aca="false">січень!F53</f>
        <v>0</v>
      </c>
      <c r="G53" s="13" t="n">
        <f aca="false">січень!G53</f>
        <v>62</v>
      </c>
      <c r="H53" s="13" t="n">
        <f aca="false">січень!H53</f>
        <v>0</v>
      </c>
      <c r="I53" s="13" t="n">
        <f aca="false">січень!I53</f>
        <v>4.1</v>
      </c>
      <c r="J53" s="14" t="n">
        <f aca="false">ROUND(G53*I53,2)</f>
        <v>254.2</v>
      </c>
      <c r="K53" s="14"/>
      <c r="L53" s="14"/>
      <c r="M53" s="14"/>
      <c r="N53" s="14" t="n">
        <f aca="false">ROUND((G53*I53)-K53-L53-M53,2)</f>
        <v>254.2</v>
      </c>
      <c r="O53" s="14"/>
      <c r="P53" s="14" t="n">
        <f aca="false">ROUND(IF(D53=0,IF((N53-E53-O53)&gt;0,(N53-E53-O53),0),IF((D53+N53-O53)&gt;0,(D53+N53-O53),0)),2)</f>
        <v>508.4</v>
      </c>
      <c r="Q53" s="14" t="n">
        <f aca="false">ROUND(IF(E53=0,IF((D53+N53-O53)&lt;0,ABS(D53+N53-O53),0),IF((N53-E53-O53)&lt;0,ABS(N53-E53-O53),0)),2)</f>
        <v>0</v>
      </c>
    </row>
    <row r="54" customFormat="false" ht="15" hidden="false" customHeight="true" outlineLevel="0" collapsed="false">
      <c r="A54" s="12" t="s">
        <v>158</v>
      </c>
      <c r="B54" s="12" t="str">
        <f aca="false">січень!B54</f>
        <v>Смоленська Т.О.</v>
      </c>
      <c r="C54" s="12" t="s">
        <v>160</v>
      </c>
      <c r="D54" s="14" t="n">
        <f aca="false">січень!P54</f>
        <v>143.91</v>
      </c>
      <c r="E54" s="14" t="n">
        <f aca="false">січень!Q54</f>
        <v>0</v>
      </c>
      <c r="F54" s="13" t="n">
        <f aca="false">січень!F54</f>
        <v>0</v>
      </c>
      <c r="G54" s="13" t="n">
        <f aca="false">січень!G54</f>
        <v>35.1</v>
      </c>
      <c r="H54" s="13" t="n">
        <f aca="false">січень!H54</f>
        <v>0</v>
      </c>
      <c r="I54" s="13" t="n">
        <f aca="false">січень!I54</f>
        <v>4.1</v>
      </c>
      <c r="J54" s="14" t="n">
        <f aca="false">ROUND(G54*I54,2)</f>
        <v>143.91</v>
      </c>
      <c r="K54" s="14"/>
      <c r="L54" s="14"/>
      <c r="M54" s="14"/>
      <c r="N54" s="14" t="n">
        <f aca="false">ROUND((G54*I54)-K54-L54-M54,2)</f>
        <v>143.91</v>
      </c>
      <c r="O54" s="14"/>
      <c r="P54" s="14" t="n">
        <f aca="false">ROUND(IF(D54=0,IF((N54-E54-O54)&gt;0,(N54-E54-O54),0),IF((D54+N54-O54)&gt;0,(D54+N54-O54),0)),2)</f>
        <v>287.82</v>
      </c>
      <c r="Q54" s="14" t="n">
        <f aca="false">ROUND(IF(E54=0,IF((D54+N54-O54)&lt;0,ABS(D54+N54-O54),0),IF((N54-E54-O54)&lt;0,ABS(N54-E54-O54),0)),2)</f>
        <v>0</v>
      </c>
    </row>
    <row r="55" customFormat="false" ht="15" hidden="false" customHeight="true" outlineLevel="0" collapsed="false">
      <c r="A55" s="12" t="s">
        <v>161</v>
      </c>
      <c r="B55" s="12" t="str">
        <f aca="false">січень!B55</f>
        <v>Дудка І.В.</v>
      </c>
      <c r="C55" s="12" t="s">
        <v>163</v>
      </c>
      <c r="D55" s="14" t="n">
        <f aca="false">січень!P55</f>
        <v>203.36</v>
      </c>
      <c r="E55" s="14" t="n">
        <f aca="false">січень!Q55</f>
        <v>0</v>
      </c>
      <c r="F55" s="13" t="n">
        <f aca="false">січень!F55</f>
        <v>0</v>
      </c>
      <c r="G55" s="13" t="n">
        <f aca="false">січень!G55</f>
        <v>49.6</v>
      </c>
      <c r="H55" s="13" t="n">
        <f aca="false">січень!H55</f>
        <v>0</v>
      </c>
      <c r="I55" s="13" t="n">
        <f aca="false">січень!I55</f>
        <v>4.1</v>
      </c>
      <c r="J55" s="14" t="n">
        <f aca="false">ROUND(G55*I55,2)</f>
        <v>203.36</v>
      </c>
      <c r="K55" s="14"/>
      <c r="L55" s="14"/>
      <c r="M55" s="14"/>
      <c r="N55" s="14" t="n">
        <f aca="false">ROUND((G55*I55)-K55-L55-M55,2)</f>
        <v>203.36</v>
      </c>
      <c r="O55" s="14"/>
      <c r="P55" s="14" t="n">
        <f aca="false">ROUND(IF(D55=0,IF((N55-E55-O55)&gt;0,(N55-E55-O55),0),IF((D55+N55-O55)&gt;0,(D55+N55-O55),0)),2)</f>
        <v>406.72</v>
      </c>
      <c r="Q55" s="14" t="n">
        <f aca="false">ROUND(IF(E55=0,IF((D55+N55-O55)&lt;0,ABS(D55+N55-O55),0),IF((N55-E55-O55)&lt;0,ABS(N55-E55-O55),0)),2)</f>
        <v>0</v>
      </c>
    </row>
    <row r="56" customFormat="false" ht="15" hidden="false" customHeight="true" outlineLevel="0" collapsed="false">
      <c r="A56" s="12" t="s">
        <v>164</v>
      </c>
      <c r="B56" s="12" t="str">
        <f aca="false">січень!B56</f>
        <v>Буланова Л.І.</v>
      </c>
      <c r="C56" s="12" t="s">
        <v>166</v>
      </c>
      <c r="D56" s="14" t="n">
        <f aca="false">січень!P56</f>
        <v>272.4</v>
      </c>
      <c r="E56" s="14" t="n">
        <f aca="false">січень!Q56</f>
        <v>0</v>
      </c>
      <c r="F56" s="13" t="n">
        <f aca="false">січень!F56</f>
        <v>0</v>
      </c>
      <c r="G56" s="13" t="n">
        <f aca="false">січень!G56</f>
        <v>66.44</v>
      </c>
      <c r="H56" s="13" t="n">
        <f aca="false">січень!H56</f>
        <v>0</v>
      </c>
      <c r="I56" s="13" t="n">
        <f aca="false">січень!I56</f>
        <v>4.1</v>
      </c>
      <c r="J56" s="14" t="n">
        <f aca="false">ROUND(G56*I56,2)</f>
        <v>272.4</v>
      </c>
      <c r="K56" s="14"/>
      <c r="L56" s="14"/>
      <c r="M56" s="14"/>
      <c r="N56" s="14" t="n">
        <f aca="false">ROUND((G56*I56)-K56-L56-M56,2)</f>
        <v>272.4</v>
      </c>
      <c r="O56" s="14"/>
      <c r="P56" s="14" t="n">
        <f aca="false">ROUND(IF(D56=0,IF((N56-E56-O56)&gt;0,(N56-E56-O56),0),IF((D56+N56-O56)&gt;0,(D56+N56-O56),0)),2)</f>
        <v>544.8</v>
      </c>
      <c r="Q56" s="14" t="n">
        <f aca="false">ROUND(IF(E56=0,IF((D56+N56-O56)&lt;0,ABS(D56+N56-O56),0),IF((N56-E56-O56)&lt;0,ABS(N56-E56-O56),0)),2)</f>
        <v>0</v>
      </c>
    </row>
    <row r="57" customFormat="false" ht="15" hidden="false" customHeight="true" outlineLevel="0" collapsed="false">
      <c r="A57" s="12" t="s">
        <v>167</v>
      </c>
      <c r="B57" s="12" t="str">
        <f aca="false">січень!B57</f>
        <v>Шалімова О.О.</v>
      </c>
      <c r="C57" s="12" t="s">
        <v>169</v>
      </c>
      <c r="D57" s="14" t="n">
        <f aca="false">січень!P57</f>
        <v>680.84</v>
      </c>
      <c r="E57" s="14" t="n">
        <f aca="false">січень!Q57</f>
        <v>0</v>
      </c>
      <c r="F57" s="13" t="n">
        <f aca="false">січень!F57</f>
        <v>0</v>
      </c>
      <c r="G57" s="13" t="n">
        <f aca="false">січень!G57</f>
        <v>62.1</v>
      </c>
      <c r="H57" s="13" t="n">
        <f aca="false">січень!H57</f>
        <v>0</v>
      </c>
      <c r="I57" s="13" t="n">
        <f aca="false">січень!I57</f>
        <v>4.1</v>
      </c>
      <c r="J57" s="14" t="n">
        <f aca="false">ROUND(G57*I57,2)</f>
        <v>254.61</v>
      </c>
      <c r="K57" s="14"/>
      <c r="L57" s="14"/>
      <c r="M57" s="14"/>
      <c r="N57" s="14" t="n">
        <f aca="false">ROUND((G57*I57)-K57-L57-M57,2)</f>
        <v>254.61</v>
      </c>
      <c r="O57" s="14"/>
      <c r="P57" s="14" t="n">
        <f aca="false">ROUND(IF(D57=0,IF((N57-E57-O57)&gt;0,(N57-E57-O57),0),IF((D57+N57-O57)&gt;0,(D57+N57-O57),0)),2)</f>
        <v>935.45</v>
      </c>
      <c r="Q57" s="14" t="n">
        <f aca="false">ROUND(IF(E57=0,IF((D57+N57-O57)&lt;0,ABS(D57+N57-O57),0),IF((N57-E57-O57)&lt;0,ABS(N57-E57-O57),0)),2)</f>
        <v>0</v>
      </c>
    </row>
    <row r="58" customFormat="false" ht="15" hidden="false" customHeight="true" outlineLevel="0" collapsed="false">
      <c r="A58" s="12" t="s">
        <v>170</v>
      </c>
      <c r="B58" s="12" t="str">
        <f aca="false">січень!B58</f>
        <v>Андросик О.О.</v>
      </c>
      <c r="C58" s="12" t="s">
        <v>172</v>
      </c>
      <c r="D58" s="14" t="n">
        <f aca="false">січень!P58</f>
        <v>1356.09</v>
      </c>
      <c r="E58" s="14" t="n">
        <f aca="false">січень!Q58</f>
        <v>0</v>
      </c>
      <c r="F58" s="13" t="n">
        <f aca="false">січень!F58</f>
        <v>0</v>
      </c>
      <c r="G58" s="13" t="n">
        <f aca="false">січень!G58</f>
        <v>34.9</v>
      </c>
      <c r="H58" s="13" t="n">
        <f aca="false">січень!H58</f>
        <v>0</v>
      </c>
      <c r="I58" s="13" t="n">
        <f aca="false">січень!I58</f>
        <v>4.1</v>
      </c>
      <c r="J58" s="14" t="n">
        <f aca="false">ROUND(G58*I58,2)</f>
        <v>143.09</v>
      </c>
      <c r="K58" s="14"/>
      <c r="L58" s="14"/>
      <c r="M58" s="14"/>
      <c r="N58" s="14" t="n">
        <f aca="false">ROUND((G58*I58)-K58-L58-M58,2)</f>
        <v>143.09</v>
      </c>
      <c r="O58" s="14"/>
      <c r="P58" s="14" t="n">
        <f aca="false">ROUND(IF(D58=0,IF((N58-E58-O58)&gt;0,(N58-E58-O58),0),IF((D58+N58-O58)&gt;0,(D58+N58-O58),0)),2)</f>
        <v>1499.18</v>
      </c>
      <c r="Q58" s="14" t="n">
        <f aca="false">ROUND(IF(E58=0,IF((D58+N58-O58)&lt;0,ABS(D58+N58-O58),0),IF((N58-E58-O58)&lt;0,ABS(N58-E58-O58),0)),2)</f>
        <v>0</v>
      </c>
    </row>
    <row r="59" customFormat="false" ht="15" hidden="false" customHeight="true" outlineLevel="0" collapsed="false">
      <c r="A59" s="12" t="s">
        <v>173</v>
      </c>
      <c r="B59" s="12" t="str">
        <f aca="false">січень!B59</f>
        <v>Токар Є.А.</v>
      </c>
      <c r="C59" s="12" t="s">
        <v>175</v>
      </c>
      <c r="D59" s="14" t="n">
        <f aca="false">січень!P59</f>
        <v>3541.55</v>
      </c>
      <c r="E59" s="14" t="n">
        <f aca="false">січень!Q59</f>
        <v>0</v>
      </c>
      <c r="F59" s="13" t="n">
        <f aca="false">січень!F59</f>
        <v>0</v>
      </c>
      <c r="G59" s="13" t="n">
        <f aca="false">січень!G59</f>
        <v>49.22</v>
      </c>
      <c r="H59" s="13" t="n">
        <f aca="false">січень!H59</f>
        <v>0</v>
      </c>
      <c r="I59" s="13" t="n">
        <f aca="false">січень!I59</f>
        <v>4.1</v>
      </c>
      <c r="J59" s="14" t="n">
        <f aca="false">ROUND(G59*I59,2)</f>
        <v>201.8</v>
      </c>
      <c r="K59" s="14"/>
      <c r="L59" s="14"/>
      <c r="M59" s="14"/>
      <c r="N59" s="14" t="n">
        <f aca="false">ROUND((G59*I59)-K59-L59-M59,2)</f>
        <v>201.8</v>
      </c>
      <c r="O59" s="14"/>
      <c r="P59" s="14" t="n">
        <f aca="false">ROUND(IF(D59=0,IF((N59-E59-O59)&gt;0,(N59-E59-O59),0),IF((D59+N59-O59)&gt;0,(D59+N59-O59),0)),2)</f>
        <v>3743.35</v>
      </c>
      <c r="Q59" s="14" t="n">
        <f aca="false">ROUND(IF(E59=0,IF((D59+N59-O59)&lt;0,ABS(D59+N59-O59),0),IF((N59-E59-O59)&lt;0,ABS(N59-E59-O59),0)),2)</f>
        <v>0</v>
      </c>
    </row>
    <row r="60" customFormat="false" ht="15" hidden="false" customHeight="true" outlineLevel="0" collapsed="false">
      <c r="A60" s="12" t="s">
        <v>176</v>
      </c>
      <c r="B60" s="12" t="str">
        <f aca="false">січень!B60</f>
        <v>Констанчук І.В.</v>
      </c>
      <c r="C60" s="12" t="s">
        <v>178</v>
      </c>
      <c r="D60" s="14" t="n">
        <f aca="false">січень!P60</f>
        <v>9137.66</v>
      </c>
      <c r="E60" s="14" t="n">
        <f aca="false">січень!Q60</f>
        <v>0</v>
      </c>
      <c r="F60" s="13" t="n">
        <f aca="false">січень!F60</f>
        <v>0</v>
      </c>
      <c r="G60" s="13" t="n">
        <f aca="false">січень!G60</f>
        <v>65.5</v>
      </c>
      <c r="H60" s="13" t="n">
        <f aca="false">січень!H60</f>
        <v>0</v>
      </c>
      <c r="I60" s="13" t="n">
        <f aca="false">січень!I60</f>
        <v>4.1</v>
      </c>
      <c r="J60" s="14" t="n">
        <f aca="false">ROUND(G60*I60,2)</f>
        <v>268.55</v>
      </c>
      <c r="K60" s="14"/>
      <c r="L60" s="14"/>
      <c r="M60" s="14"/>
      <c r="N60" s="14" t="n">
        <f aca="false">ROUND((G60*I60)-K60-L60-M60,2)</f>
        <v>268.55</v>
      </c>
      <c r="O60" s="14"/>
      <c r="P60" s="14" t="n">
        <f aca="false">ROUND(IF(D60=0,IF((N60-E60-O60)&gt;0,(N60-E60-O60),0),IF((D60+N60-O60)&gt;0,(D60+N60-O60),0)),2)</f>
        <v>9406.21</v>
      </c>
      <c r="Q60" s="14" t="n">
        <f aca="false">ROUND(IF(E60=0,IF((D60+N60-O60)&lt;0,ABS(D60+N60-O60),0),IF((N60-E60-O60)&lt;0,ABS(N60-E60-O60),0)),2)</f>
        <v>0</v>
      </c>
    </row>
    <row r="61" customFormat="false" ht="15" hidden="false" customHeight="true" outlineLevel="0" collapsed="false">
      <c r="A61" s="12" t="s">
        <v>179</v>
      </c>
      <c r="B61" s="12" t="str">
        <f aca="false">січень!B61</f>
        <v>Гончаров В.В.</v>
      </c>
      <c r="C61" s="12" t="s">
        <v>181</v>
      </c>
      <c r="D61" s="14" t="n">
        <f aca="false">січень!P61</f>
        <v>0</v>
      </c>
      <c r="E61" s="14" t="n">
        <f aca="false">січень!Q61</f>
        <v>389.18</v>
      </c>
      <c r="F61" s="13" t="n">
        <f aca="false">січень!F61</f>
        <v>0</v>
      </c>
      <c r="G61" s="13" t="n">
        <f aca="false">січень!G61</f>
        <v>62.64</v>
      </c>
      <c r="H61" s="13" t="n">
        <f aca="false">січень!H61</f>
        <v>0</v>
      </c>
      <c r="I61" s="13" t="n">
        <f aca="false">січень!I61</f>
        <v>4.1</v>
      </c>
      <c r="J61" s="14" t="n">
        <f aca="false">ROUND(G61*I61,2)</f>
        <v>256.82</v>
      </c>
      <c r="K61" s="14"/>
      <c r="L61" s="14"/>
      <c r="M61" s="14"/>
      <c r="N61" s="14" t="n">
        <f aca="false">ROUND((G61*I61)-K61-L61-M61,2)</f>
        <v>256.82</v>
      </c>
      <c r="O61" s="14"/>
      <c r="P61" s="14" t="n">
        <f aca="false">ROUND(IF(D61=0,IF((N61-E61-O61)&gt;0,(N61-E61-O61),0),IF((D61+N61-O61)&gt;0,(D61+N61-O61),0)),2)</f>
        <v>0</v>
      </c>
      <c r="Q61" s="14" t="n">
        <f aca="false">ROUND(IF(E61=0,IF((D61+N61-O61)&lt;0,ABS(D61+N61-O61),0),IF((N61-E61-O61)&lt;0,ABS(N61-E61-O61),0)),2)</f>
        <v>132.36</v>
      </c>
    </row>
    <row r="62" customFormat="false" ht="15" hidden="false" customHeight="true" outlineLevel="0" collapsed="false">
      <c r="A62" s="12" t="s">
        <v>182</v>
      </c>
      <c r="B62" s="12" t="str">
        <f aca="false">січень!B62</f>
        <v>Ляхомський В.О.</v>
      </c>
      <c r="C62" s="12" t="s">
        <v>184</v>
      </c>
      <c r="D62" s="14" t="n">
        <f aca="false">січень!P62</f>
        <v>1155.72</v>
      </c>
      <c r="E62" s="14" t="n">
        <f aca="false">січень!Q62</f>
        <v>0</v>
      </c>
      <c r="F62" s="13" t="n">
        <f aca="false">січень!F62</f>
        <v>0</v>
      </c>
      <c r="G62" s="13" t="n">
        <f aca="false">січень!G62</f>
        <v>34.9</v>
      </c>
      <c r="H62" s="13" t="n">
        <f aca="false">січень!H62</f>
        <v>0</v>
      </c>
      <c r="I62" s="13" t="n">
        <f aca="false">січень!I62</f>
        <v>4.1</v>
      </c>
      <c r="J62" s="14" t="n">
        <f aca="false">ROUND(G62*I62,2)</f>
        <v>143.09</v>
      </c>
      <c r="K62" s="14"/>
      <c r="L62" s="14"/>
      <c r="M62" s="14"/>
      <c r="N62" s="14" t="n">
        <f aca="false">ROUND((G62*I62)-K62-L62-M62,2)</f>
        <v>143.09</v>
      </c>
      <c r="O62" s="14"/>
      <c r="P62" s="14" t="n">
        <f aca="false">ROUND(IF(D62=0,IF((N62-E62-O62)&gt;0,(N62-E62-O62),0),IF((D62+N62-O62)&gt;0,(D62+N62-O62),0)),2)</f>
        <v>1298.81</v>
      </c>
      <c r="Q62" s="14" t="n">
        <f aca="false">ROUND(IF(E62=0,IF((D62+N62-O62)&lt;0,ABS(D62+N62-O62),0),IF((N62-E62-O62)&lt;0,ABS(N62-E62-O62),0)),2)</f>
        <v>0</v>
      </c>
    </row>
    <row r="63" customFormat="false" ht="15" hidden="false" customHeight="true" outlineLevel="0" collapsed="false">
      <c r="A63" s="12" t="s">
        <v>185</v>
      </c>
      <c r="B63" s="12" t="str">
        <f aca="false">січень!B63</f>
        <v>Крамаренко В.П.</v>
      </c>
      <c r="C63" s="12" t="s">
        <v>187</v>
      </c>
      <c r="D63" s="14" t="n">
        <f aca="false">січень!P63</f>
        <v>1020.7</v>
      </c>
      <c r="E63" s="14" t="n">
        <f aca="false">січень!Q63</f>
        <v>0</v>
      </c>
      <c r="F63" s="13" t="n">
        <f aca="false">січень!F63</f>
        <v>0</v>
      </c>
      <c r="G63" s="13" t="n">
        <f aca="false">січень!G63</f>
        <v>49.79</v>
      </c>
      <c r="H63" s="13" t="n">
        <f aca="false">січень!H63</f>
        <v>0</v>
      </c>
      <c r="I63" s="13" t="n">
        <f aca="false">січень!I63</f>
        <v>4.1</v>
      </c>
      <c r="J63" s="14" t="n">
        <f aca="false">ROUND(G63*I63,2)</f>
        <v>204.14</v>
      </c>
      <c r="K63" s="14"/>
      <c r="L63" s="14"/>
      <c r="M63" s="14"/>
      <c r="N63" s="14" t="n">
        <f aca="false">ROUND((G63*I63)-K63-L63-M63,2)</f>
        <v>204.14</v>
      </c>
      <c r="O63" s="14"/>
      <c r="P63" s="14" t="n">
        <f aca="false">ROUND(IF(D63=0,IF((N63-E63-O63)&gt;0,(N63-E63-O63),0),IF((D63+N63-O63)&gt;0,(D63+N63-O63),0)),2)</f>
        <v>1224.84</v>
      </c>
      <c r="Q63" s="14" t="n">
        <f aca="false">ROUND(IF(E63=0,IF((D63+N63-O63)&lt;0,ABS(D63+N63-O63),0),IF((N63-E63-O63)&lt;0,ABS(N63-E63-O63),0)),2)</f>
        <v>0</v>
      </c>
    </row>
    <row r="64" customFormat="false" ht="15" hidden="false" customHeight="true" outlineLevel="0" collapsed="false">
      <c r="A64" s="12" t="s">
        <v>188</v>
      </c>
      <c r="B64" s="12" t="str">
        <f aca="false">січень!B64</f>
        <v>Родзик С.Г.</v>
      </c>
      <c r="C64" s="12" t="s">
        <v>190</v>
      </c>
      <c r="D64" s="14" t="n">
        <f aca="false">січень!P64</f>
        <v>3742.48</v>
      </c>
      <c r="E64" s="14" t="n">
        <f aca="false">січень!Q64</f>
        <v>0</v>
      </c>
      <c r="F64" s="13" t="n">
        <f aca="false">січень!F64</f>
        <v>0</v>
      </c>
      <c r="G64" s="13" t="n">
        <f aca="false">січень!G64</f>
        <v>65.2</v>
      </c>
      <c r="H64" s="13" t="n">
        <f aca="false">січень!H64</f>
        <v>0</v>
      </c>
      <c r="I64" s="13" t="n">
        <f aca="false">січень!I64</f>
        <v>4.1</v>
      </c>
      <c r="J64" s="14" t="n">
        <f aca="false">ROUND(G64*I64,2)</f>
        <v>267.32</v>
      </c>
      <c r="K64" s="14"/>
      <c r="L64" s="14"/>
      <c r="M64" s="14"/>
      <c r="N64" s="14" t="n">
        <f aca="false">ROUND((G64*I64)-K64-L64-M64,2)</f>
        <v>267.32</v>
      </c>
      <c r="O64" s="14"/>
      <c r="P64" s="14" t="n">
        <f aca="false">ROUND(IF(D64=0,IF((N64-E64-O64)&gt;0,(N64-E64-O64),0),IF((D64+N64-O64)&gt;0,(D64+N64-O64),0)),2)</f>
        <v>4009.8</v>
      </c>
      <c r="Q64" s="14" t="n">
        <f aca="false">ROUND(IF(E64=0,IF((D64+N64-O64)&lt;0,ABS(D64+N64-O64),0),IF((N64-E64-O64)&lt;0,ABS(N64-E64-O64),0)),2)</f>
        <v>0</v>
      </c>
    </row>
    <row r="65" customFormat="false" ht="15" hidden="false" customHeight="true" outlineLevel="0" collapsed="false">
      <c r="A65" s="12" t="s">
        <v>191</v>
      </c>
      <c r="B65" s="12" t="str">
        <f aca="false">січень!B65</f>
        <v>Никоненко Н.С.</v>
      </c>
      <c r="C65" s="12" t="s">
        <v>193</v>
      </c>
      <c r="D65" s="14" t="n">
        <f aca="false">січень!P65</f>
        <v>10296.73</v>
      </c>
      <c r="E65" s="14" t="n">
        <f aca="false">січень!Q65</f>
        <v>0</v>
      </c>
      <c r="F65" s="13" t="n">
        <f aca="false">січень!F65</f>
        <v>0</v>
      </c>
      <c r="G65" s="13" t="n">
        <f aca="false">січень!G65</f>
        <v>61.88</v>
      </c>
      <c r="H65" s="13" t="n">
        <f aca="false">січень!H65</f>
        <v>0</v>
      </c>
      <c r="I65" s="13" t="n">
        <f aca="false">січень!I65</f>
        <v>4.1</v>
      </c>
      <c r="J65" s="14" t="n">
        <f aca="false">ROUND(G65*I65,2)</f>
        <v>253.71</v>
      </c>
      <c r="K65" s="14"/>
      <c r="L65" s="14"/>
      <c r="M65" s="14"/>
      <c r="N65" s="14" t="n">
        <f aca="false">ROUND((G65*I65)-K65-L65-M65,2)</f>
        <v>253.71</v>
      </c>
      <c r="O65" s="14"/>
      <c r="P65" s="14" t="n">
        <f aca="false">ROUND(IF(D65=0,IF((N65-E65-O65)&gt;0,(N65-E65-O65),0),IF((D65+N65-O65)&gt;0,(D65+N65-O65),0)),2)</f>
        <v>10550.44</v>
      </c>
      <c r="Q65" s="14" t="n">
        <f aca="false">ROUND(IF(E65=0,IF((D65+N65-O65)&lt;0,ABS(D65+N65-O65),0),IF((N65-E65-O65)&lt;0,ABS(N65-E65-O65),0)),2)</f>
        <v>0</v>
      </c>
    </row>
    <row r="66" customFormat="false" ht="15" hidden="false" customHeight="true" outlineLevel="0" collapsed="false">
      <c r="A66" s="12" t="s">
        <v>194</v>
      </c>
      <c r="B66" s="12" t="str">
        <f aca="false">січень!B66</f>
        <v>Чепок О.В.</v>
      </c>
      <c r="C66" s="12" t="s">
        <v>196</v>
      </c>
      <c r="D66" s="14" t="n">
        <f aca="false">січень!P66</f>
        <v>5727.41</v>
      </c>
      <c r="E66" s="14" t="n">
        <f aca="false">січень!Q66</f>
        <v>0</v>
      </c>
      <c r="F66" s="13" t="n">
        <f aca="false">січень!F66</f>
        <v>0</v>
      </c>
      <c r="G66" s="13" t="n">
        <f aca="false">січень!G66</f>
        <v>35</v>
      </c>
      <c r="H66" s="13" t="n">
        <f aca="false">січень!H66</f>
        <v>0</v>
      </c>
      <c r="I66" s="13" t="n">
        <f aca="false">січень!I66</f>
        <v>4.1</v>
      </c>
      <c r="J66" s="14" t="n">
        <f aca="false">ROUND(G66*I66,2)</f>
        <v>143.5</v>
      </c>
      <c r="K66" s="14"/>
      <c r="L66" s="14"/>
      <c r="M66" s="14"/>
      <c r="N66" s="14" t="n">
        <f aca="false">ROUND((G66*I66)-K66-L66-M66,2)</f>
        <v>143.5</v>
      </c>
      <c r="O66" s="14"/>
      <c r="P66" s="14" t="n">
        <f aca="false">ROUND(IF(D66=0,IF((N66-E66-O66)&gt;0,(N66-E66-O66),0),IF((D66+N66-O66)&gt;0,(D66+N66-O66),0)),2)</f>
        <v>5870.91</v>
      </c>
      <c r="Q66" s="14" t="n">
        <f aca="false">ROUND(IF(E66=0,IF((D66+N66-O66)&lt;0,ABS(D66+N66-O66),0),IF((N66-E66-O66)&lt;0,ABS(N66-E66-O66),0)),2)</f>
        <v>0</v>
      </c>
    </row>
    <row r="67" customFormat="false" ht="15" hidden="false" customHeight="true" outlineLevel="0" collapsed="false">
      <c r="A67" s="12" t="s">
        <v>197</v>
      </c>
      <c r="B67" s="12" t="str">
        <f aca="false">січень!B67</f>
        <v>Горошенко Л.С.</v>
      </c>
      <c r="C67" s="12" t="s">
        <v>199</v>
      </c>
      <c r="D67" s="14" t="n">
        <f aca="false">січень!P67</f>
        <v>2223.43</v>
      </c>
      <c r="E67" s="14" t="n">
        <f aca="false">січень!Q67</f>
        <v>0</v>
      </c>
      <c r="F67" s="13" t="n">
        <f aca="false">січень!F67</f>
        <v>0</v>
      </c>
      <c r="G67" s="13" t="n">
        <f aca="false">січень!G67</f>
        <v>49.3</v>
      </c>
      <c r="H67" s="13" t="n">
        <f aca="false">січень!H67</f>
        <v>0</v>
      </c>
      <c r="I67" s="13" t="n">
        <f aca="false">січень!I67</f>
        <v>4.1</v>
      </c>
      <c r="J67" s="14" t="n">
        <f aca="false">ROUND(G67*I67,2)</f>
        <v>202.13</v>
      </c>
      <c r="K67" s="14"/>
      <c r="L67" s="14"/>
      <c r="M67" s="14"/>
      <c r="N67" s="14" t="n">
        <f aca="false">ROUND((G67*I67)-K67-L67-M67,2)</f>
        <v>202.13</v>
      </c>
      <c r="O67" s="14"/>
      <c r="P67" s="14" t="n">
        <f aca="false">ROUND(IF(D67=0,IF((N67-E67-O67)&gt;0,(N67-E67-O67),0),IF((D67+N67-O67)&gt;0,(D67+N67-O67),0)),2)</f>
        <v>2425.56</v>
      </c>
      <c r="Q67" s="14" t="n">
        <f aca="false">ROUND(IF(E67=0,IF((D67+N67-O67)&lt;0,ABS(D67+N67-O67),0),IF((N67-E67-O67)&lt;0,ABS(N67-E67-O67),0)),2)</f>
        <v>0</v>
      </c>
    </row>
    <row r="68" customFormat="false" ht="15" hidden="false" customHeight="true" outlineLevel="0" collapsed="false">
      <c r="A68" s="12" t="s">
        <v>200</v>
      </c>
      <c r="B68" s="12" t="str">
        <f aca="false">січень!B68</f>
        <v>Неграчева Л.Г.</v>
      </c>
      <c r="C68" s="12" t="s">
        <v>202</v>
      </c>
      <c r="D68" s="14" t="n">
        <f aca="false">січень!P68</f>
        <v>273.06</v>
      </c>
      <c r="E68" s="14" t="n">
        <f aca="false">січень!Q68</f>
        <v>0</v>
      </c>
      <c r="F68" s="13" t="n">
        <f aca="false">січень!F68</f>
        <v>0</v>
      </c>
      <c r="G68" s="13" t="n">
        <f aca="false">січень!G68</f>
        <v>66.6</v>
      </c>
      <c r="H68" s="13" t="n">
        <f aca="false">січень!H68</f>
        <v>0</v>
      </c>
      <c r="I68" s="13" t="n">
        <f aca="false">січень!I68</f>
        <v>4.1</v>
      </c>
      <c r="J68" s="14" t="n">
        <f aca="false">ROUND(G68*I68,2)</f>
        <v>273.06</v>
      </c>
      <c r="K68" s="14"/>
      <c r="L68" s="14"/>
      <c r="M68" s="14"/>
      <c r="N68" s="14" t="n">
        <f aca="false">ROUND((G68*I68)-K68-L68-M68,2)</f>
        <v>273.06</v>
      </c>
      <c r="O68" s="14"/>
      <c r="P68" s="14" t="n">
        <f aca="false">ROUND(IF(D68=0,IF((N68-E68-O68)&gt;0,(N68-E68-O68),0),IF((D68+N68-O68)&gt;0,(D68+N68-O68),0)),2)</f>
        <v>546.12</v>
      </c>
      <c r="Q68" s="14" t="n">
        <f aca="false">ROUND(IF(E68=0,IF((D68+N68-O68)&lt;0,ABS(D68+N68-O68),0),IF((N68-E68-O68)&lt;0,ABS(N68-E68-O68),0)),2)</f>
        <v>0</v>
      </c>
    </row>
    <row r="69" customFormat="false" ht="15" hidden="false" customHeight="true" outlineLevel="0" collapsed="false">
      <c r="A69" s="12" t="s">
        <v>203</v>
      </c>
      <c r="B69" s="12" t="str">
        <f aca="false">січень!B69</f>
        <v>Брежнєв О.В.</v>
      </c>
      <c r="C69" s="12" t="s">
        <v>205</v>
      </c>
      <c r="D69" s="14" t="n">
        <f aca="false">січень!P69</f>
        <v>1667.95</v>
      </c>
      <c r="E69" s="14" t="n">
        <f aca="false">січень!Q69</f>
        <v>0</v>
      </c>
      <c r="F69" s="13" t="n">
        <f aca="false">січень!F69</f>
        <v>0</v>
      </c>
      <c r="G69" s="13" t="n">
        <f aca="false">січень!G69</f>
        <v>61.88</v>
      </c>
      <c r="H69" s="13" t="n">
        <f aca="false">січень!H69</f>
        <v>0</v>
      </c>
      <c r="I69" s="13" t="n">
        <f aca="false">січень!I69</f>
        <v>4.1</v>
      </c>
      <c r="J69" s="14" t="n">
        <f aca="false">ROUND(G69*I69,2)</f>
        <v>253.71</v>
      </c>
      <c r="K69" s="14"/>
      <c r="L69" s="14"/>
      <c r="M69" s="14"/>
      <c r="N69" s="14" t="n">
        <f aca="false">ROUND((G69*I69)-K69-L69-M69,2)</f>
        <v>253.71</v>
      </c>
      <c r="O69" s="14"/>
      <c r="P69" s="14" t="n">
        <f aca="false">ROUND(IF(D69=0,IF((N69-E69-O69)&gt;0,(N69-E69-O69),0),IF((D69+N69-O69)&gt;0,(D69+N69-O69),0)),2)</f>
        <v>1921.66</v>
      </c>
      <c r="Q69" s="14" t="n">
        <f aca="false">ROUND(IF(E69=0,IF((D69+N69-O69)&lt;0,ABS(D69+N69-O69),0),IF((N69-E69-O69)&lt;0,ABS(N69-E69-O69),0)),2)</f>
        <v>0</v>
      </c>
    </row>
    <row r="70" customFormat="false" ht="15" hidden="false" customHeight="true" outlineLevel="0" collapsed="false">
      <c r="A70" s="12" t="s">
        <v>206</v>
      </c>
      <c r="B70" s="12" t="str">
        <f aca="false">січень!B70</f>
        <v>Горбатюк К.О.</v>
      </c>
      <c r="C70" s="12" t="s">
        <v>208</v>
      </c>
      <c r="D70" s="14" t="n">
        <f aca="false">січень!P70</f>
        <v>1146.72</v>
      </c>
      <c r="E70" s="14" t="n">
        <f aca="false">січень!Q70</f>
        <v>0</v>
      </c>
      <c r="F70" s="13" t="n">
        <f aca="false">січень!F70</f>
        <v>0</v>
      </c>
      <c r="G70" s="13" t="n">
        <f aca="false">січень!G70</f>
        <v>34.96</v>
      </c>
      <c r="H70" s="13" t="n">
        <f aca="false">січень!H70</f>
        <v>0</v>
      </c>
      <c r="I70" s="13" t="n">
        <f aca="false">січень!I70</f>
        <v>4.1</v>
      </c>
      <c r="J70" s="14" t="n">
        <f aca="false">ROUND(G70*I70,2)</f>
        <v>143.34</v>
      </c>
      <c r="K70" s="14"/>
      <c r="L70" s="14"/>
      <c r="M70" s="14"/>
      <c r="N70" s="14" t="n">
        <f aca="false">ROUND((G70*I70)-K70-L70-M70,2)</f>
        <v>143.34</v>
      </c>
      <c r="O70" s="14"/>
      <c r="P70" s="14" t="n">
        <f aca="false">ROUND(IF(D70=0,IF((N70-E70-O70)&gt;0,(N70-E70-O70),0),IF((D70+N70-O70)&gt;0,(D70+N70-O70),0)),2)</f>
        <v>1290.06</v>
      </c>
      <c r="Q70" s="14" t="n">
        <f aca="false">ROUND(IF(E70=0,IF((D70+N70-O70)&lt;0,ABS(D70+N70-O70),0),IF((N70-E70-O70)&lt;0,ABS(N70-E70-O70),0)),2)</f>
        <v>0</v>
      </c>
    </row>
    <row r="71" customFormat="false" ht="15" hidden="false" customHeight="true" outlineLevel="0" collapsed="false">
      <c r="A71" s="12" t="s">
        <v>209</v>
      </c>
      <c r="B71" s="12" t="str">
        <f aca="false">січень!B71</f>
        <v>Божик М.О.</v>
      </c>
      <c r="C71" s="12" t="s">
        <v>211</v>
      </c>
      <c r="D71" s="14" t="n">
        <f aca="false">січень!P71</f>
        <v>0</v>
      </c>
      <c r="E71" s="14" t="n">
        <f aca="false">січень!Q71</f>
        <v>0</v>
      </c>
      <c r="F71" s="13" t="n">
        <f aca="false">січень!F71</f>
        <v>0</v>
      </c>
      <c r="G71" s="13" t="n">
        <f aca="false">січень!G71</f>
        <v>50.03</v>
      </c>
      <c r="H71" s="13" t="n">
        <f aca="false">січень!H71</f>
        <v>0</v>
      </c>
      <c r="I71" s="13" t="n">
        <f aca="false">січень!I71</f>
        <v>4.1</v>
      </c>
      <c r="J71" s="14" t="n">
        <f aca="false">ROUND(G71*I71,2)</f>
        <v>205.12</v>
      </c>
      <c r="K71" s="14"/>
      <c r="L71" s="14"/>
      <c r="M71" s="14"/>
      <c r="N71" s="14" t="n">
        <f aca="false">ROUND((G71*I71)-K71-L71-M71,2)</f>
        <v>205.12</v>
      </c>
      <c r="O71" s="14"/>
      <c r="P71" s="14" t="n">
        <f aca="false">ROUND(IF(D71=0,IF((N71-E71-O71)&gt;0,(N71-E71-O71),0),IF((D71+N71-O71)&gt;0,(D71+N71-O71),0)),2)</f>
        <v>205.12</v>
      </c>
      <c r="Q71" s="14" t="n">
        <f aca="false">ROUND(IF(E71=0,IF((D71+N71-O71)&lt;0,ABS(D71+N71-O71),0),IF((N71-E71-O71)&lt;0,ABS(N71-E71-O71),0)),2)</f>
        <v>0</v>
      </c>
    </row>
    <row r="72" customFormat="false" ht="15" hidden="false" customHeight="true" outlineLevel="0" collapsed="false">
      <c r="A72" s="12" t="s">
        <v>212</v>
      </c>
      <c r="B72" s="12" t="str">
        <f aca="false">січень!B72</f>
        <v>Зайченко С.Л</v>
      </c>
      <c r="C72" s="12" t="s">
        <v>214</v>
      </c>
      <c r="D72" s="14" t="n">
        <f aca="false">січень!P72</f>
        <v>12792.09</v>
      </c>
      <c r="E72" s="14" t="n">
        <f aca="false">січень!Q72</f>
        <v>0</v>
      </c>
      <c r="F72" s="13" t="n">
        <f aca="false">січень!F72</f>
        <v>0</v>
      </c>
      <c r="G72" s="13" t="n">
        <f aca="false">січень!G72</f>
        <v>65.15</v>
      </c>
      <c r="H72" s="13" t="n">
        <f aca="false">січень!H72</f>
        <v>0</v>
      </c>
      <c r="I72" s="13" t="n">
        <f aca="false">січень!I72</f>
        <v>4.1</v>
      </c>
      <c r="J72" s="14" t="n">
        <f aca="false">ROUND(G72*I72,2)</f>
        <v>267.12</v>
      </c>
      <c r="K72" s="14"/>
      <c r="L72" s="14"/>
      <c r="M72" s="14"/>
      <c r="N72" s="14" t="n">
        <f aca="false">ROUND((G72*I72)-K72-L72-M72,2)</f>
        <v>267.12</v>
      </c>
      <c r="O72" s="14"/>
      <c r="P72" s="14" t="n">
        <f aca="false">ROUND(IF(D72=0,IF((N72-E72-O72)&gt;0,(N72-E72-O72),0),IF((D72+N72-O72)&gt;0,(D72+N72-O72),0)),2)</f>
        <v>13059.21</v>
      </c>
      <c r="Q72" s="14" t="n">
        <f aca="false">ROUND(IF(E72=0,IF((D72+N72-O72)&lt;0,ABS(D72+N72-O72),0),IF((N72-E72-O72)&lt;0,ABS(N72-E72-O72),0)),2)</f>
        <v>0</v>
      </c>
    </row>
    <row r="73" customFormat="false" ht="15" hidden="false" customHeight="true" outlineLevel="0" collapsed="false">
      <c r="A73" s="12" t="s">
        <v>215</v>
      </c>
      <c r="B73" s="12" t="str">
        <f aca="false">січень!B73</f>
        <v>Бессараб Н.Г.</v>
      </c>
      <c r="C73" s="12" t="s">
        <v>217</v>
      </c>
      <c r="D73" s="14" t="n">
        <f aca="false">січень!P73</f>
        <v>1807.95</v>
      </c>
      <c r="E73" s="14" t="n">
        <f aca="false">січень!Q73</f>
        <v>0</v>
      </c>
      <c r="F73" s="13" t="n">
        <f aca="false">січень!F73</f>
        <v>0</v>
      </c>
      <c r="G73" s="13" t="n">
        <f aca="false">січень!G73</f>
        <v>63.41</v>
      </c>
      <c r="H73" s="13" t="n">
        <f aca="false">січень!H73</f>
        <v>0</v>
      </c>
      <c r="I73" s="13" t="n">
        <f aca="false">січень!I73</f>
        <v>4.1</v>
      </c>
      <c r="J73" s="14" t="n">
        <f aca="false">ROUND(G73*I73,2)</f>
        <v>259.98</v>
      </c>
      <c r="K73" s="14"/>
      <c r="L73" s="14"/>
      <c r="M73" s="14"/>
      <c r="N73" s="14" t="n">
        <f aca="false">ROUND((G73*I73)-K73-L73-M73,2)</f>
        <v>259.98</v>
      </c>
      <c r="O73" s="14"/>
      <c r="P73" s="14" t="n">
        <f aca="false">ROUND(IF(D73=0,IF((N73-E73-O73)&gt;0,(N73-E73-O73),0),IF((D73+N73-O73)&gt;0,(D73+N73-O73),0)),2)</f>
        <v>2067.93</v>
      </c>
      <c r="Q73" s="14" t="n">
        <f aca="false">ROUND(IF(E73=0,IF((D73+N73-O73)&lt;0,ABS(D73+N73-O73),0),IF((N73-E73-O73)&lt;0,ABS(N73-E73-O73),0)),2)</f>
        <v>0</v>
      </c>
    </row>
    <row r="74" customFormat="false" ht="15" hidden="false" customHeight="true" outlineLevel="0" collapsed="false">
      <c r="A74" s="12" t="s">
        <v>218</v>
      </c>
      <c r="B74" s="12" t="str">
        <f aca="false">січень!B74</f>
        <v>Прохорова С.І.</v>
      </c>
      <c r="C74" s="12" t="s">
        <v>220</v>
      </c>
      <c r="D74" s="14" t="n">
        <f aca="false">січень!P74</f>
        <v>98.52</v>
      </c>
      <c r="E74" s="14" t="n">
        <f aca="false">січень!Q74</f>
        <v>0</v>
      </c>
      <c r="F74" s="13" t="n">
        <f aca="false">січень!F74</f>
        <v>0</v>
      </c>
      <c r="G74" s="13" t="n">
        <f aca="false">січень!G74</f>
        <v>35.19</v>
      </c>
      <c r="H74" s="13" t="n">
        <f aca="false">січень!H74</f>
        <v>0</v>
      </c>
      <c r="I74" s="13" t="n">
        <f aca="false">січень!I74</f>
        <v>4.1</v>
      </c>
      <c r="J74" s="14" t="n">
        <f aca="false">ROUND(G74*I74,2)</f>
        <v>144.28</v>
      </c>
      <c r="K74" s="14"/>
      <c r="L74" s="14"/>
      <c r="M74" s="14"/>
      <c r="N74" s="14" t="n">
        <f aca="false">ROUND((G74*I74)-K74-L74-M74,2)</f>
        <v>144.28</v>
      </c>
      <c r="O74" s="14"/>
      <c r="P74" s="14" t="n">
        <f aca="false">ROUND(IF(D74=0,IF((N74-E74-O74)&gt;0,(N74-E74-O74),0),IF((D74+N74-O74)&gt;0,(D74+N74-O74),0)),2)</f>
        <v>242.8</v>
      </c>
      <c r="Q74" s="14" t="n">
        <f aca="false">ROUND(IF(E74=0,IF((D74+N74-O74)&lt;0,ABS(D74+N74-O74),0),IF((N74-E74-O74)&lt;0,ABS(N74-E74-O74),0)),2)</f>
        <v>0</v>
      </c>
    </row>
    <row r="75" customFormat="false" ht="15" hidden="false" customHeight="true" outlineLevel="0" collapsed="false">
      <c r="A75" s="12" t="s">
        <v>221</v>
      </c>
      <c r="B75" s="12" t="str">
        <f aca="false">січень!B75</f>
        <v>Браташ А.Ф.</v>
      </c>
      <c r="C75" s="12" t="s">
        <v>223</v>
      </c>
      <c r="D75" s="14" t="n">
        <f aca="false">січень!P75</f>
        <v>10085.62</v>
      </c>
      <c r="E75" s="14" t="n">
        <f aca="false">січень!Q75</f>
        <v>0</v>
      </c>
      <c r="F75" s="13" t="n">
        <f aca="false">січень!F75</f>
        <v>0</v>
      </c>
      <c r="G75" s="13" t="n">
        <f aca="false">січень!G75</f>
        <v>49.89</v>
      </c>
      <c r="H75" s="13" t="n">
        <f aca="false">січень!H75</f>
        <v>0</v>
      </c>
      <c r="I75" s="13" t="n">
        <f aca="false">січень!I75</f>
        <v>4.1</v>
      </c>
      <c r="J75" s="14" t="n">
        <f aca="false">ROUND(G75*I75,2)</f>
        <v>204.55</v>
      </c>
      <c r="K75" s="14"/>
      <c r="L75" s="14"/>
      <c r="M75" s="14"/>
      <c r="N75" s="14" t="n">
        <f aca="false">ROUND((G75*I75)-K75-L75-M75,2)</f>
        <v>204.55</v>
      </c>
      <c r="O75" s="14"/>
      <c r="P75" s="14" t="n">
        <f aca="false">ROUND(IF(D75=0,IF((N75-E75-O75)&gt;0,(N75-E75-O75),0),IF((D75+N75-O75)&gt;0,(D75+N75-O75),0)),2)</f>
        <v>10290.17</v>
      </c>
      <c r="Q75" s="14" t="n">
        <f aca="false">ROUND(IF(E75=0,IF((D75+N75-O75)&lt;0,ABS(D75+N75-O75),0),IF((N75-E75-O75)&lt;0,ABS(N75-E75-O75),0)),2)</f>
        <v>0</v>
      </c>
    </row>
    <row r="76" customFormat="false" ht="15" hidden="false" customHeight="true" outlineLevel="0" collapsed="false">
      <c r="A76" s="12" t="s">
        <v>224</v>
      </c>
      <c r="B76" s="12" t="str">
        <f aca="false">січень!B76</f>
        <v>Кудас Д.О.</v>
      </c>
      <c r="C76" s="12" t="s">
        <v>226</v>
      </c>
      <c r="D76" s="14" t="n">
        <f aca="false">січень!P76</f>
        <v>1333.1</v>
      </c>
      <c r="E76" s="14" t="n">
        <f aca="false">січень!Q76</f>
        <v>0</v>
      </c>
      <c r="F76" s="13" t="n">
        <f aca="false">січень!F76</f>
        <v>0</v>
      </c>
      <c r="G76" s="13" t="n">
        <f aca="false">січень!G76</f>
        <v>65.03</v>
      </c>
      <c r="H76" s="13" t="n">
        <f aca="false">січень!H76</f>
        <v>0</v>
      </c>
      <c r="I76" s="13" t="n">
        <f aca="false">січень!I76</f>
        <v>4.1</v>
      </c>
      <c r="J76" s="14" t="n">
        <f aca="false">ROUND(G76*I76,2)</f>
        <v>266.62</v>
      </c>
      <c r="K76" s="14"/>
      <c r="L76" s="14"/>
      <c r="M76" s="14"/>
      <c r="N76" s="14" t="n">
        <f aca="false">ROUND((G76*I76)-K76-L76-M76,2)</f>
        <v>266.62</v>
      </c>
      <c r="O76" s="14"/>
      <c r="P76" s="14" t="n">
        <f aca="false">ROUND(IF(D76=0,IF((N76-E76-O76)&gt;0,(N76-E76-O76),0),IF((D76+N76-O76)&gt;0,(D76+N76-O76),0)),2)</f>
        <v>1599.72</v>
      </c>
      <c r="Q76" s="14" t="n">
        <f aca="false">ROUND(IF(E76=0,IF((D76+N76-O76)&lt;0,ABS(D76+N76-O76),0),IF((N76-E76-O76)&lt;0,ABS(N76-E76-O76),0)),2)</f>
        <v>0</v>
      </c>
    </row>
    <row r="77" customFormat="false" ht="15" hidden="false" customHeight="true" outlineLevel="0" collapsed="false">
      <c r="A77" s="12" t="s">
        <v>227</v>
      </c>
      <c r="B77" s="12" t="str">
        <f aca="false">січень!B77</f>
        <v>Шушлєбін Б.В.</v>
      </c>
      <c r="C77" s="12" t="s">
        <v>229</v>
      </c>
      <c r="D77" s="14" t="n">
        <f aca="false">січень!P77</f>
        <v>83.95</v>
      </c>
      <c r="E77" s="14" t="n">
        <f aca="false">січень!Q77</f>
        <v>0</v>
      </c>
      <c r="F77" s="13" t="n">
        <f aca="false">січень!F77</f>
        <v>0</v>
      </c>
      <c r="G77" s="13" t="n">
        <f aca="false">січень!G77</f>
        <v>62.11</v>
      </c>
      <c r="H77" s="13" t="n">
        <f aca="false">січень!H77</f>
        <v>0</v>
      </c>
      <c r="I77" s="13" t="n">
        <f aca="false">січень!I77</f>
        <v>4.1</v>
      </c>
      <c r="J77" s="14" t="n">
        <f aca="false">ROUND(G77*I77,2)</f>
        <v>254.65</v>
      </c>
      <c r="K77" s="14"/>
      <c r="L77" s="14"/>
      <c r="M77" s="14"/>
      <c r="N77" s="14" t="n">
        <f aca="false">ROUND((G77*I77)-K77-L77-M77,2)</f>
        <v>254.65</v>
      </c>
      <c r="O77" s="14"/>
      <c r="P77" s="14" t="n">
        <f aca="false">ROUND(IF(D77=0,IF((N77-E77-O77)&gt;0,(N77-E77-O77),0),IF((D77+N77-O77)&gt;0,(D77+N77-O77),0)),2)</f>
        <v>338.6</v>
      </c>
      <c r="Q77" s="14" t="n">
        <f aca="false">ROUND(IF(E77=0,IF((D77+N77-O77)&lt;0,ABS(D77+N77-O77),0),IF((N77-E77-O77)&lt;0,ABS(N77-E77-O77),0)),2)</f>
        <v>0</v>
      </c>
    </row>
    <row r="78" customFormat="false" ht="15" hidden="false" customHeight="true" outlineLevel="0" collapsed="false">
      <c r="A78" s="12" t="s">
        <v>230</v>
      </c>
      <c r="B78" s="12" t="str">
        <f aca="false">січень!B78</f>
        <v>Бородіна І.О.</v>
      </c>
      <c r="C78" s="12" t="s">
        <v>232</v>
      </c>
      <c r="D78" s="14" t="n">
        <f aca="false">січень!P78</f>
        <v>6333.08</v>
      </c>
      <c r="E78" s="14" t="n">
        <f aca="false">січень!Q78</f>
        <v>0</v>
      </c>
      <c r="F78" s="13" t="n">
        <f aca="false">січень!F78</f>
        <v>0</v>
      </c>
      <c r="G78" s="13" t="n">
        <f aca="false">січень!G78</f>
        <v>34.9</v>
      </c>
      <c r="H78" s="13" t="n">
        <f aca="false">січень!H78</f>
        <v>0</v>
      </c>
      <c r="I78" s="13" t="n">
        <f aca="false">січень!I78</f>
        <v>4.1</v>
      </c>
      <c r="J78" s="14" t="n">
        <f aca="false">ROUND(G78*I78,2)</f>
        <v>143.09</v>
      </c>
      <c r="K78" s="14"/>
      <c r="L78" s="14"/>
      <c r="M78" s="14"/>
      <c r="N78" s="14" t="n">
        <f aca="false">ROUND((G78*I78)-K78-L78-M78,2)</f>
        <v>143.09</v>
      </c>
      <c r="O78" s="14"/>
      <c r="P78" s="14" t="n">
        <f aca="false">ROUND(IF(D78=0,IF((N78-E78-O78)&gt;0,(N78-E78-O78),0),IF((D78+N78-O78)&gt;0,(D78+N78-O78),0)),2)</f>
        <v>6476.17</v>
      </c>
      <c r="Q78" s="14" t="n">
        <f aca="false">ROUND(IF(E78=0,IF((D78+N78-O78)&lt;0,ABS(D78+N78-O78),0),IF((N78-E78-O78)&lt;0,ABS(N78-E78-O78),0)),2)</f>
        <v>0</v>
      </c>
    </row>
    <row r="79" customFormat="false" ht="15" hidden="false" customHeight="true" outlineLevel="0" collapsed="false">
      <c r="A79" s="12" t="s">
        <v>233</v>
      </c>
      <c r="B79" s="12" t="str">
        <f aca="false">січень!B79</f>
        <v>Котурга Л.Й.</v>
      </c>
      <c r="C79" s="12" t="s">
        <v>235</v>
      </c>
      <c r="D79" s="14" t="n">
        <f aca="false">січень!P79</f>
        <v>201.72</v>
      </c>
      <c r="E79" s="14" t="n">
        <f aca="false">січень!Q79</f>
        <v>0</v>
      </c>
      <c r="F79" s="13" t="n">
        <f aca="false">січень!F79</f>
        <v>0</v>
      </c>
      <c r="G79" s="13" t="n">
        <f aca="false">січень!G79</f>
        <v>49.2</v>
      </c>
      <c r="H79" s="13" t="n">
        <f aca="false">січень!H79</f>
        <v>0</v>
      </c>
      <c r="I79" s="13" t="n">
        <f aca="false">січень!I79</f>
        <v>4.1</v>
      </c>
      <c r="J79" s="14" t="n">
        <f aca="false">ROUND(G79*I79,2)</f>
        <v>201.72</v>
      </c>
      <c r="K79" s="14"/>
      <c r="L79" s="14"/>
      <c r="M79" s="14"/>
      <c r="N79" s="14" t="n">
        <f aca="false">ROUND((G79*I79)-K79-L79-M79,2)</f>
        <v>201.72</v>
      </c>
      <c r="O79" s="14"/>
      <c r="P79" s="14" t="n">
        <f aca="false">ROUND(IF(D79=0,IF((N79-E79-O79)&gt;0,(N79-E79-O79),0),IF((D79+N79-O79)&gt;0,(D79+N79-O79),0)),2)</f>
        <v>403.44</v>
      </c>
      <c r="Q79" s="14" t="n">
        <f aca="false">ROUND(IF(E79=0,IF((D79+N79-O79)&lt;0,ABS(D79+N79-O79),0),IF((N79-E79-O79)&lt;0,ABS(N79-E79-O79),0)),2)</f>
        <v>0</v>
      </c>
    </row>
    <row r="80" customFormat="false" ht="15" hidden="false" customHeight="true" outlineLevel="0" collapsed="false">
      <c r="A80" s="12" t="s">
        <v>236</v>
      </c>
      <c r="B80" s="12" t="str">
        <f aca="false">січень!B80</f>
        <v>Горова О.І.</v>
      </c>
      <c r="C80" s="12" t="s">
        <v>238</v>
      </c>
      <c r="D80" s="14" t="n">
        <f aca="false">січень!P80</f>
        <v>536.52</v>
      </c>
      <c r="E80" s="14" t="n">
        <f aca="false">січень!Q80</f>
        <v>0</v>
      </c>
      <c r="F80" s="13" t="n">
        <f aca="false">січень!F80</f>
        <v>0</v>
      </c>
      <c r="G80" s="13" t="n">
        <f aca="false">січень!G80</f>
        <v>65.43</v>
      </c>
      <c r="H80" s="13" t="n">
        <f aca="false">січень!H80</f>
        <v>0</v>
      </c>
      <c r="I80" s="13" t="n">
        <f aca="false">січень!I80</f>
        <v>4.1</v>
      </c>
      <c r="J80" s="14" t="n">
        <f aca="false">ROUND(G80*I80,2)</f>
        <v>268.26</v>
      </c>
      <c r="K80" s="14"/>
      <c r="L80" s="14"/>
      <c r="M80" s="14"/>
      <c r="N80" s="14" t="n">
        <f aca="false">ROUND((G80*I80)-K80-L80-M80,2)</f>
        <v>268.26</v>
      </c>
      <c r="O80" s="14"/>
      <c r="P80" s="14" t="n">
        <f aca="false">ROUND(IF(D80=0,IF((N80-E80-O80)&gt;0,(N80-E80-O80),0),IF((D80+N80-O80)&gt;0,(D80+N80-O80),0)),2)</f>
        <v>804.78</v>
      </c>
      <c r="Q80" s="14" t="n">
        <f aca="false">ROUND(IF(E80=0,IF((D80+N80-O80)&lt;0,ABS(D80+N80-O80),0),IF((N80-E80-O80)&lt;0,ABS(N80-E80-O80),0)),2)</f>
        <v>0</v>
      </c>
    </row>
    <row r="81" customFormat="false" ht="15" hidden="false" customHeight="true" outlineLevel="0" collapsed="false">
      <c r="A81" s="12" t="s">
        <v>239</v>
      </c>
      <c r="B81" s="12" t="str">
        <f aca="false">січень!B81</f>
        <v>Рибакевич М.П.</v>
      </c>
      <c r="C81" s="12" t="s">
        <v>241</v>
      </c>
      <c r="D81" s="14" t="n">
        <f aca="false">січень!P81</f>
        <v>1276.75</v>
      </c>
      <c r="E81" s="14" t="n">
        <f aca="false">січень!Q81</f>
        <v>0</v>
      </c>
      <c r="F81" s="13" t="n">
        <f aca="false">січень!F81</f>
        <v>0</v>
      </c>
      <c r="G81" s="13" t="n">
        <f aca="false">січень!G81</f>
        <v>64.5</v>
      </c>
      <c r="H81" s="13" t="n">
        <f aca="false">січень!H81</f>
        <v>0</v>
      </c>
      <c r="I81" s="13" t="n">
        <f aca="false">січень!I81</f>
        <v>4.1</v>
      </c>
      <c r="J81" s="14" t="n">
        <f aca="false">ROUND(G81*I81,2)</f>
        <v>264.45</v>
      </c>
      <c r="K81" s="14"/>
      <c r="L81" s="14"/>
      <c r="M81" s="14"/>
      <c r="N81" s="14" t="n">
        <f aca="false">ROUND((G81*I81)-K81-L81-M81,2)</f>
        <v>264.45</v>
      </c>
      <c r="O81" s="14"/>
      <c r="P81" s="14" t="n">
        <f aca="false">ROUND(IF(D81=0,IF((N81-E81-O81)&gt;0,(N81-E81-O81),0),IF((D81+N81-O81)&gt;0,(D81+N81-O81),0)),2)</f>
        <v>1541.2</v>
      </c>
      <c r="Q81" s="14" t="n">
        <f aca="false">ROUND(IF(E81=0,IF((D81+N81-O81)&lt;0,ABS(D81+N81-O81),0),IF((N81-E81-O81)&lt;0,ABS(N81-E81-O81),0)),2)</f>
        <v>0</v>
      </c>
    </row>
    <row r="82" customFormat="false" ht="15" hidden="false" customHeight="true" outlineLevel="0" collapsed="false">
      <c r="A82" s="12" t="s">
        <v>242</v>
      </c>
      <c r="B82" s="12" t="str">
        <f aca="false">січень!B82</f>
        <v>Башкалов В.В.</v>
      </c>
      <c r="C82" s="12" t="s">
        <v>244</v>
      </c>
      <c r="D82" s="14" t="n">
        <f aca="false">січень!P82</f>
        <v>205.36</v>
      </c>
      <c r="E82" s="14" t="n">
        <f aca="false">січень!Q82</f>
        <v>0</v>
      </c>
      <c r="F82" s="13" t="n">
        <f aca="false">січень!F82</f>
        <v>0</v>
      </c>
      <c r="G82" s="13" t="n">
        <f aca="false">січень!G82</f>
        <v>50.8</v>
      </c>
      <c r="H82" s="13" t="n">
        <f aca="false">січень!H82</f>
        <v>0</v>
      </c>
      <c r="I82" s="13" t="n">
        <f aca="false">січень!I82</f>
        <v>4.1</v>
      </c>
      <c r="J82" s="14" t="n">
        <f aca="false">ROUND(G82*I82,2)</f>
        <v>208.28</v>
      </c>
      <c r="K82" s="14"/>
      <c r="L82" s="14"/>
      <c r="M82" s="14"/>
      <c r="N82" s="14" t="n">
        <f aca="false">ROUND((G82*I82)-K82-L82-M82,2)</f>
        <v>208.28</v>
      </c>
      <c r="O82" s="14"/>
      <c r="P82" s="14" t="n">
        <f aca="false">ROUND(IF(D82=0,IF((N82-E82-O82)&gt;0,(N82-E82-O82),0),IF((D82+N82-O82)&gt;0,(D82+N82-O82),0)),2)</f>
        <v>413.64</v>
      </c>
      <c r="Q82" s="14" t="n">
        <f aca="false">ROUND(IF(E82=0,IF((D82+N82-O82)&lt;0,ABS(D82+N82-O82),0),IF((N82-E82-O82)&lt;0,ABS(N82-E82-O82),0)),2)</f>
        <v>0</v>
      </c>
    </row>
    <row r="83" customFormat="false" ht="15" hidden="false" customHeight="true" outlineLevel="0" collapsed="false">
      <c r="A83" s="12" t="s">
        <v>245</v>
      </c>
      <c r="B83" s="12" t="str">
        <f aca="false">січень!B83</f>
        <v>Тіхенко Г.Д.</v>
      </c>
      <c r="C83" s="12" t="s">
        <v>247</v>
      </c>
      <c r="D83" s="14" t="n">
        <f aca="false">січень!P83</f>
        <v>3860.6</v>
      </c>
      <c r="E83" s="14" t="n">
        <f aca="false">січень!Q83</f>
        <v>0</v>
      </c>
      <c r="F83" s="13" t="n">
        <f aca="false">січень!F83</f>
        <v>0</v>
      </c>
      <c r="G83" s="13" t="n">
        <f aca="false">січень!G83</f>
        <v>34.9</v>
      </c>
      <c r="H83" s="13" t="n">
        <f aca="false">січень!H83</f>
        <v>0</v>
      </c>
      <c r="I83" s="13" t="n">
        <f aca="false">січень!I83</f>
        <v>4.1</v>
      </c>
      <c r="J83" s="14" t="n">
        <f aca="false">ROUND(G83*I83,2)</f>
        <v>143.09</v>
      </c>
      <c r="K83" s="14"/>
      <c r="L83" s="14"/>
      <c r="M83" s="14"/>
      <c r="N83" s="14" t="n">
        <f aca="false">ROUND((G83*I83)-K83-L83-M83,2)</f>
        <v>143.09</v>
      </c>
      <c r="O83" s="14"/>
      <c r="P83" s="14" t="n">
        <f aca="false">ROUND(IF(D83=0,IF((N83-E83-O83)&gt;0,(N83-E83-O83),0),IF((D83+N83-O83)&gt;0,(D83+N83-O83),0)),2)</f>
        <v>4003.69</v>
      </c>
      <c r="Q83" s="14" t="n">
        <f aca="false">ROUND(IF(E83=0,IF((D83+N83-O83)&lt;0,ABS(D83+N83-O83),0),IF((N83-E83-O83)&lt;0,ABS(N83-E83-O83),0)),2)</f>
        <v>0</v>
      </c>
    </row>
    <row r="84" customFormat="false" ht="15" hidden="false" customHeight="true" outlineLevel="0" collapsed="false">
      <c r="A84" s="12" t="s">
        <v>248</v>
      </c>
      <c r="B84" s="12" t="str">
        <f aca="false">січень!B84</f>
        <v>Головченко В.Г.</v>
      </c>
      <c r="C84" s="12" t="s">
        <v>250</v>
      </c>
      <c r="D84" s="14" t="n">
        <f aca="false">січень!P84</f>
        <v>250.2</v>
      </c>
      <c r="E84" s="14" t="n">
        <f aca="false">січень!Q84</f>
        <v>0</v>
      </c>
      <c r="F84" s="13" t="n">
        <f aca="false">січень!F84</f>
        <v>0</v>
      </c>
      <c r="G84" s="13" t="n">
        <f aca="false">січень!G84</f>
        <v>61</v>
      </c>
      <c r="H84" s="13" t="n">
        <f aca="false">січень!H84</f>
        <v>0</v>
      </c>
      <c r="I84" s="13" t="n">
        <f aca="false">січень!I84</f>
        <v>4.1</v>
      </c>
      <c r="J84" s="14" t="n">
        <f aca="false">ROUND(G84*I84,2)</f>
        <v>250.1</v>
      </c>
      <c r="K84" s="14"/>
      <c r="L84" s="14"/>
      <c r="M84" s="14"/>
      <c r="N84" s="14" t="n">
        <f aca="false">ROUND((G84*I84)-K84-L84-M84,2)</f>
        <v>250.1</v>
      </c>
      <c r="O84" s="14"/>
      <c r="P84" s="14" t="n">
        <f aca="false">ROUND(IF(D84=0,IF((N84-E84-O84)&gt;0,(N84-E84-O84),0),IF((D84+N84-O84)&gt;0,(D84+N84-O84),0)),2)</f>
        <v>500.3</v>
      </c>
      <c r="Q84" s="14" t="n">
        <f aca="false">ROUND(IF(E84=0,IF((D84+N84-O84)&lt;0,ABS(D84+N84-O84),0),IF((N84-E84-O84)&lt;0,ABS(N84-E84-O84),0)),2)</f>
        <v>0</v>
      </c>
    </row>
    <row r="85" customFormat="false" ht="15" hidden="false" customHeight="true" outlineLevel="0" collapsed="false">
      <c r="A85" s="12" t="s">
        <v>251</v>
      </c>
      <c r="B85" s="12" t="str">
        <f aca="false">січень!B85</f>
        <v>Семанішина Є.С.</v>
      </c>
      <c r="C85" s="12" t="s">
        <v>253</v>
      </c>
      <c r="D85" s="14" t="n">
        <f aca="false">січень!P85</f>
        <v>665.6</v>
      </c>
      <c r="E85" s="14" t="n">
        <f aca="false">січень!Q85</f>
        <v>0</v>
      </c>
      <c r="F85" s="13" t="n">
        <f aca="false">січень!F85</f>
        <v>0</v>
      </c>
      <c r="G85" s="13" t="n">
        <f aca="false">січень!G85</f>
        <v>64.5</v>
      </c>
      <c r="H85" s="13" t="n">
        <f aca="false">січень!H85</f>
        <v>0</v>
      </c>
      <c r="I85" s="13" t="n">
        <f aca="false">січень!I85</f>
        <v>4.1</v>
      </c>
      <c r="J85" s="14" t="n">
        <f aca="false">ROUND(G85*I85,2)</f>
        <v>264.45</v>
      </c>
      <c r="K85" s="14"/>
      <c r="L85" s="14"/>
      <c r="M85" s="14"/>
      <c r="N85" s="14" t="n">
        <f aca="false">ROUND((G85*I85)-K85-L85-M85,2)</f>
        <v>264.45</v>
      </c>
      <c r="O85" s="14"/>
      <c r="P85" s="14" t="n">
        <f aca="false">ROUND(IF(D85=0,IF((N85-E85-O85)&gt;0,(N85-E85-O85),0),IF((D85+N85-O85)&gt;0,(D85+N85-O85),0)),2)</f>
        <v>930.05</v>
      </c>
      <c r="Q85" s="14" t="n">
        <f aca="false">ROUND(IF(E85=0,IF((D85+N85-O85)&lt;0,ABS(D85+N85-O85),0),IF((N85-E85-O85)&lt;0,ABS(N85-E85-O85),0)),2)</f>
        <v>0</v>
      </c>
    </row>
    <row r="86" customFormat="false" ht="15" hidden="false" customHeight="true" outlineLevel="0" collapsed="false">
      <c r="A86" s="12" t="s">
        <v>254</v>
      </c>
      <c r="B86" s="12" t="str">
        <f aca="false">січень!B86</f>
        <v>Зінченко Ю.В.</v>
      </c>
      <c r="C86" s="12" t="s">
        <v>256</v>
      </c>
      <c r="D86" s="14" t="n">
        <f aca="false">січень!P86</f>
        <v>186.39</v>
      </c>
      <c r="E86" s="14" t="n">
        <f aca="false">січень!Q86</f>
        <v>0</v>
      </c>
      <c r="F86" s="13" t="n">
        <f aca="false">січень!F86</f>
        <v>0</v>
      </c>
      <c r="G86" s="13" t="n">
        <f aca="false">січень!G86</f>
        <v>49.3</v>
      </c>
      <c r="H86" s="13" t="n">
        <f aca="false">січень!H86</f>
        <v>0</v>
      </c>
      <c r="I86" s="13" t="n">
        <f aca="false">січень!I86</f>
        <v>4.1</v>
      </c>
      <c r="J86" s="14" t="n">
        <f aca="false">ROUND(G86*I86,2)</f>
        <v>202.13</v>
      </c>
      <c r="K86" s="14"/>
      <c r="L86" s="14"/>
      <c r="M86" s="14"/>
      <c r="N86" s="14" t="n">
        <f aca="false">ROUND((G86*I86)-K86-L86-M86,2)</f>
        <v>202.13</v>
      </c>
      <c r="O86" s="14"/>
      <c r="P86" s="14" t="n">
        <f aca="false">ROUND(IF(D86=0,IF((N86-E86-O86)&gt;0,(N86-E86-O86),0),IF((D86+N86-O86)&gt;0,(D86+N86-O86),0)),2)</f>
        <v>388.52</v>
      </c>
      <c r="Q86" s="14" t="n">
        <f aca="false">ROUND(IF(E86=0,IF((D86+N86-O86)&lt;0,ABS(D86+N86-O86),0),IF((N86-E86-O86)&lt;0,ABS(N86-E86-O86),0)),2)</f>
        <v>0</v>
      </c>
    </row>
    <row r="87" customFormat="false" ht="15" hidden="false" customHeight="true" outlineLevel="0" collapsed="false">
      <c r="A87" s="12" t="s">
        <v>257</v>
      </c>
      <c r="B87" s="12" t="str">
        <f aca="false">січень!B87</f>
        <v>Рилова Г.П.</v>
      </c>
      <c r="C87" s="12" t="s">
        <v>259</v>
      </c>
      <c r="D87" s="14" t="n">
        <f aca="false">січень!P87</f>
        <v>287</v>
      </c>
      <c r="E87" s="14" t="n">
        <f aca="false">січень!Q87</f>
        <v>0</v>
      </c>
      <c r="F87" s="13" t="n">
        <f aca="false">січень!F87</f>
        <v>0</v>
      </c>
      <c r="G87" s="13" t="n">
        <f aca="false">січень!G87</f>
        <v>35</v>
      </c>
      <c r="H87" s="13" t="n">
        <f aca="false">січень!H87</f>
        <v>0</v>
      </c>
      <c r="I87" s="13" t="n">
        <f aca="false">січень!I87</f>
        <v>4.1</v>
      </c>
      <c r="J87" s="14" t="n">
        <f aca="false">ROUND(G87*I87,2)</f>
        <v>143.5</v>
      </c>
      <c r="K87" s="14"/>
      <c r="L87" s="14"/>
      <c r="M87" s="14"/>
      <c r="N87" s="14" t="n">
        <f aca="false">ROUND((G87*I87)-K87-L87-M87,2)</f>
        <v>143.5</v>
      </c>
      <c r="O87" s="14"/>
      <c r="P87" s="14" t="n">
        <f aca="false">ROUND(IF(D87=0,IF((N87-E87-O87)&gt;0,(N87-E87-O87),0),IF((D87+N87-O87)&gt;0,(D87+N87-O87),0)),2)</f>
        <v>430.5</v>
      </c>
      <c r="Q87" s="14" t="n">
        <f aca="false">ROUND(IF(E87=0,IF((D87+N87-O87)&lt;0,ABS(D87+N87-O87),0),IF((N87-E87-O87)&lt;0,ABS(N87-E87-O87),0)),2)</f>
        <v>0</v>
      </c>
    </row>
    <row r="88" customFormat="false" ht="15" hidden="false" customHeight="true" outlineLevel="0" collapsed="false">
      <c r="A88" s="12" t="s">
        <v>260</v>
      </c>
      <c r="B88" s="12" t="str">
        <f aca="false">січень!B88</f>
        <v>Ленський І.О.</v>
      </c>
      <c r="C88" s="12" t="s">
        <v>262</v>
      </c>
      <c r="D88" s="14" t="n">
        <f aca="false">січень!P88</f>
        <v>506.76</v>
      </c>
      <c r="E88" s="14" t="n">
        <f aca="false">січень!Q88</f>
        <v>0</v>
      </c>
      <c r="F88" s="13" t="n">
        <f aca="false">січень!F88</f>
        <v>0</v>
      </c>
      <c r="G88" s="13" t="n">
        <f aca="false">січень!G88</f>
        <v>61.8</v>
      </c>
      <c r="H88" s="13" t="n">
        <f aca="false">січень!H88</f>
        <v>0</v>
      </c>
      <c r="I88" s="13" t="n">
        <f aca="false">січень!I88</f>
        <v>4.1</v>
      </c>
      <c r="J88" s="14" t="n">
        <f aca="false">ROUND(G88*I88,2)</f>
        <v>253.38</v>
      </c>
      <c r="K88" s="14"/>
      <c r="L88" s="14"/>
      <c r="M88" s="14"/>
      <c r="N88" s="14" t="n">
        <f aca="false">ROUND((G88*I88)-K88-L88-M88,2)</f>
        <v>253.38</v>
      </c>
      <c r="O88" s="14"/>
      <c r="P88" s="14" t="n">
        <f aca="false">ROUND(IF(D88=0,IF((N88-E88-O88)&gt;0,(N88-E88-O88),0),IF((D88+N88-O88)&gt;0,(D88+N88-O88),0)),2)</f>
        <v>760.14</v>
      </c>
      <c r="Q88" s="14" t="n">
        <f aca="false">ROUND(IF(E88=0,IF((D88+N88-O88)&lt;0,ABS(D88+N88-O88),0),IF((N88-E88-O88)&lt;0,ABS(N88-E88-O88),0)),2)</f>
        <v>0</v>
      </c>
    </row>
    <row r="89" customFormat="false" ht="15" hidden="false" customHeight="true" outlineLevel="0" collapsed="false">
      <c r="A89" s="12" t="s">
        <v>263</v>
      </c>
      <c r="B89" s="12" t="str">
        <f aca="false">січень!B89</f>
        <v>Слюсар О.О.</v>
      </c>
      <c r="C89" s="12" t="s">
        <v>265</v>
      </c>
      <c r="D89" s="14" t="n">
        <f aca="false">січень!P89</f>
        <v>12816.89</v>
      </c>
      <c r="E89" s="14" t="n">
        <f aca="false">січень!Q89</f>
        <v>0</v>
      </c>
      <c r="F89" s="13" t="n">
        <f aca="false">січень!F89</f>
        <v>0</v>
      </c>
      <c r="G89" s="13" t="n">
        <f aca="false">січень!G89</f>
        <v>65.81</v>
      </c>
      <c r="H89" s="13" t="n">
        <f aca="false">січень!H89</f>
        <v>0</v>
      </c>
      <c r="I89" s="13" t="n">
        <f aca="false">січень!I89</f>
        <v>4.1</v>
      </c>
      <c r="J89" s="14" t="n">
        <f aca="false">ROUND(G89*I89,2)</f>
        <v>269.82</v>
      </c>
      <c r="K89" s="14"/>
      <c r="L89" s="14"/>
      <c r="M89" s="14"/>
      <c r="N89" s="14" t="n">
        <f aca="false">ROUND((G89*I89)-K89-L89-M89,2)</f>
        <v>269.82</v>
      </c>
      <c r="O89" s="14"/>
      <c r="P89" s="14" t="n">
        <f aca="false">ROUND(IF(D89=0,IF((N89-E89-O89)&gt;0,(N89-E89-O89),0),IF((D89+N89-O89)&gt;0,(D89+N89-O89),0)),2)</f>
        <v>13086.71</v>
      </c>
      <c r="Q89" s="14" t="n">
        <f aca="false">ROUND(IF(E89=0,IF((D89+N89-O89)&lt;0,ABS(D89+N89-O89),0),IF((N89-E89-O89)&lt;0,ABS(N89-E89-O89),0)),2)</f>
        <v>0</v>
      </c>
    </row>
    <row r="90" customFormat="false" ht="15" hidden="false" customHeight="true" outlineLevel="0" collapsed="false">
      <c r="A90" s="12" t="s">
        <v>266</v>
      </c>
      <c r="B90" s="12" t="str">
        <f aca="false">січень!B90</f>
        <v>Кісельов Г.О.</v>
      </c>
      <c r="C90" s="12" t="s">
        <v>268</v>
      </c>
      <c r="D90" s="14" t="n">
        <f aca="false">січень!P90</f>
        <v>0</v>
      </c>
      <c r="E90" s="14" t="n">
        <f aca="false">січень!Q90</f>
        <v>408.92</v>
      </c>
      <c r="F90" s="13" t="n">
        <f aca="false">січень!F90</f>
        <v>0</v>
      </c>
      <c r="G90" s="13" t="n">
        <f aca="false">січень!G90</f>
        <v>49.7</v>
      </c>
      <c r="H90" s="13" t="n">
        <f aca="false">січень!H90</f>
        <v>0</v>
      </c>
      <c r="I90" s="13" t="n">
        <f aca="false">січень!I90</f>
        <v>4.1</v>
      </c>
      <c r="J90" s="14" t="n">
        <f aca="false">ROUND(G90*I90,2)</f>
        <v>203.77</v>
      </c>
      <c r="K90" s="14"/>
      <c r="L90" s="14"/>
      <c r="M90" s="14"/>
      <c r="N90" s="14" t="n">
        <f aca="false">ROUND((G90*I90)-K90-L90-M90,2)</f>
        <v>203.77</v>
      </c>
      <c r="O90" s="14"/>
      <c r="P90" s="14" t="n">
        <f aca="false">ROUND(IF(D90=0,IF((N90-E90-O90)&gt;0,(N90-E90-O90),0),IF((D90+N90-O90)&gt;0,(D90+N90-O90),0)),2)</f>
        <v>0</v>
      </c>
      <c r="Q90" s="14" t="n">
        <f aca="false">ROUND(IF(E90=0,IF((D90+N90-O90)&lt;0,ABS(D90+N90-O90),0),IF((N90-E90-O90)&lt;0,ABS(N90-E90-O90),0)),2)</f>
        <v>205.15</v>
      </c>
    </row>
    <row r="91" customFormat="false" ht="15" hidden="false" customHeight="true" outlineLevel="0" collapsed="false">
      <c r="A91" s="12" t="s">
        <v>269</v>
      </c>
      <c r="B91" s="12" t="str">
        <f aca="false">січень!B91</f>
        <v>Губанова Н.С.</v>
      </c>
      <c r="C91" s="12" t="s">
        <v>271</v>
      </c>
      <c r="D91" s="14" t="n">
        <f aca="false">січень!P91</f>
        <v>5940.9</v>
      </c>
      <c r="E91" s="14" t="n">
        <f aca="false">січень!Q91</f>
        <v>0</v>
      </c>
      <c r="F91" s="13" t="n">
        <f aca="false">січень!F91</f>
        <v>0</v>
      </c>
      <c r="G91" s="13" t="n">
        <f aca="false">січень!G91</f>
        <v>34.5</v>
      </c>
      <c r="H91" s="13" t="n">
        <f aca="false">січень!H91</f>
        <v>0</v>
      </c>
      <c r="I91" s="13" t="n">
        <f aca="false">січень!I91</f>
        <v>4.1</v>
      </c>
      <c r="J91" s="14" t="n">
        <f aca="false">ROUND(G91*I91,2)</f>
        <v>141.45</v>
      </c>
      <c r="K91" s="14"/>
      <c r="L91" s="14"/>
      <c r="M91" s="14"/>
      <c r="N91" s="14" t="n">
        <f aca="false">ROUND((G91*I91)-K91-L91-M91,2)</f>
        <v>141.45</v>
      </c>
      <c r="O91" s="14"/>
      <c r="P91" s="14" t="n">
        <f aca="false">ROUND(IF(D91=0,IF((N91-E91-O91)&gt;0,(N91-E91-O91),0),IF((D91+N91-O91)&gt;0,(D91+N91-O91),0)),2)</f>
        <v>6082.35</v>
      </c>
      <c r="Q91" s="14" t="n">
        <f aca="false">ROUND(IF(E91=0,IF((D91+N91-O91)&lt;0,ABS(D91+N91-O91),0),IF((N91-E91-O91)&lt;0,ABS(N91-E91-O91),0)),2)</f>
        <v>0</v>
      </c>
    </row>
    <row r="92" customFormat="false" ht="15" hidden="false" customHeight="true" outlineLevel="0" collapsed="false">
      <c r="A92" s="12" t="s">
        <v>272</v>
      </c>
      <c r="B92" s="12" t="str">
        <f aca="false">січень!B92</f>
        <v>Попова А.В.</v>
      </c>
      <c r="C92" s="12" t="s">
        <v>274</v>
      </c>
      <c r="D92" s="14" t="n">
        <f aca="false">січень!P92</f>
        <v>4012.27</v>
      </c>
      <c r="E92" s="14" t="n">
        <f aca="false">січень!Q92</f>
        <v>0</v>
      </c>
      <c r="F92" s="13" t="n">
        <f aca="false">січень!F92</f>
        <v>0</v>
      </c>
      <c r="G92" s="13" t="n">
        <f aca="false">січень!G92</f>
        <v>62.4</v>
      </c>
      <c r="H92" s="13" t="n">
        <f aca="false">січень!H92</f>
        <v>0</v>
      </c>
      <c r="I92" s="13" t="n">
        <f aca="false">січень!I92</f>
        <v>4.1</v>
      </c>
      <c r="J92" s="14" t="n">
        <f aca="false">ROUND(G92*I92,2)</f>
        <v>255.84</v>
      </c>
      <c r="K92" s="14"/>
      <c r="L92" s="14"/>
      <c r="M92" s="14"/>
      <c r="N92" s="14" t="n">
        <f aca="false">ROUND((G92*I92)-K92-L92-M92,2)</f>
        <v>255.84</v>
      </c>
      <c r="O92" s="14"/>
      <c r="P92" s="14" t="n">
        <f aca="false">ROUND(IF(D92=0,IF((N92-E92-O92)&gt;0,(N92-E92-O92),0),IF((D92+N92-O92)&gt;0,(D92+N92-O92),0)),2)</f>
        <v>4268.11</v>
      </c>
      <c r="Q92" s="14" t="n">
        <f aca="false">ROUND(IF(E92=0,IF((D92+N92-O92)&lt;0,ABS(D92+N92-O92),0),IF((N92-E92-O92)&lt;0,ABS(N92-E92-O92),0)),2)</f>
        <v>0</v>
      </c>
    </row>
    <row r="93" customFormat="false" ht="15" hidden="false" customHeight="true" outlineLevel="0" collapsed="false">
      <c r="A93" s="12" t="s">
        <v>275</v>
      </c>
      <c r="B93" s="12" t="str">
        <f aca="false">січень!B93</f>
        <v>Стародубець О.К.</v>
      </c>
      <c r="C93" s="12" t="s">
        <v>277</v>
      </c>
      <c r="D93" s="14" t="n">
        <f aca="false">січень!P93</f>
        <v>544.98</v>
      </c>
      <c r="E93" s="14" t="n">
        <f aca="false">січень!Q93</f>
        <v>0</v>
      </c>
      <c r="F93" s="13" t="n">
        <f aca="false">січень!F93</f>
        <v>0</v>
      </c>
      <c r="G93" s="13" t="n">
        <f aca="false">січень!G93</f>
        <v>66.46</v>
      </c>
      <c r="H93" s="13" t="n">
        <f aca="false">січень!H93</f>
        <v>0</v>
      </c>
      <c r="I93" s="13" t="n">
        <f aca="false">січень!I93</f>
        <v>4.1</v>
      </c>
      <c r="J93" s="14" t="n">
        <f aca="false">ROUND(G93*I93,2)</f>
        <v>272.49</v>
      </c>
      <c r="K93" s="14"/>
      <c r="L93" s="14"/>
      <c r="M93" s="14"/>
      <c r="N93" s="14" t="n">
        <f aca="false">ROUND((G93*I93)-K93-L93-M93,2)</f>
        <v>272.49</v>
      </c>
      <c r="O93" s="14"/>
      <c r="P93" s="14" t="n">
        <f aca="false">ROUND(IF(D93=0,IF((N93-E93-O93)&gt;0,(N93-E93-O93),0),IF((D93+N93-O93)&gt;0,(D93+N93-O93),0)),2)</f>
        <v>817.47</v>
      </c>
      <c r="Q93" s="14" t="n">
        <f aca="false">ROUND(IF(E93=0,IF((D93+N93-O93)&lt;0,ABS(D93+N93-O93),0),IF((N93-E93-O93)&lt;0,ABS(N93-E93-O93),0)),2)</f>
        <v>0</v>
      </c>
    </row>
    <row r="94" customFormat="false" ht="15" hidden="false" customHeight="true" outlineLevel="0" collapsed="false">
      <c r="A94" s="12" t="s">
        <v>278</v>
      </c>
      <c r="B94" s="12" t="str">
        <f aca="false">січень!B94</f>
        <v>Сакун Т.А.</v>
      </c>
      <c r="C94" s="12" t="s">
        <v>280</v>
      </c>
      <c r="D94" s="14" t="n">
        <f aca="false">січень!P94</f>
        <v>7990.51</v>
      </c>
      <c r="E94" s="14" t="n">
        <f aca="false">січень!Q94</f>
        <v>0</v>
      </c>
      <c r="F94" s="13" t="n">
        <f aca="false">січень!F94</f>
        <v>0</v>
      </c>
      <c r="G94" s="13" t="n">
        <f aca="false">січень!G94</f>
        <v>49.73</v>
      </c>
      <c r="H94" s="13" t="n">
        <f aca="false">січень!H94</f>
        <v>0</v>
      </c>
      <c r="I94" s="13" t="n">
        <f aca="false">січень!I94</f>
        <v>4.1</v>
      </c>
      <c r="J94" s="14" t="n">
        <f aca="false">ROUND(G94*I94,2)</f>
        <v>203.89</v>
      </c>
      <c r="K94" s="14"/>
      <c r="L94" s="14"/>
      <c r="M94" s="14"/>
      <c r="N94" s="14" t="n">
        <f aca="false">ROUND((G94*I94)-K94-L94-M94,2)</f>
        <v>203.89</v>
      </c>
      <c r="O94" s="14"/>
      <c r="P94" s="14" t="n">
        <f aca="false">ROUND(IF(D94=0,IF((N94-E94-O94)&gt;0,(N94-E94-O94),0),IF((D94+N94-O94)&gt;0,(D94+N94-O94),0)),2)</f>
        <v>8194.4</v>
      </c>
      <c r="Q94" s="14" t="n">
        <f aca="false">ROUND(IF(E94=0,IF((D94+N94-O94)&lt;0,ABS(D94+N94-O94),0),IF((N94-E94-O94)&lt;0,ABS(N94-E94-O94),0)),2)</f>
        <v>0</v>
      </c>
    </row>
    <row r="95" customFormat="false" ht="15" hidden="false" customHeight="true" outlineLevel="0" collapsed="false">
      <c r="A95" s="12" t="s">
        <v>281</v>
      </c>
      <c r="B95" s="12" t="str">
        <f aca="false">січень!B95</f>
        <v>Фатєєв Ю.О.</v>
      </c>
      <c r="C95" s="12" t="s">
        <v>283</v>
      </c>
      <c r="D95" s="14" t="n">
        <f aca="false">січень!P95</f>
        <v>9086.78</v>
      </c>
      <c r="E95" s="14" t="n">
        <f aca="false">січень!Q95</f>
        <v>0</v>
      </c>
      <c r="F95" s="13" t="n">
        <f aca="false">січень!F95</f>
        <v>0</v>
      </c>
      <c r="G95" s="13" t="n">
        <f aca="false">січень!G95</f>
        <v>34.9</v>
      </c>
      <c r="H95" s="13" t="n">
        <f aca="false">січень!H95</f>
        <v>0</v>
      </c>
      <c r="I95" s="13" t="n">
        <f aca="false">січень!I95</f>
        <v>4.1</v>
      </c>
      <c r="J95" s="14" t="n">
        <f aca="false">ROUND(G95*I95,2)</f>
        <v>143.09</v>
      </c>
      <c r="K95" s="14"/>
      <c r="L95" s="14"/>
      <c r="M95" s="14"/>
      <c r="N95" s="14" t="n">
        <f aca="false">ROUND((G95*I95)-K95-L95-M95,2)</f>
        <v>143.09</v>
      </c>
      <c r="O95" s="14"/>
      <c r="P95" s="14" t="n">
        <f aca="false">ROUND(IF(D95=0,IF((N95-E95-O95)&gt;0,(N95-E95-O95),0),IF((D95+N95-O95)&gt;0,(D95+N95-O95),0)),2)</f>
        <v>9229.87</v>
      </c>
      <c r="Q95" s="14" t="n">
        <f aca="false">ROUND(IF(E95=0,IF((D95+N95-O95)&lt;0,ABS(D95+N95-O95),0),IF((N95-E95-O95)&lt;0,ABS(N95-E95-O95),0)),2)</f>
        <v>0</v>
      </c>
    </row>
    <row r="96" customFormat="false" ht="15" hidden="false" customHeight="true" outlineLevel="0" collapsed="false">
      <c r="A96" s="12" t="s">
        <v>284</v>
      </c>
      <c r="B96" s="12" t="str">
        <f aca="false">січень!B96</f>
        <v>Лукашов Є.В.</v>
      </c>
      <c r="C96" s="12" t="s">
        <v>286</v>
      </c>
      <c r="D96" s="14" t="n">
        <f aca="false">січень!P96</f>
        <v>13631.18</v>
      </c>
      <c r="E96" s="14" t="n">
        <f aca="false">січень!Q96</f>
        <v>0</v>
      </c>
      <c r="F96" s="13" t="n">
        <f aca="false">січень!F96</f>
        <v>0</v>
      </c>
      <c r="G96" s="13" t="n">
        <f aca="false">січень!G96</f>
        <v>61.9</v>
      </c>
      <c r="H96" s="13" t="n">
        <f aca="false">січень!H96</f>
        <v>0</v>
      </c>
      <c r="I96" s="13" t="n">
        <f aca="false">січень!I96</f>
        <v>4.1</v>
      </c>
      <c r="J96" s="14" t="n">
        <f aca="false">ROUND(G96*I96,2)</f>
        <v>253.79</v>
      </c>
      <c r="K96" s="14"/>
      <c r="L96" s="14"/>
      <c r="M96" s="14"/>
      <c r="N96" s="14" t="n">
        <f aca="false">ROUND((G96*I96)-K96-L96-M96,2)</f>
        <v>253.79</v>
      </c>
      <c r="O96" s="14"/>
      <c r="P96" s="14" t="n">
        <f aca="false">ROUND(IF(D96=0,IF((N96-E96-O96)&gt;0,(N96-E96-O96),0),IF((D96+N96-O96)&gt;0,(D96+N96-O96),0)),2)</f>
        <v>13884.97</v>
      </c>
      <c r="Q96" s="14" t="n">
        <f aca="false">ROUND(IF(E96=0,IF((D96+N96-O96)&lt;0,ABS(D96+N96-O96),0),IF((N96-E96-O96)&lt;0,ABS(N96-E96-O96),0)),2)</f>
        <v>0</v>
      </c>
    </row>
    <row r="97" customFormat="false" ht="15" hidden="false" customHeight="true" outlineLevel="0" collapsed="false">
      <c r="A97" s="12" t="s">
        <v>287</v>
      </c>
      <c r="B97" s="12" t="str">
        <f aca="false">січень!B97</f>
        <v>Довбета В.М.</v>
      </c>
      <c r="C97" s="12" t="s">
        <v>289</v>
      </c>
      <c r="D97" s="14" t="n">
        <f aca="false">січень!P97</f>
        <v>0</v>
      </c>
      <c r="E97" s="14" t="n">
        <f aca="false">січень!Q97</f>
        <v>4.51</v>
      </c>
      <c r="F97" s="13" t="n">
        <f aca="false">січень!F97</f>
        <v>0</v>
      </c>
      <c r="G97" s="13" t="n">
        <f aca="false">січень!G97</f>
        <v>65.3</v>
      </c>
      <c r="H97" s="13" t="n">
        <f aca="false">січень!H97</f>
        <v>0</v>
      </c>
      <c r="I97" s="13" t="n">
        <f aca="false">січень!I97</f>
        <v>4.1</v>
      </c>
      <c r="J97" s="14" t="n">
        <f aca="false">ROUND(G97*I97,2)</f>
        <v>267.73</v>
      </c>
      <c r="K97" s="14"/>
      <c r="L97" s="14"/>
      <c r="M97" s="14"/>
      <c r="N97" s="14" t="n">
        <f aca="false">ROUND((G97*I97)-K97-L97-M97,2)</f>
        <v>267.73</v>
      </c>
      <c r="O97" s="14"/>
      <c r="P97" s="14" t="n">
        <f aca="false">ROUND(IF(D97=0,IF((N97-E97-O97)&gt;0,(N97-E97-O97),0),IF((D97+N97-O97)&gt;0,(D97+N97-O97),0)),2)</f>
        <v>263.22</v>
      </c>
      <c r="Q97" s="14" t="n">
        <f aca="false">ROUND(IF(E97=0,IF((D97+N97-O97)&lt;0,ABS(D97+N97-O97),0),IF((N97-E97-O97)&lt;0,ABS(N97-E97-O97),0)),2)</f>
        <v>0</v>
      </c>
    </row>
    <row r="98" customFormat="false" ht="15" hidden="false" customHeight="true" outlineLevel="0" collapsed="false">
      <c r="A98" s="12" t="s">
        <v>290</v>
      </c>
      <c r="B98" s="12" t="str">
        <f aca="false">січень!B98</f>
        <v>Черняк К.В.</v>
      </c>
      <c r="C98" s="12" t="s">
        <v>292</v>
      </c>
      <c r="D98" s="14" t="n">
        <f aca="false">січень!P98</f>
        <v>0</v>
      </c>
      <c r="E98" s="14" t="n">
        <f aca="false">січень!Q98</f>
        <v>25.44</v>
      </c>
      <c r="F98" s="13" t="n">
        <f aca="false">січень!F98</f>
        <v>0</v>
      </c>
      <c r="G98" s="13" t="n">
        <f aca="false">січень!G98</f>
        <v>49.48</v>
      </c>
      <c r="H98" s="13" t="n">
        <f aca="false">січень!H98</f>
        <v>0</v>
      </c>
      <c r="I98" s="13" t="n">
        <f aca="false">січень!I98</f>
        <v>4.1</v>
      </c>
      <c r="J98" s="14" t="n">
        <f aca="false">ROUND(G98*I98,2)</f>
        <v>202.87</v>
      </c>
      <c r="K98" s="14"/>
      <c r="L98" s="14"/>
      <c r="M98" s="14"/>
      <c r="N98" s="14" t="n">
        <f aca="false">ROUND((G98*I98)-K98-L98-M98,2)</f>
        <v>202.87</v>
      </c>
      <c r="O98" s="14"/>
      <c r="P98" s="14" t="n">
        <f aca="false">ROUND(IF(D98=0,IF((N98-E98-O98)&gt;0,(N98-E98-O98),0),IF((D98+N98-O98)&gt;0,(D98+N98-O98),0)),2)</f>
        <v>177.43</v>
      </c>
      <c r="Q98" s="14" t="n">
        <f aca="false">ROUND(IF(E98=0,IF((D98+N98-O98)&lt;0,ABS(D98+N98-O98),0),IF((N98-E98-O98)&lt;0,ABS(N98-E98-O98),0)),2)</f>
        <v>0</v>
      </c>
    </row>
    <row r="99" customFormat="false" ht="15" hidden="false" customHeight="true" outlineLevel="0" collapsed="false">
      <c r="A99" s="12" t="s">
        <v>293</v>
      </c>
      <c r="B99" s="12" t="str">
        <f aca="false">січень!B99</f>
        <v>Довбета С.П.</v>
      </c>
      <c r="C99" s="12" t="s">
        <v>295</v>
      </c>
      <c r="D99" s="14" t="n">
        <f aca="false">січень!P99</f>
        <v>140.77</v>
      </c>
      <c r="E99" s="14" t="n">
        <f aca="false">січень!Q99</f>
        <v>0</v>
      </c>
      <c r="F99" s="13" t="n">
        <f aca="false">січень!F99</f>
        <v>0</v>
      </c>
      <c r="G99" s="13" t="n">
        <f aca="false">січень!G99</f>
        <v>35.1</v>
      </c>
      <c r="H99" s="13" t="n">
        <f aca="false">січень!H99</f>
        <v>0</v>
      </c>
      <c r="I99" s="13" t="n">
        <f aca="false">січень!I99</f>
        <v>4.1</v>
      </c>
      <c r="J99" s="14" t="n">
        <f aca="false">ROUND(G99*I99,2)</f>
        <v>143.91</v>
      </c>
      <c r="K99" s="14"/>
      <c r="L99" s="14"/>
      <c r="M99" s="14"/>
      <c r="N99" s="14" t="n">
        <f aca="false">ROUND((G99*I99)-K99-L99-M99,2)</f>
        <v>143.91</v>
      </c>
      <c r="O99" s="14"/>
      <c r="P99" s="14" t="n">
        <f aca="false">ROUND(IF(D99=0,IF((N99-E99-O99)&gt;0,(N99-E99-O99),0),IF((D99+N99-O99)&gt;0,(D99+N99-O99),0)),2)</f>
        <v>284.68</v>
      </c>
      <c r="Q99" s="14" t="n">
        <f aca="false">ROUND(IF(E99=0,IF((D99+N99-O99)&lt;0,ABS(D99+N99-O99),0),IF((N99-E99-O99)&lt;0,ABS(N99-E99-O99),0)),2)</f>
        <v>0</v>
      </c>
    </row>
    <row r="100" customFormat="false" ht="15" hidden="false" customHeight="true" outlineLevel="0" collapsed="false">
      <c r="A100" s="12" t="s">
        <v>296</v>
      </c>
      <c r="B100" s="12" t="str">
        <f aca="false">січень!B100</f>
        <v>Липка Г.Ю.</v>
      </c>
      <c r="C100" s="12" t="s">
        <v>298</v>
      </c>
      <c r="D100" s="14" t="n">
        <f aca="false">січень!P100</f>
        <v>13215.12</v>
      </c>
      <c r="E100" s="14" t="n">
        <f aca="false">січень!Q100</f>
        <v>0</v>
      </c>
      <c r="F100" s="13" t="n">
        <f aca="false">січень!F100</f>
        <v>0</v>
      </c>
      <c r="G100" s="13" t="n">
        <f aca="false">січень!G100</f>
        <v>63.2</v>
      </c>
      <c r="H100" s="13" t="n">
        <f aca="false">січень!H100</f>
        <v>0</v>
      </c>
      <c r="I100" s="13" t="n">
        <f aca="false">січень!I100</f>
        <v>4.1</v>
      </c>
      <c r="J100" s="14" t="n">
        <f aca="false">ROUND(G100*I100,2)</f>
        <v>259.12</v>
      </c>
      <c r="K100" s="14"/>
      <c r="L100" s="14"/>
      <c r="M100" s="14"/>
      <c r="N100" s="14" t="n">
        <f aca="false">ROUND((G100*I100)-K100-L100-M100,2)</f>
        <v>259.12</v>
      </c>
      <c r="O100" s="14"/>
      <c r="P100" s="14" t="n">
        <f aca="false">ROUND(IF(D100=0,IF((N100-E100-O100)&gt;0,(N100-E100-O100),0),IF((D100+N100-O100)&gt;0,(D100+N100-O100),0)),2)</f>
        <v>13474.24</v>
      </c>
      <c r="Q100" s="14" t="n">
        <f aca="false">ROUND(IF(E100=0,IF((D100+N100-O100)&lt;0,ABS(D100+N100-O100),0),IF((N100-E100-O100)&lt;0,ABS(N100-E100-O100),0)),2)</f>
        <v>0</v>
      </c>
    </row>
    <row r="101" customFormat="false" ht="15" hidden="false" customHeight="true" outlineLevel="0" collapsed="false">
      <c r="A101" s="12" t="s">
        <v>299</v>
      </c>
      <c r="B101" s="12" t="str">
        <f aca="false">січень!B101</f>
        <v>Утьосов Д.М.</v>
      </c>
      <c r="C101" s="12" t="s">
        <v>301</v>
      </c>
      <c r="D101" s="14" t="n">
        <f aca="false">січень!P101</f>
        <v>7665.85</v>
      </c>
      <c r="E101" s="14" t="n">
        <f aca="false">січень!Q101</f>
        <v>0</v>
      </c>
      <c r="F101" s="13" t="n">
        <f aca="false">січень!F101</f>
        <v>0</v>
      </c>
      <c r="G101" s="13" t="n">
        <f aca="false">січень!G101</f>
        <v>66.1</v>
      </c>
      <c r="H101" s="13" t="n">
        <f aca="false">січень!H101</f>
        <v>0</v>
      </c>
      <c r="I101" s="13" t="n">
        <f aca="false">січень!I101</f>
        <v>4.1</v>
      </c>
      <c r="J101" s="14" t="n">
        <f aca="false">ROUND(G101*I101,2)</f>
        <v>271.01</v>
      </c>
      <c r="K101" s="14"/>
      <c r="L101" s="14"/>
      <c r="M101" s="14"/>
      <c r="N101" s="14" t="n">
        <f aca="false">ROUND((G101*I101)-K101-L101-M101,2)</f>
        <v>271.01</v>
      </c>
      <c r="O101" s="14"/>
      <c r="P101" s="14" t="n">
        <f aca="false">ROUND(IF(D101=0,IF((N101-E101-O101)&gt;0,(N101-E101-O101),0),IF((D101+N101-O101)&gt;0,(D101+N101-O101),0)),2)</f>
        <v>7936.86</v>
      </c>
      <c r="Q101" s="14" t="n">
        <f aca="false">ROUND(IF(E101=0,IF((D101+N101-O101)&lt;0,ABS(D101+N101-O101),0),IF((N101-E101-O101)&lt;0,ABS(N101-E101-O101),0)),2)</f>
        <v>0</v>
      </c>
    </row>
    <row r="102" customFormat="false" ht="15" hidden="false" customHeight="true" outlineLevel="0" collapsed="false">
      <c r="A102" s="12" t="s">
        <v>302</v>
      </c>
      <c r="B102" s="12" t="str">
        <f aca="false">січень!B102</f>
        <v>Стеценко Д.М.</v>
      </c>
      <c r="C102" s="12" t="s">
        <v>304</v>
      </c>
      <c r="D102" s="14" t="n">
        <f aca="false">січень!P102</f>
        <v>7554.73</v>
      </c>
      <c r="E102" s="14" t="n">
        <f aca="false">січень!Q102</f>
        <v>0</v>
      </c>
      <c r="F102" s="13" t="n">
        <f aca="false">січень!F102</f>
        <v>0</v>
      </c>
      <c r="G102" s="13" t="n">
        <f aca="false">січень!G102</f>
        <v>49.8</v>
      </c>
      <c r="H102" s="13" t="n">
        <f aca="false">січень!H102</f>
        <v>0</v>
      </c>
      <c r="I102" s="13" t="n">
        <f aca="false">січень!I102</f>
        <v>4.1</v>
      </c>
      <c r="J102" s="14" t="n">
        <f aca="false">ROUND(G102*I102,2)</f>
        <v>204.18</v>
      </c>
      <c r="K102" s="14"/>
      <c r="L102" s="14"/>
      <c r="M102" s="14"/>
      <c r="N102" s="14" t="n">
        <f aca="false">ROUND((G102*I102)-K102-L102-M102,2)</f>
        <v>204.18</v>
      </c>
      <c r="O102" s="14"/>
      <c r="P102" s="14" t="n">
        <f aca="false">ROUND(IF(D102=0,IF((N102-E102-O102)&gt;0,(N102-E102-O102),0),IF((D102+N102-O102)&gt;0,(D102+N102-O102),0)),2)</f>
        <v>7758.91</v>
      </c>
      <c r="Q102" s="14" t="n">
        <f aca="false">ROUND(IF(E102=0,IF((D102+N102-O102)&lt;0,ABS(D102+N102-O102),0),IF((N102-E102-O102)&lt;0,ABS(N102-E102-O102),0)),2)</f>
        <v>0</v>
      </c>
    </row>
    <row r="103" customFormat="false" ht="15" hidden="false" customHeight="true" outlineLevel="0" collapsed="false">
      <c r="A103" s="12" t="s">
        <v>305</v>
      </c>
      <c r="B103" s="12" t="str">
        <f aca="false">січень!B103</f>
        <v>Задніпряна О.М.</v>
      </c>
      <c r="C103" s="12" t="s">
        <v>307</v>
      </c>
      <c r="D103" s="14" t="n">
        <f aca="false">січень!P103</f>
        <v>6385.3</v>
      </c>
      <c r="E103" s="14" t="n">
        <f aca="false">січень!Q103</f>
        <v>0</v>
      </c>
      <c r="F103" s="13" t="n">
        <f aca="false">січень!F103</f>
        <v>0</v>
      </c>
      <c r="G103" s="13" t="n">
        <f aca="false">січень!G103</f>
        <v>34.6</v>
      </c>
      <c r="H103" s="13" t="n">
        <f aca="false">січень!H103</f>
        <v>0</v>
      </c>
      <c r="I103" s="13" t="n">
        <f aca="false">січень!I103</f>
        <v>4.1</v>
      </c>
      <c r="J103" s="14" t="n">
        <f aca="false">ROUND(G103*I103,2)</f>
        <v>141.86</v>
      </c>
      <c r="K103" s="14"/>
      <c r="L103" s="14"/>
      <c r="M103" s="14"/>
      <c r="N103" s="14" t="n">
        <f aca="false">ROUND((G103*I103)-K103-L103-M103,2)</f>
        <v>141.86</v>
      </c>
      <c r="O103" s="14"/>
      <c r="P103" s="14" t="n">
        <f aca="false">ROUND(IF(D103=0,IF((N103-E103-O103)&gt;0,(N103-E103-O103),0),IF((D103+N103-O103)&gt;0,(D103+N103-O103),0)),2)</f>
        <v>6527.16</v>
      </c>
      <c r="Q103" s="14" t="n">
        <f aca="false">ROUND(IF(E103=0,IF((D103+N103-O103)&lt;0,ABS(D103+N103-O103),0),IF((N103-E103-O103)&lt;0,ABS(N103-E103-O103),0)),2)</f>
        <v>0</v>
      </c>
    </row>
    <row r="104" customFormat="false" ht="15" hidden="false" customHeight="true" outlineLevel="0" collapsed="false">
      <c r="A104" s="12" t="s">
        <v>308</v>
      </c>
      <c r="B104" s="12" t="str">
        <f aca="false">січень!B104</f>
        <v>Геращенко М.Д.</v>
      </c>
      <c r="C104" s="12" t="s">
        <v>310</v>
      </c>
      <c r="D104" s="14" t="n">
        <f aca="false">січень!P104</f>
        <v>256.66</v>
      </c>
      <c r="E104" s="14" t="n">
        <f aca="false">січень!Q104</f>
        <v>0</v>
      </c>
      <c r="F104" s="13" t="n">
        <f aca="false">січень!F104</f>
        <v>0</v>
      </c>
      <c r="G104" s="13" t="n">
        <f aca="false">січень!G104</f>
        <v>62.6</v>
      </c>
      <c r="H104" s="13" t="n">
        <f aca="false">січень!H104</f>
        <v>0</v>
      </c>
      <c r="I104" s="13" t="n">
        <f aca="false">січень!I104</f>
        <v>4.1</v>
      </c>
      <c r="J104" s="14" t="n">
        <f aca="false">ROUND(G104*I104,2)</f>
        <v>256.66</v>
      </c>
      <c r="K104" s="14"/>
      <c r="L104" s="14"/>
      <c r="M104" s="14"/>
      <c r="N104" s="14" t="n">
        <f aca="false">ROUND((G104*I104)-K104-L104-M104,2)</f>
        <v>256.66</v>
      </c>
      <c r="O104" s="14"/>
      <c r="P104" s="14" t="n">
        <f aca="false">ROUND(IF(D104=0,IF((N104-E104-O104)&gt;0,(N104-E104-O104),0),IF((D104+N104-O104)&gt;0,(D104+N104-O104),0)),2)</f>
        <v>513.32</v>
      </c>
      <c r="Q104" s="14" t="n">
        <f aca="false">ROUND(IF(E104=0,IF((D104+N104-O104)&lt;0,ABS(D104+N104-O104),0),IF((N104-E104-O104)&lt;0,ABS(N104-E104-O104),0)),2)</f>
        <v>0</v>
      </c>
    </row>
    <row r="105" customFormat="false" ht="15" hidden="false" customHeight="true" outlineLevel="0" collapsed="false">
      <c r="A105" s="12" t="s">
        <v>311</v>
      </c>
      <c r="B105" s="12" t="str">
        <f aca="false">січень!B105</f>
        <v>Горб В.М.</v>
      </c>
      <c r="C105" s="12" t="s">
        <v>313</v>
      </c>
      <c r="D105" s="14" t="n">
        <f aca="false">січень!P105</f>
        <v>11557.43</v>
      </c>
      <c r="E105" s="14" t="n">
        <f aca="false">січень!Q105</f>
        <v>0</v>
      </c>
      <c r="F105" s="13" t="n">
        <f aca="false">січень!F105</f>
        <v>0</v>
      </c>
      <c r="G105" s="13" t="n">
        <f aca="false">січень!G105</f>
        <v>65.57</v>
      </c>
      <c r="H105" s="13" t="n">
        <f aca="false">січень!H105</f>
        <v>0</v>
      </c>
      <c r="I105" s="13" t="n">
        <f aca="false">січень!I105</f>
        <v>4.1</v>
      </c>
      <c r="J105" s="14" t="n">
        <f aca="false">ROUND(G105*I105,2)</f>
        <v>268.84</v>
      </c>
      <c r="K105" s="14"/>
      <c r="L105" s="14"/>
      <c r="M105" s="14"/>
      <c r="N105" s="14" t="n">
        <f aca="false">ROUND((G105*I105)-K105-L105-M105,2)</f>
        <v>268.84</v>
      </c>
      <c r="O105" s="14"/>
      <c r="P105" s="14" t="n">
        <f aca="false">ROUND(IF(D105=0,IF((N105-E105-O105)&gt;0,(N105-E105-O105),0),IF((D105+N105-O105)&gt;0,(D105+N105-O105),0)),2)</f>
        <v>11826.27</v>
      </c>
      <c r="Q105" s="14" t="n">
        <f aca="false">ROUND(IF(E105=0,IF((D105+N105-O105)&lt;0,ABS(D105+N105-O105),0),IF((N105-E105-O105)&lt;0,ABS(N105-E105-O105),0)),2)</f>
        <v>0</v>
      </c>
    </row>
    <row r="106" customFormat="false" ht="15" hidden="false" customHeight="true" outlineLevel="0" collapsed="false">
      <c r="A106" s="12" t="s">
        <v>314</v>
      </c>
      <c r="B106" s="12" t="str">
        <f aca="false">січень!B106</f>
        <v>Нойок Г.К.</v>
      </c>
      <c r="C106" s="12" t="s">
        <v>316</v>
      </c>
      <c r="D106" s="14" t="n">
        <f aca="false">січень!P106</f>
        <v>7568.33</v>
      </c>
      <c r="E106" s="14" t="n">
        <f aca="false">січень!Q106</f>
        <v>0</v>
      </c>
      <c r="F106" s="13" t="n">
        <f aca="false">січень!F106</f>
        <v>0</v>
      </c>
      <c r="G106" s="13" t="n">
        <f aca="false">січень!G106</f>
        <v>49.8</v>
      </c>
      <c r="H106" s="13" t="n">
        <f aca="false">січень!H106</f>
        <v>0</v>
      </c>
      <c r="I106" s="13" t="n">
        <f aca="false">січень!I106</f>
        <v>4.1</v>
      </c>
      <c r="J106" s="14" t="n">
        <f aca="false">ROUND(G106*I106,2)</f>
        <v>204.18</v>
      </c>
      <c r="K106" s="14"/>
      <c r="L106" s="14"/>
      <c r="M106" s="14"/>
      <c r="N106" s="14" t="n">
        <f aca="false">ROUND((G106*I106)-K106-L106-M106,2)</f>
        <v>204.18</v>
      </c>
      <c r="O106" s="14"/>
      <c r="P106" s="14" t="n">
        <f aca="false">ROUND(IF(D106=0,IF((N106-E106-O106)&gt;0,(N106-E106-O106),0),IF((D106+N106-O106)&gt;0,(D106+N106-O106),0)),2)</f>
        <v>7772.51</v>
      </c>
      <c r="Q106" s="14" t="n">
        <f aca="false">ROUND(IF(E106=0,IF((D106+N106-O106)&lt;0,ABS(D106+N106-O106),0),IF((N106-E106-O106)&lt;0,ABS(N106-E106-O106),0)),2)</f>
        <v>0</v>
      </c>
    </row>
    <row r="107" customFormat="false" ht="15" hidden="false" customHeight="true" outlineLevel="0" collapsed="false">
      <c r="A107" s="12" t="s">
        <v>317</v>
      </c>
      <c r="B107" s="12" t="str">
        <f aca="false">січень!B107</f>
        <v>Сафонова О.В.</v>
      </c>
      <c r="C107" s="12" t="s">
        <v>319</v>
      </c>
      <c r="D107" s="14" t="n">
        <f aca="false">січень!P107</f>
        <v>6107.05</v>
      </c>
      <c r="E107" s="14" t="n">
        <f aca="false">січень!Q107</f>
        <v>0</v>
      </c>
      <c r="F107" s="13" t="n">
        <f aca="false">січень!F107</f>
        <v>0</v>
      </c>
      <c r="G107" s="13" t="n">
        <f aca="false">січень!G107</f>
        <v>34.9</v>
      </c>
      <c r="H107" s="13" t="n">
        <f aca="false">січень!H107</f>
        <v>0</v>
      </c>
      <c r="I107" s="13" t="n">
        <f aca="false">січень!I107</f>
        <v>4.1</v>
      </c>
      <c r="J107" s="14" t="n">
        <f aca="false">ROUND(G107*I107,2)</f>
        <v>143.09</v>
      </c>
      <c r="K107" s="14"/>
      <c r="L107" s="14"/>
      <c r="M107" s="14"/>
      <c r="N107" s="14" t="n">
        <f aca="false">ROUND((G107*I107)-K107-L107-M107,2)</f>
        <v>143.09</v>
      </c>
      <c r="O107" s="14"/>
      <c r="P107" s="14" t="n">
        <f aca="false">ROUND(IF(D107=0,IF((N107-E107-O107)&gt;0,(N107-E107-O107),0),IF((D107+N107-O107)&gt;0,(D107+N107-O107),0)),2)</f>
        <v>6250.14</v>
      </c>
      <c r="Q107" s="14" t="n">
        <f aca="false">ROUND(IF(E107=0,IF((D107+N107-O107)&lt;0,ABS(D107+N107-O107),0),IF((N107-E107-O107)&lt;0,ABS(N107-E107-O107),0)),2)</f>
        <v>0</v>
      </c>
    </row>
    <row r="108" customFormat="false" ht="15" hidden="false" customHeight="true" outlineLevel="0" collapsed="false">
      <c r="A108" s="12" t="s">
        <v>320</v>
      </c>
      <c r="B108" s="12" t="str">
        <f aca="false">січень!B108</f>
        <v>Вінарська Н.П.</v>
      </c>
      <c r="C108" s="12" t="s">
        <v>322</v>
      </c>
      <c r="D108" s="14" t="n">
        <f aca="false">січень!P108</f>
        <v>12354.44</v>
      </c>
      <c r="E108" s="14" t="n">
        <f aca="false">січень!Q108</f>
        <v>0</v>
      </c>
      <c r="F108" s="13" t="n">
        <f aca="false">січень!F108</f>
        <v>0</v>
      </c>
      <c r="G108" s="13" t="n">
        <f aca="false">січень!G108</f>
        <v>62.78</v>
      </c>
      <c r="H108" s="13" t="n">
        <f aca="false">січень!H108</f>
        <v>0</v>
      </c>
      <c r="I108" s="13" t="n">
        <f aca="false">січень!I108</f>
        <v>4.1</v>
      </c>
      <c r="J108" s="14" t="n">
        <f aca="false">ROUND(G108*I108,2)</f>
        <v>257.4</v>
      </c>
      <c r="K108" s="14"/>
      <c r="L108" s="14"/>
      <c r="M108" s="14"/>
      <c r="N108" s="14" t="n">
        <f aca="false">ROUND((G108*I108)-K108-L108-M108,2)</f>
        <v>257.4</v>
      </c>
      <c r="O108" s="14"/>
      <c r="P108" s="14" t="n">
        <f aca="false">ROUND(IF(D108=0,IF((N108-E108-O108)&gt;0,(N108-E108-O108),0),IF((D108+N108-O108)&gt;0,(D108+N108-O108),0)),2)</f>
        <v>12611.84</v>
      </c>
      <c r="Q108" s="14" t="n">
        <f aca="false">ROUND(IF(E108=0,IF((D108+N108-O108)&lt;0,ABS(D108+N108-O108),0),IF((N108-E108-O108)&lt;0,ABS(N108-E108-O108),0)),2)</f>
        <v>0</v>
      </c>
    </row>
    <row r="109" customFormat="false" ht="15" hidden="false" customHeight="true" outlineLevel="0" collapsed="false">
      <c r="A109" s="12" t="s">
        <v>323</v>
      </c>
      <c r="B109" s="12" t="str">
        <f aca="false">січень!B109</f>
        <v>Чернова Н.І.</v>
      </c>
      <c r="C109" s="12" t="s">
        <v>325</v>
      </c>
      <c r="D109" s="14" t="n">
        <f aca="false">січень!P109</f>
        <v>12964.99</v>
      </c>
      <c r="E109" s="14" t="n">
        <f aca="false">січень!Q109</f>
        <v>0</v>
      </c>
      <c r="F109" s="13" t="n">
        <f aca="false">січень!F109</f>
        <v>0</v>
      </c>
      <c r="G109" s="13" t="n">
        <f aca="false">січень!G109</f>
        <v>66.29</v>
      </c>
      <c r="H109" s="13" t="n">
        <f aca="false">січень!H109</f>
        <v>0</v>
      </c>
      <c r="I109" s="13" t="n">
        <f aca="false">січень!I109</f>
        <v>4.1</v>
      </c>
      <c r="J109" s="14" t="n">
        <f aca="false">ROUND(G109*I109,2)</f>
        <v>271.79</v>
      </c>
      <c r="K109" s="14"/>
      <c r="L109" s="14"/>
      <c r="M109" s="14"/>
      <c r="N109" s="14" t="n">
        <f aca="false">ROUND((G109*I109)-K109-L109-M109,2)</f>
        <v>271.79</v>
      </c>
      <c r="O109" s="14"/>
      <c r="P109" s="14" t="n">
        <f aca="false">ROUND(IF(D109=0,IF((N109-E109-O109)&gt;0,(N109-E109-O109),0),IF((D109+N109-O109)&gt;0,(D109+N109-O109),0)),2)</f>
        <v>13236.78</v>
      </c>
      <c r="Q109" s="14" t="n">
        <f aca="false">ROUND(IF(E109=0,IF((D109+N109-O109)&lt;0,ABS(D109+N109-O109),0),IF((N109-E109-O109)&lt;0,ABS(N109-E109-O109),0)),2)</f>
        <v>0</v>
      </c>
    </row>
    <row r="110" customFormat="false" ht="15" hidden="false" customHeight="true" outlineLevel="0" collapsed="false">
      <c r="A110" s="12" t="s">
        <v>326</v>
      </c>
      <c r="B110" s="12" t="str">
        <f aca="false">січень!B110</f>
        <v>Кошева Н.П</v>
      </c>
      <c r="C110" s="12" t="s">
        <v>328</v>
      </c>
      <c r="D110" s="14" t="n">
        <f aca="false">січень!P110</f>
        <v>9454</v>
      </c>
      <c r="E110" s="14" t="n">
        <f aca="false">січень!Q110</f>
        <v>0</v>
      </c>
      <c r="F110" s="13" t="n">
        <f aca="false">січень!F110</f>
        <v>0</v>
      </c>
      <c r="G110" s="13" t="n">
        <f aca="false">січень!G110</f>
        <v>50</v>
      </c>
      <c r="H110" s="13" t="n">
        <f aca="false">січень!H110</f>
        <v>0</v>
      </c>
      <c r="I110" s="13" t="n">
        <f aca="false">січень!I110</f>
        <v>4.1</v>
      </c>
      <c r="J110" s="14" t="n">
        <f aca="false">ROUND(G110*I110,2)</f>
        <v>205</v>
      </c>
      <c r="K110" s="14"/>
      <c r="L110" s="14"/>
      <c r="M110" s="14"/>
      <c r="N110" s="14" t="n">
        <f aca="false">ROUND((G110*I110)-K110-L110-M110,2)</f>
        <v>205</v>
      </c>
      <c r="O110" s="14"/>
      <c r="P110" s="14" t="n">
        <f aca="false">ROUND(IF(D110=0,IF((N110-E110-O110)&gt;0,(N110-E110-O110),0),IF((D110+N110-O110)&gt;0,(D110+N110-O110),0)),2)</f>
        <v>9659</v>
      </c>
      <c r="Q110" s="14" t="n">
        <f aca="false">ROUND(IF(E110=0,IF((D110+N110-O110)&lt;0,ABS(D110+N110-O110),0),IF((N110-E110-O110)&lt;0,ABS(N110-E110-O110),0)),2)</f>
        <v>0</v>
      </c>
    </row>
    <row r="111" customFormat="false" ht="15" hidden="false" customHeight="true" outlineLevel="0" collapsed="false">
      <c r="A111" s="12" t="s">
        <v>329</v>
      </c>
      <c r="B111" s="12" t="str">
        <f aca="false">січень!B111</f>
        <v>Уривський Д.Б.</v>
      </c>
      <c r="C111" s="12" t="s">
        <v>331</v>
      </c>
      <c r="D111" s="14" t="n">
        <f aca="false">січень!P111</f>
        <v>6964.59</v>
      </c>
      <c r="E111" s="14" t="n">
        <f aca="false">січень!Q111</f>
        <v>0</v>
      </c>
      <c r="F111" s="13" t="n">
        <f aca="false">січень!F111</f>
        <v>0</v>
      </c>
      <c r="G111" s="13" t="n">
        <f aca="false">січень!G111</f>
        <v>35</v>
      </c>
      <c r="H111" s="13" t="n">
        <f aca="false">січень!H111</f>
        <v>0</v>
      </c>
      <c r="I111" s="13" t="n">
        <f aca="false">січень!I111</f>
        <v>4.1</v>
      </c>
      <c r="J111" s="14" t="n">
        <f aca="false">ROUND(G111*I111,2)</f>
        <v>143.5</v>
      </c>
      <c r="K111" s="14"/>
      <c r="L111" s="14"/>
      <c r="M111" s="14"/>
      <c r="N111" s="14" t="n">
        <f aca="false">ROUND((G111*I111)-K111-L111-M111,2)</f>
        <v>143.5</v>
      </c>
      <c r="O111" s="14"/>
      <c r="P111" s="14" t="n">
        <f aca="false">ROUND(IF(D111=0,IF((N111-E111-O111)&gt;0,(N111-E111-O111),0),IF((D111+N111-O111)&gt;0,(D111+N111-O111),0)),2)</f>
        <v>7108.09</v>
      </c>
      <c r="Q111" s="14" t="n">
        <f aca="false">ROUND(IF(E111=0,IF((D111+N111-O111)&lt;0,ABS(D111+N111-O111),0),IF((N111-E111-O111)&lt;0,ABS(N111-E111-O111),0)),2)</f>
        <v>0</v>
      </c>
    </row>
    <row r="112" customFormat="false" ht="15" hidden="false" customHeight="true" outlineLevel="0" collapsed="false">
      <c r="A112" s="12" t="s">
        <v>332</v>
      </c>
      <c r="B112" s="12" t="str">
        <f aca="false">січень!B112</f>
        <v>АДПСУ (Чорноморець В.М.)</v>
      </c>
      <c r="C112" s="12" t="s">
        <v>334</v>
      </c>
      <c r="D112" s="14" t="n">
        <f aca="false">січень!P112</f>
        <v>3256.63</v>
      </c>
      <c r="E112" s="14" t="n">
        <f aca="false">січень!Q112</f>
        <v>0</v>
      </c>
      <c r="F112" s="13" t="n">
        <f aca="false">січень!F112</f>
        <v>0</v>
      </c>
      <c r="G112" s="13" t="n">
        <f aca="false">січень!G112</f>
        <v>61.1</v>
      </c>
      <c r="H112" s="13" t="n">
        <f aca="false">січень!H112</f>
        <v>0</v>
      </c>
      <c r="I112" s="13" t="n">
        <f aca="false">січень!I112</f>
        <v>4.1</v>
      </c>
      <c r="J112" s="14" t="n">
        <f aca="false">ROUND(G112*I112,2)</f>
        <v>250.51</v>
      </c>
      <c r="K112" s="14"/>
      <c r="L112" s="14"/>
      <c r="M112" s="14"/>
      <c r="N112" s="14" t="n">
        <f aca="false">ROUND((G112*I112)-K112-L112-M112,2)</f>
        <v>250.51</v>
      </c>
      <c r="O112" s="14"/>
      <c r="P112" s="14" t="n">
        <f aca="false">ROUND(IF(D112=0,IF((N112-E112-O112)&gt;0,(N112-E112-O112),0),IF((D112+N112-O112)&gt;0,(D112+N112-O112),0)),2)</f>
        <v>3507.14</v>
      </c>
      <c r="Q112" s="14" t="n">
        <f aca="false">ROUND(IF(E112=0,IF((D112+N112-O112)&lt;0,ABS(D112+N112-O112),0),IF((N112-E112-O112)&lt;0,ABS(N112-E112-O112),0)),2)</f>
        <v>0</v>
      </c>
    </row>
    <row r="113" customFormat="false" ht="15" hidden="false" customHeight="true" outlineLevel="0" collapsed="false">
      <c r="A113" s="12" t="s">
        <v>335</v>
      </c>
      <c r="B113" s="12" t="str">
        <f aca="false">січень!B113</f>
        <v>Дмитренко Г.В.</v>
      </c>
      <c r="C113" s="12" t="s">
        <v>337</v>
      </c>
      <c r="D113" s="14" t="n">
        <f aca="false">січень!P113</f>
        <v>11751.82</v>
      </c>
      <c r="E113" s="14" t="n">
        <f aca="false">січень!Q113</f>
        <v>0</v>
      </c>
      <c r="F113" s="13" t="n">
        <f aca="false">січень!F113</f>
        <v>0</v>
      </c>
      <c r="G113" s="13" t="n">
        <f aca="false">січень!G113</f>
        <v>64.89</v>
      </c>
      <c r="H113" s="13" t="n">
        <f aca="false">січень!H113</f>
        <v>0</v>
      </c>
      <c r="I113" s="13" t="n">
        <f aca="false">січень!I113</f>
        <v>4.1</v>
      </c>
      <c r="J113" s="14" t="n">
        <f aca="false">ROUND(G113*I113,2)</f>
        <v>266.05</v>
      </c>
      <c r="K113" s="14"/>
      <c r="L113" s="14"/>
      <c r="M113" s="14"/>
      <c r="N113" s="14" t="n">
        <f aca="false">ROUND((G113*I113)-K113-L113-M113,2)</f>
        <v>266.05</v>
      </c>
      <c r="O113" s="14"/>
      <c r="P113" s="14" t="n">
        <f aca="false">ROUND(IF(D113=0,IF((N113-E113-O113)&gt;0,(N113-E113-O113),0),IF((D113+N113-O113)&gt;0,(D113+N113-O113),0)),2)</f>
        <v>12017.87</v>
      </c>
      <c r="Q113" s="14" t="n">
        <f aca="false">ROUND(IF(E113=0,IF((D113+N113-O113)&lt;0,ABS(D113+N113-O113),0),IF((N113-E113-O113)&lt;0,ABS(N113-E113-O113),0)),2)</f>
        <v>0</v>
      </c>
    </row>
    <row r="114" customFormat="false" ht="15" hidden="false" customHeight="true" outlineLevel="0" collapsed="false">
      <c r="A114" s="12" t="s">
        <v>338</v>
      </c>
      <c r="B114" s="12" t="str">
        <f aca="false">січень!B114</f>
        <v>Номерова Т.В.</v>
      </c>
      <c r="C114" s="12" t="s">
        <v>340</v>
      </c>
      <c r="D114" s="14" t="n">
        <f aca="false">січень!P114</f>
        <v>0</v>
      </c>
      <c r="E114" s="14" t="n">
        <f aca="false">січень!Q114</f>
        <v>0.16</v>
      </c>
      <c r="F114" s="13" t="n">
        <f aca="false">січень!F114</f>
        <v>0</v>
      </c>
      <c r="G114" s="13" t="n">
        <f aca="false">січень!G114</f>
        <v>49.96</v>
      </c>
      <c r="H114" s="13" t="n">
        <f aca="false">січень!H114</f>
        <v>0</v>
      </c>
      <c r="I114" s="13" t="n">
        <f aca="false">січень!I114</f>
        <v>4.1</v>
      </c>
      <c r="J114" s="14" t="n">
        <f aca="false">ROUND(G114*I114,2)</f>
        <v>204.84</v>
      </c>
      <c r="K114" s="14"/>
      <c r="L114" s="14"/>
      <c r="M114" s="14"/>
      <c r="N114" s="14" t="n">
        <f aca="false">ROUND((G114*I114)-K114-L114-M114,2)</f>
        <v>204.84</v>
      </c>
      <c r="O114" s="14"/>
      <c r="P114" s="14" t="n">
        <f aca="false">ROUND(IF(D114=0,IF((N114-E114-O114)&gt;0,(N114-E114-O114),0),IF((D114+N114-O114)&gt;0,(D114+N114-O114),0)),2)</f>
        <v>204.68</v>
      </c>
      <c r="Q114" s="14" t="n">
        <f aca="false">ROUND(IF(E114=0,IF((D114+N114-O114)&lt;0,ABS(D114+N114-O114),0),IF((N114-E114-O114)&lt;0,ABS(N114-E114-O114),0)),2)</f>
        <v>0</v>
      </c>
    </row>
    <row r="115" customFormat="false" ht="15" hidden="false" customHeight="true" outlineLevel="0" collapsed="false">
      <c r="A115" s="12" t="s">
        <v>341</v>
      </c>
      <c r="B115" s="12" t="str">
        <f aca="false">січень!B115</f>
        <v>Самойлова О.В.</v>
      </c>
      <c r="C115" s="12" t="s">
        <v>343</v>
      </c>
      <c r="D115" s="14" t="n">
        <f aca="false">січень!P115</f>
        <v>141.45</v>
      </c>
      <c r="E115" s="14" t="n">
        <f aca="false">січень!Q115</f>
        <v>0</v>
      </c>
      <c r="F115" s="13" t="n">
        <f aca="false">січень!F115</f>
        <v>0</v>
      </c>
      <c r="G115" s="13" t="n">
        <f aca="false">січень!G115</f>
        <v>34.5</v>
      </c>
      <c r="H115" s="13" t="n">
        <f aca="false">січень!H115</f>
        <v>0</v>
      </c>
      <c r="I115" s="13" t="n">
        <f aca="false">січень!I115</f>
        <v>4.1</v>
      </c>
      <c r="J115" s="14" t="n">
        <f aca="false">ROUND(G115*I115,2)</f>
        <v>141.45</v>
      </c>
      <c r="K115" s="14"/>
      <c r="L115" s="14"/>
      <c r="M115" s="14"/>
      <c r="N115" s="14" t="n">
        <f aca="false">ROUND((G115*I115)-K115-L115-M115,2)</f>
        <v>141.45</v>
      </c>
      <c r="O115" s="14"/>
      <c r="P115" s="14" t="n">
        <f aca="false">ROUND(IF(D115=0,IF((N115-E115-O115)&gt;0,(N115-E115-O115),0),IF((D115+N115-O115)&gt;0,(D115+N115-O115),0)),2)</f>
        <v>282.9</v>
      </c>
      <c r="Q115" s="14" t="n">
        <f aca="false">ROUND(IF(E115=0,IF((D115+N115-O115)&lt;0,ABS(D115+N115-O115),0),IF((N115-E115-O115)&lt;0,ABS(N115-E115-O115),0)),2)</f>
        <v>0</v>
      </c>
    </row>
    <row r="116" customFormat="false" ht="15" hidden="false" customHeight="true" outlineLevel="0" collapsed="false">
      <c r="A116" s="12" t="s">
        <v>344</v>
      </c>
      <c r="B116" s="12" t="str">
        <f aca="false">січень!B116</f>
        <v>Випенко О.І.</v>
      </c>
      <c r="C116" s="12" t="s">
        <v>346</v>
      </c>
      <c r="D116" s="14" t="n">
        <f aca="false">січень!P116</f>
        <v>15398.93</v>
      </c>
      <c r="E116" s="14" t="n">
        <f aca="false">січень!Q116</f>
        <v>0</v>
      </c>
      <c r="F116" s="13" t="n">
        <f aca="false">січень!F116</f>
        <v>0</v>
      </c>
      <c r="G116" s="13" t="n">
        <f aca="false">січень!G116</f>
        <v>62.9</v>
      </c>
      <c r="H116" s="13" t="n">
        <f aca="false">січень!H116</f>
        <v>0</v>
      </c>
      <c r="I116" s="13" t="n">
        <f aca="false">січень!I116</f>
        <v>4.1</v>
      </c>
      <c r="J116" s="14" t="n">
        <f aca="false">ROUND(G116*I116,2)</f>
        <v>257.89</v>
      </c>
      <c r="K116" s="14"/>
      <c r="L116" s="14"/>
      <c r="M116" s="14"/>
      <c r="N116" s="14" t="n">
        <f aca="false">ROUND((G116*I116)-K116-L116-M116,2)</f>
        <v>257.89</v>
      </c>
      <c r="O116" s="14"/>
      <c r="P116" s="14" t="n">
        <f aca="false">ROUND(IF(D116=0,IF((N116-E116-O116)&gt;0,(N116-E116-O116),0),IF((D116+N116-O116)&gt;0,(D116+N116-O116),0)),2)</f>
        <v>15656.82</v>
      </c>
      <c r="Q116" s="14" t="n">
        <f aca="false">ROUND(IF(E116=0,IF((D116+N116-O116)&lt;0,ABS(D116+N116-O116),0),IF((N116-E116-O116)&lt;0,ABS(N116-E116-O116),0)),2)</f>
        <v>0</v>
      </c>
    </row>
    <row r="117" customFormat="false" ht="15" hidden="false" customHeight="true" outlineLevel="0" collapsed="false">
      <c r="A117" s="12" t="s">
        <v>347</v>
      </c>
      <c r="B117" s="12" t="str">
        <f aca="false">січень!B117</f>
        <v>Саприкін Ю.О.</v>
      </c>
      <c r="C117" s="12" t="s">
        <v>349</v>
      </c>
      <c r="D117" s="14" t="n">
        <f aca="false">січень!P117</f>
        <v>797.04</v>
      </c>
      <c r="E117" s="14" t="n">
        <f aca="false">січень!Q117</f>
        <v>0</v>
      </c>
      <c r="F117" s="13" t="n">
        <f aca="false">січень!F117</f>
        <v>0</v>
      </c>
      <c r="G117" s="13" t="n">
        <f aca="false">січень!G117</f>
        <v>97.2</v>
      </c>
      <c r="H117" s="13" t="n">
        <f aca="false">січень!H117</f>
        <v>0</v>
      </c>
      <c r="I117" s="13" t="n">
        <f aca="false">січень!I117</f>
        <v>4.1</v>
      </c>
      <c r="J117" s="14" t="n">
        <f aca="false">ROUND(G117*I117,2)</f>
        <v>398.52</v>
      </c>
      <c r="K117" s="14"/>
      <c r="L117" s="14"/>
      <c r="M117" s="14"/>
      <c r="N117" s="14" t="n">
        <f aca="false">ROUND((G117*I117)-K117-L117-M117,2)</f>
        <v>398.52</v>
      </c>
      <c r="O117" s="14"/>
      <c r="P117" s="14" t="n">
        <f aca="false">ROUND(IF(D117=0,IF((N117-E117-O117)&gt;0,(N117-E117-O117),0),IF((D117+N117-O117)&gt;0,(D117+N117-O117),0)),2)</f>
        <v>1195.56</v>
      </c>
      <c r="Q117" s="14" t="n">
        <f aca="false">ROUND(IF(E117=0,IF((D117+N117-O117)&lt;0,ABS(D117+N117-O117),0),IF((N117-E117-O117)&lt;0,ABS(N117-E117-O117),0)),2)</f>
        <v>0</v>
      </c>
    </row>
    <row r="118" customFormat="false" ht="15" hidden="false" customHeight="true" outlineLevel="0" collapsed="false">
      <c r="A118" s="12" t="s">
        <v>350</v>
      </c>
      <c r="B118" s="12" t="str">
        <f aca="false">січень!B118</f>
        <v>Мовчан В.М.</v>
      </c>
      <c r="C118" s="12" t="s">
        <v>352</v>
      </c>
      <c r="D118" s="14" t="n">
        <f aca="false">січень!P118</f>
        <v>199.88</v>
      </c>
      <c r="E118" s="14" t="n">
        <f aca="false">січень!Q118</f>
        <v>0</v>
      </c>
      <c r="F118" s="13" t="n">
        <f aca="false">січень!F118</f>
        <v>0</v>
      </c>
      <c r="G118" s="13" t="n">
        <f aca="false">січень!G118</f>
        <v>48.75</v>
      </c>
      <c r="H118" s="13" t="n">
        <f aca="false">січень!H118</f>
        <v>0</v>
      </c>
      <c r="I118" s="13" t="n">
        <f aca="false">січень!I118</f>
        <v>4.1</v>
      </c>
      <c r="J118" s="14" t="n">
        <f aca="false">ROUND(G118*I118,2)</f>
        <v>199.88</v>
      </c>
      <c r="K118" s="14"/>
      <c r="L118" s="14"/>
      <c r="M118" s="14"/>
      <c r="N118" s="14" t="n">
        <f aca="false">ROUND((G118*I118)-K118-L118-M118,2)</f>
        <v>199.88</v>
      </c>
      <c r="O118" s="14"/>
      <c r="P118" s="14" t="n">
        <f aca="false">ROUND(IF(D118=0,IF((N118-E118-O118)&gt;0,(N118-E118-O118),0),IF((D118+N118-O118)&gt;0,(D118+N118-O118),0)),2)</f>
        <v>399.76</v>
      </c>
      <c r="Q118" s="14" t="n">
        <f aca="false">ROUND(IF(E118=0,IF((D118+N118-O118)&lt;0,ABS(D118+N118-O118),0),IF((N118-E118-O118)&lt;0,ABS(N118-E118-O118),0)),2)</f>
        <v>0</v>
      </c>
    </row>
    <row r="119" customFormat="false" ht="15" hidden="false" customHeight="true" outlineLevel="0" collapsed="false">
      <c r="A119" s="12" t="s">
        <v>353</v>
      </c>
      <c r="B119" s="12" t="str">
        <f aca="false">січень!B119</f>
        <v>Величко Н.М.</v>
      </c>
      <c r="C119" s="12" t="s">
        <v>355</v>
      </c>
      <c r="D119" s="14" t="n">
        <f aca="false">січень!P119</f>
        <v>442.38</v>
      </c>
      <c r="E119" s="14" t="n">
        <f aca="false">січень!Q119</f>
        <v>0</v>
      </c>
      <c r="F119" s="13" t="n">
        <f aca="false">січень!F119</f>
        <v>0</v>
      </c>
      <c r="G119" s="13" t="n">
        <f aca="false">січень!G119</f>
        <v>63.8</v>
      </c>
      <c r="H119" s="13" t="n">
        <f aca="false">січень!H119</f>
        <v>0</v>
      </c>
      <c r="I119" s="13" t="n">
        <f aca="false">січень!I119</f>
        <v>4.1</v>
      </c>
      <c r="J119" s="14" t="n">
        <f aca="false">ROUND(G119*I119,2)</f>
        <v>261.58</v>
      </c>
      <c r="K119" s="14"/>
      <c r="L119" s="14"/>
      <c r="M119" s="14"/>
      <c r="N119" s="14" t="n">
        <f aca="false">ROUND((G119*I119)-K119-L119-M119,2)</f>
        <v>261.58</v>
      </c>
      <c r="O119" s="14"/>
      <c r="P119" s="14" t="n">
        <f aca="false">ROUND(IF(D119=0,IF((N119-E119-O119)&gt;0,(N119-E119-O119),0),IF((D119+N119-O119)&gt;0,(D119+N119-O119),0)),2)</f>
        <v>703.96</v>
      </c>
      <c r="Q119" s="14" t="n">
        <f aca="false">ROUND(IF(E119=0,IF((D119+N119-O119)&lt;0,ABS(D119+N119-O119),0),IF((N119-E119-O119)&lt;0,ABS(N119-E119-O119),0)),2)</f>
        <v>0</v>
      </c>
    </row>
    <row r="120" customFormat="false" ht="15" hidden="false" customHeight="true" outlineLevel="0" collapsed="false">
      <c r="A120" s="12" t="s">
        <v>356</v>
      </c>
      <c r="B120" s="12" t="str">
        <f aca="false">січень!B120</f>
        <v>Бухлов С.В.</v>
      </c>
      <c r="C120" s="12" t="s">
        <v>358</v>
      </c>
      <c r="D120" s="14" t="n">
        <f aca="false">січень!P120</f>
        <v>17490.91</v>
      </c>
      <c r="E120" s="14" t="n">
        <f aca="false">січень!Q120</f>
        <v>0</v>
      </c>
      <c r="F120" s="13" t="n">
        <f aca="false">січень!F120</f>
        <v>0</v>
      </c>
      <c r="G120" s="13" t="n">
        <f aca="false">січень!G120</f>
        <v>62.6</v>
      </c>
      <c r="H120" s="13" t="n">
        <f aca="false">січень!H120</f>
        <v>0</v>
      </c>
      <c r="I120" s="13" t="n">
        <f aca="false">січень!I120</f>
        <v>4.1</v>
      </c>
      <c r="J120" s="14" t="n">
        <f aca="false">ROUND(G120*I120,2)</f>
        <v>256.66</v>
      </c>
      <c r="K120" s="14"/>
      <c r="L120" s="14"/>
      <c r="M120" s="14"/>
      <c r="N120" s="14" t="n">
        <f aca="false">ROUND((G120*I120)-K120-L120-M120,2)</f>
        <v>256.66</v>
      </c>
      <c r="O120" s="14"/>
      <c r="P120" s="14" t="n">
        <f aca="false">ROUND(IF(D120=0,IF((N120-E120-O120)&gt;0,(N120-E120-O120),0),IF((D120+N120-O120)&gt;0,(D120+N120-O120),0)),2)</f>
        <v>17747.57</v>
      </c>
      <c r="Q120" s="14" t="n">
        <f aca="false">ROUND(IF(E120=0,IF((D120+N120-O120)&lt;0,ABS(D120+N120-O120),0),IF((N120-E120-O120)&lt;0,ABS(N120-E120-O120),0)),2)</f>
        <v>0</v>
      </c>
    </row>
    <row r="121" customFormat="false" ht="15" hidden="false" customHeight="true" outlineLevel="0" collapsed="false">
      <c r="A121" s="12" t="s">
        <v>359</v>
      </c>
      <c r="B121" s="12" t="str">
        <f aca="false">січень!B121</f>
        <v>Перепеліцина Т.Ю.</v>
      </c>
      <c r="C121" s="12" t="s">
        <v>361</v>
      </c>
      <c r="D121" s="14" t="n">
        <f aca="false">січень!P121</f>
        <v>2545.46</v>
      </c>
      <c r="E121" s="14" t="n">
        <f aca="false">січень!Q121</f>
        <v>0</v>
      </c>
      <c r="F121" s="13" t="n">
        <f aca="false">січень!F121</f>
        <v>0</v>
      </c>
      <c r="G121" s="13" t="n">
        <f aca="false">січень!G121</f>
        <v>34.7</v>
      </c>
      <c r="H121" s="13" t="n">
        <f aca="false">січень!H121</f>
        <v>0</v>
      </c>
      <c r="I121" s="13" t="n">
        <f aca="false">січень!I121</f>
        <v>4.1</v>
      </c>
      <c r="J121" s="14" t="n">
        <f aca="false">ROUND(G121*I121,2)</f>
        <v>142.27</v>
      </c>
      <c r="K121" s="14"/>
      <c r="L121" s="14"/>
      <c r="M121" s="14"/>
      <c r="N121" s="14" t="n">
        <f aca="false">ROUND((G121*I121)-K121-L121-M121,2)</f>
        <v>142.27</v>
      </c>
      <c r="O121" s="14"/>
      <c r="P121" s="14" t="n">
        <f aca="false">ROUND(IF(D121=0,IF((N121-E121-O121)&gt;0,(N121-E121-O121),0),IF((D121+N121-O121)&gt;0,(D121+N121-O121),0)),2)</f>
        <v>2687.73</v>
      </c>
      <c r="Q121" s="14" t="n">
        <f aca="false">ROUND(IF(E121=0,IF((D121+N121-O121)&lt;0,ABS(D121+N121-O121),0),IF((N121-E121-O121)&lt;0,ABS(N121-E121-O121),0)),2)</f>
        <v>0</v>
      </c>
    </row>
    <row r="122" customFormat="false" ht="15" hidden="false" customHeight="true" outlineLevel="0" collapsed="false">
      <c r="A122" s="12" t="s">
        <v>362</v>
      </c>
      <c r="B122" s="12" t="str">
        <f aca="false">січень!B122</f>
        <v>Свєтлова Т.Ю.</v>
      </c>
      <c r="C122" s="12" t="s">
        <v>364</v>
      </c>
      <c r="D122" s="14" t="n">
        <f aca="false">січень!P122</f>
        <v>3444.05</v>
      </c>
      <c r="E122" s="14" t="n">
        <f aca="false">січень!Q122</f>
        <v>0</v>
      </c>
      <c r="F122" s="13" t="n">
        <f aca="false">січень!F122</f>
        <v>0</v>
      </c>
      <c r="G122" s="13" t="n">
        <f aca="false">січень!G122</f>
        <v>49.72</v>
      </c>
      <c r="H122" s="13" t="n">
        <f aca="false">січень!H122</f>
        <v>0</v>
      </c>
      <c r="I122" s="13" t="n">
        <f aca="false">січень!I122</f>
        <v>4.1</v>
      </c>
      <c r="J122" s="14" t="n">
        <f aca="false">ROUND(G122*I122,2)</f>
        <v>203.85</v>
      </c>
      <c r="K122" s="14"/>
      <c r="L122" s="14"/>
      <c r="M122" s="14"/>
      <c r="N122" s="14" t="n">
        <f aca="false">ROUND((G122*I122)-K122-L122-M122,2)</f>
        <v>203.85</v>
      </c>
      <c r="O122" s="14"/>
      <c r="P122" s="14" t="n">
        <f aca="false">ROUND(IF(D122=0,IF((N122-E122-O122)&gt;0,(N122-E122-O122),0),IF((D122+N122-O122)&gt;0,(D122+N122-O122),0)),2)</f>
        <v>3647.9</v>
      </c>
      <c r="Q122" s="14" t="n">
        <f aca="false">ROUND(IF(E122=0,IF((D122+N122-O122)&lt;0,ABS(D122+N122-O122),0),IF((N122-E122-O122)&lt;0,ABS(N122-E122-O122),0)),2)</f>
        <v>0</v>
      </c>
    </row>
    <row r="123" customFormat="false" ht="15" hidden="false" customHeight="true" outlineLevel="0" collapsed="false">
      <c r="A123" s="12" t="s">
        <v>365</v>
      </c>
      <c r="B123" s="12" t="str">
        <f aca="false">січень!B123</f>
        <v>Маркова О.М.</v>
      </c>
      <c r="C123" s="12" t="s">
        <v>367</v>
      </c>
      <c r="D123" s="14" t="n">
        <f aca="false">січень!P123</f>
        <v>318.37</v>
      </c>
      <c r="E123" s="14" t="n">
        <f aca="false">січень!Q123</f>
        <v>0</v>
      </c>
      <c r="F123" s="13" t="n">
        <f aca="false">січень!F123</f>
        <v>0</v>
      </c>
      <c r="G123" s="13" t="n">
        <f aca="false">січень!G123</f>
        <v>65.1</v>
      </c>
      <c r="H123" s="13" t="n">
        <f aca="false">січень!H123</f>
        <v>0</v>
      </c>
      <c r="I123" s="13" t="n">
        <f aca="false">січень!I123</f>
        <v>4.1</v>
      </c>
      <c r="J123" s="14" t="n">
        <f aca="false">ROUND(G123*I123,2)</f>
        <v>266.91</v>
      </c>
      <c r="K123" s="14"/>
      <c r="L123" s="14"/>
      <c r="M123" s="14"/>
      <c r="N123" s="14" t="n">
        <f aca="false">ROUND((G123*I123)-K123-L123-M123,2)</f>
        <v>266.91</v>
      </c>
      <c r="O123" s="14"/>
      <c r="P123" s="14" t="n">
        <f aca="false">ROUND(IF(D123=0,IF((N123-E123-O123)&gt;0,(N123-E123-O123),0),IF((D123+N123-O123)&gt;0,(D123+N123-O123),0)),2)</f>
        <v>585.28</v>
      </c>
      <c r="Q123" s="14" t="n">
        <f aca="false">ROUND(IF(E123=0,IF((D123+N123-O123)&lt;0,ABS(D123+N123-O123),0),IF((N123-E123-O123)&lt;0,ABS(N123-E123-O123),0)),2)</f>
        <v>0</v>
      </c>
    </row>
    <row r="124" customFormat="false" ht="15" hidden="false" customHeight="true" outlineLevel="0" collapsed="false">
      <c r="A124" s="12" t="s">
        <v>368</v>
      </c>
      <c r="B124" s="12" t="str">
        <f aca="false">січень!B124</f>
        <v>Ракитська А.М.</v>
      </c>
      <c r="C124" s="12" t="s">
        <v>370</v>
      </c>
      <c r="D124" s="14" t="n">
        <f aca="false">січень!P124</f>
        <v>247.62</v>
      </c>
      <c r="E124" s="14" t="n">
        <f aca="false">січень!Q124</f>
        <v>0</v>
      </c>
      <c r="F124" s="13" t="n">
        <f aca="false">січень!F124</f>
        <v>0</v>
      </c>
      <c r="G124" s="13" t="n">
        <f aca="false">січень!G124</f>
        <v>62.18</v>
      </c>
      <c r="H124" s="13" t="n">
        <f aca="false">січень!H124</f>
        <v>0</v>
      </c>
      <c r="I124" s="13" t="n">
        <f aca="false">січень!I124</f>
        <v>4.1</v>
      </c>
      <c r="J124" s="14" t="n">
        <f aca="false">ROUND(G124*I124,2)</f>
        <v>254.94</v>
      </c>
      <c r="K124" s="14"/>
      <c r="L124" s="14"/>
      <c r="M124" s="14"/>
      <c r="N124" s="14" t="n">
        <f aca="false">ROUND((G124*I124)-K124-L124-M124,2)</f>
        <v>254.94</v>
      </c>
      <c r="O124" s="14"/>
      <c r="P124" s="14" t="n">
        <f aca="false">ROUND(IF(D124=0,IF((N124-E124-O124)&gt;0,(N124-E124-O124),0),IF((D124+N124-O124)&gt;0,(D124+N124-O124),0)),2)</f>
        <v>502.56</v>
      </c>
      <c r="Q124" s="14" t="n">
        <f aca="false">ROUND(IF(E124=0,IF((D124+N124-O124)&lt;0,ABS(D124+N124-O124),0),IF((N124-E124-O124)&lt;0,ABS(N124-E124-O124),0)),2)</f>
        <v>0</v>
      </c>
    </row>
    <row r="125" customFormat="false" ht="15" hidden="false" customHeight="true" outlineLevel="0" collapsed="false">
      <c r="A125" s="12" t="s">
        <v>371</v>
      </c>
      <c r="B125" s="12" t="str">
        <f aca="false">січень!B125</f>
        <v>Гусак К.С.</v>
      </c>
      <c r="C125" s="12" t="s">
        <v>373</v>
      </c>
      <c r="D125" s="14" t="n">
        <f aca="false">січень!P125</f>
        <v>6824.91</v>
      </c>
      <c r="E125" s="14" t="n">
        <f aca="false">січень!Q125</f>
        <v>0</v>
      </c>
      <c r="F125" s="13" t="n">
        <f aca="false">січень!F125</f>
        <v>0</v>
      </c>
      <c r="G125" s="13" t="n">
        <f aca="false">січень!G125</f>
        <v>35.1</v>
      </c>
      <c r="H125" s="13" t="n">
        <f aca="false">січень!H125</f>
        <v>0</v>
      </c>
      <c r="I125" s="13" t="n">
        <f aca="false">січень!I125</f>
        <v>4.1</v>
      </c>
      <c r="J125" s="14" t="n">
        <f aca="false">ROUND(G125*I125,2)</f>
        <v>143.91</v>
      </c>
      <c r="K125" s="14"/>
      <c r="L125" s="14"/>
      <c r="M125" s="14"/>
      <c r="N125" s="14" t="n">
        <f aca="false">ROUND((G125*I125)-K125-L125-M125,2)</f>
        <v>143.91</v>
      </c>
      <c r="O125" s="14"/>
      <c r="P125" s="14" t="n">
        <f aca="false">ROUND(IF(D125=0,IF((N125-E125-O125)&gt;0,(N125-E125-O125),0),IF((D125+N125-O125)&gt;0,(D125+N125-O125),0)),2)</f>
        <v>6968.82</v>
      </c>
      <c r="Q125" s="14" t="n">
        <f aca="false">ROUND(IF(E125=0,IF((D125+N125-O125)&lt;0,ABS(D125+N125-O125),0),IF((N125-E125-O125)&lt;0,ABS(N125-E125-O125),0)),2)</f>
        <v>0</v>
      </c>
    </row>
    <row r="126" customFormat="false" ht="15" hidden="false" customHeight="true" outlineLevel="0" collapsed="false">
      <c r="A126" s="12" t="s">
        <v>374</v>
      </c>
      <c r="B126" s="12" t="str">
        <f aca="false">січень!B126</f>
        <v>Пісоченко М.Г.</v>
      </c>
      <c r="C126" s="12" t="s">
        <v>376</v>
      </c>
      <c r="D126" s="14" t="n">
        <f aca="false">січень!P126</f>
        <v>408.36</v>
      </c>
      <c r="E126" s="14" t="n">
        <f aca="false">січень!Q126</f>
        <v>0</v>
      </c>
      <c r="F126" s="13" t="n">
        <f aca="false">січень!F126</f>
        <v>0</v>
      </c>
      <c r="G126" s="13" t="n">
        <f aca="false">січень!G126</f>
        <v>49.8</v>
      </c>
      <c r="H126" s="13" t="n">
        <f aca="false">січень!H126</f>
        <v>0</v>
      </c>
      <c r="I126" s="13" t="n">
        <f aca="false">січень!I126</f>
        <v>4.1</v>
      </c>
      <c r="J126" s="14" t="n">
        <f aca="false">ROUND(G126*I126,2)</f>
        <v>204.18</v>
      </c>
      <c r="K126" s="14"/>
      <c r="L126" s="14"/>
      <c r="M126" s="14"/>
      <c r="N126" s="14" t="n">
        <f aca="false">ROUND((G126*I126)-K126-L126-M126,2)</f>
        <v>204.18</v>
      </c>
      <c r="O126" s="14"/>
      <c r="P126" s="14" t="n">
        <f aca="false">ROUND(IF(D126=0,IF((N126-E126-O126)&gt;0,(N126-E126-O126),0),IF((D126+N126-O126)&gt;0,(D126+N126-O126),0)),2)</f>
        <v>612.54</v>
      </c>
      <c r="Q126" s="14" t="n">
        <f aca="false">ROUND(IF(E126=0,IF((D126+N126-O126)&lt;0,ABS(D126+N126-O126),0),IF((N126-E126-O126)&lt;0,ABS(N126-E126-O126),0)),2)</f>
        <v>0</v>
      </c>
    </row>
    <row r="127" customFormat="false" ht="15" hidden="false" customHeight="true" outlineLevel="0" collapsed="false">
      <c r="A127" s="12" t="s">
        <v>377</v>
      </c>
      <c r="B127" s="12" t="str">
        <f aca="false">січень!B127</f>
        <v>Столяр О.М.</v>
      </c>
      <c r="C127" s="12" t="s">
        <v>379</v>
      </c>
      <c r="D127" s="14" t="n">
        <f aca="false">січень!P127</f>
        <v>3212.76</v>
      </c>
      <c r="E127" s="14" t="n">
        <f aca="false">січень!Q127</f>
        <v>0</v>
      </c>
      <c r="F127" s="13" t="n">
        <f aca="false">січень!F127</f>
        <v>0</v>
      </c>
      <c r="G127" s="13" t="n">
        <f aca="false">січень!G127</f>
        <v>65.3</v>
      </c>
      <c r="H127" s="13" t="n">
        <f aca="false">січень!H127</f>
        <v>0</v>
      </c>
      <c r="I127" s="13" t="n">
        <f aca="false">січень!I127</f>
        <v>4.1</v>
      </c>
      <c r="J127" s="14" t="n">
        <f aca="false">ROUND(G127*I127,2)</f>
        <v>267.73</v>
      </c>
      <c r="K127" s="14"/>
      <c r="L127" s="14"/>
      <c r="M127" s="14"/>
      <c r="N127" s="14" t="n">
        <f aca="false">ROUND((G127*I127)-K127-L127-M127,2)</f>
        <v>267.73</v>
      </c>
      <c r="O127" s="14"/>
      <c r="P127" s="14" t="n">
        <f aca="false">ROUND(IF(D127=0,IF((N127-E127-O127)&gt;0,(N127-E127-O127),0),IF((D127+N127-O127)&gt;0,(D127+N127-O127),0)),2)</f>
        <v>3480.49</v>
      </c>
      <c r="Q127" s="14" t="n">
        <f aca="false">ROUND(IF(E127=0,IF((D127+N127-O127)&lt;0,ABS(D127+N127-O127),0),IF((N127-E127-O127)&lt;0,ABS(N127-E127-O127),0)),2)</f>
        <v>0</v>
      </c>
    </row>
    <row r="128" customFormat="false" ht="15" hidden="false" customHeight="true" outlineLevel="0" collapsed="false">
      <c r="A128" s="12" t="s">
        <v>380</v>
      </c>
      <c r="B128" s="12" t="str">
        <f aca="false">січень!B128</f>
        <v>Рєзніков В.П.</v>
      </c>
      <c r="C128" s="12" t="s">
        <v>382</v>
      </c>
      <c r="D128" s="14" t="n">
        <f aca="false">січень!P128</f>
        <v>0</v>
      </c>
      <c r="E128" s="14" t="n">
        <f aca="false">січень!Q128</f>
        <v>67.31</v>
      </c>
      <c r="F128" s="13" t="n">
        <f aca="false">січень!F128</f>
        <v>0</v>
      </c>
      <c r="G128" s="13" t="n">
        <f aca="false">січень!G128</f>
        <v>62.44</v>
      </c>
      <c r="H128" s="13" t="n">
        <f aca="false">січень!H128</f>
        <v>0</v>
      </c>
      <c r="I128" s="13" t="n">
        <f aca="false">січень!I128</f>
        <v>4.1</v>
      </c>
      <c r="J128" s="14" t="n">
        <f aca="false">ROUND(G128*I128,2)</f>
        <v>256</v>
      </c>
      <c r="K128" s="14"/>
      <c r="L128" s="14"/>
      <c r="M128" s="14"/>
      <c r="N128" s="14" t="n">
        <f aca="false">ROUND((G128*I128)-K128-L128-M128,2)</f>
        <v>256</v>
      </c>
      <c r="O128" s="14"/>
      <c r="P128" s="14" t="n">
        <f aca="false">ROUND(IF(D128=0,IF((N128-E128-O128)&gt;0,(N128-E128-O128),0),IF((D128+N128-O128)&gt;0,(D128+N128-O128),0)),2)</f>
        <v>188.69</v>
      </c>
      <c r="Q128" s="14" t="n">
        <f aca="false">ROUND(IF(E128=0,IF((D128+N128-O128)&lt;0,ABS(D128+N128-O128),0),IF((N128-E128-O128)&lt;0,ABS(N128-E128-O128),0)),2)</f>
        <v>0</v>
      </c>
    </row>
    <row r="129" customFormat="false" ht="15" hidden="false" customHeight="true" outlineLevel="0" collapsed="false">
      <c r="A129" s="12" t="s">
        <v>383</v>
      </c>
      <c r="B129" s="12" t="str">
        <f aca="false">січень!B129</f>
        <v>Золотоверха Я.І.</v>
      </c>
      <c r="C129" s="12" t="s">
        <v>385</v>
      </c>
      <c r="D129" s="14" t="n">
        <f aca="false">січень!P129</f>
        <v>145.96</v>
      </c>
      <c r="E129" s="14" t="n">
        <f aca="false">січень!Q129</f>
        <v>0</v>
      </c>
      <c r="F129" s="13" t="n">
        <f aca="false">січень!F129</f>
        <v>0</v>
      </c>
      <c r="G129" s="13" t="n">
        <f aca="false">січень!G129</f>
        <v>35.6</v>
      </c>
      <c r="H129" s="13" t="n">
        <f aca="false">січень!H129</f>
        <v>0</v>
      </c>
      <c r="I129" s="13" t="n">
        <f aca="false">січень!I129</f>
        <v>4.1</v>
      </c>
      <c r="J129" s="14" t="n">
        <f aca="false">ROUND(G129*I129,2)</f>
        <v>145.96</v>
      </c>
      <c r="K129" s="14"/>
      <c r="L129" s="14"/>
      <c r="M129" s="14"/>
      <c r="N129" s="14" t="n">
        <f aca="false">ROUND((G129*I129)-K129-L129-M129,2)</f>
        <v>145.96</v>
      </c>
      <c r="O129" s="14"/>
      <c r="P129" s="14" t="n">
        <f aca="false">ROUND(IF(D129=0,IF((N129-E129-O129)&gt;0,(N129-E129-O129),0),IF((D129+N129-O129)&gt;0,(D129+N129-O129),0)),2)</f>
        <v>291.92</v>
      </c>
      <c r="Q129" s="14" t="n">
        <f aca="false">ROUND(IF(E129=0,IF((D129+N129-O129)&lt;0,ABS(D129+N129-O129),0),IF((N129-E129-O129)&lt;0,ABS(N129-E129-O129),0)),2)</f>
        <v>0</v>
      </c>
    </row>
    <row r="130" customFormat="false" ht="15" hidden="false" customHeight="true" outlineLevel="0" collapsed="false">
      <c r="A130" s="12" t="s">
        <v>386</v>
      </c>
      <c r="B130" s="12" t="str">
        <f aca="false">січень!B130</f>
        <v>Бурлаков А.В.</v>
      </c>
      <c r="C130" s="12" t="s">
        <v>388</v>
      </c>
      <c r="D130" s="14" t="n">
        <f aca="false">січень!P130</f>
        <v>407.31</v>
      </c>
      <c r="E130" s="14" t="n">
        <f aca="false">січень!Q130</f>
        <v>0</v>
      </c>
      <c r="F130" s="13" t="n">
        <f aca="false">січень!F130</f>
        <v>0</v>
      </c>
      <c r="G130" s="13" t="n">
        <f aca="false">січень!G130</f>
        <v>49.7</v>
      </c>
      <c r="H130" s="13" t="n">
        <f aca="false">січень!H130</f>
        <v>0</v>
      </c>
      <c r="I130" s="13" t="n">
        <f aca="false">січень!I130</f>
        <v>4.1</v>
      </c>
      <c r="J130" s="14" t="n">
        <f aca="false">ROUND(G130*I130,2)</f>
        <v>203.77</v>
      </c>
      <c r="K130" s="14"/>
      <c r="L130" s="14"/>
      <c r="M130" s="14"/>
      <c r="N130" s="14" t="n">
        <f aca="false">ROUND((G130*I130)-K130-L130-M130,2)</f>
        <v>203.77</v>
      </c>
      <c r="O130" s="14"/>
      <c r="P130" s="14" t="n">
        <f aca="false">ROUND(IF(D130=0,IF((N130-E130-O130)&gt;0,(N130-E130-O130),0),IF((D130+N130-O130)&gt;0,(D130+N130-O130),0)),2)</f>
        <v>611.08</v>
      </c>
      <c r="Q130" s="14" t="n">
        <f aca="false">ROUND(IF(E130=0,IF((D130+N130-O130)&lt;0,ABS(D130+N130-O130),0),IF((N130-E130-O130)&lt;0,ABS(N130-E130-O130),0)),2)</f>
        <v>0</v>
      </c>
    </row>
    <row r="131" customFormat="false" ht="15" hidden="false" customHeight="true" outlineLevel="0" collapsed="false">
      <c r="A131" s="12" t="s">
        <v>389</v>
      </c>
      <c r="B131" s="12" t="str">
        <f aca="false">січень!B131</f>
        <v>Сикула О.Ю.</v>
      </c>
      <c r="C131" s="12" t="s">
        <v>391</v>
      </c>
      <c r="D131" s="14" t="n">
        <f aca="false">січень!P131</f>
        <v>4267.12</v>
      </c>
      <c r="E131" s="14" t="n">
        <f aca="false">січень!Q131</f>
        <v>0</v>
      </c>
      <c r="F131" s="13" t="n">
        <f aca="false">січень!F131</f>
        <v>0</v>
      </c>
      <c r="G131" s="13" t="n">
        <f aca="false">січень!G131</f>
        <v>65.15</v>
      </c>
      <c r="H131" s="13" t="n">
        <f aca="false">січень!H131</f>
        <v>0</v>
      </c>
      <c r="I131" s="13" t="n">
        <f aca="false">січень!I131</f>
        <v>4.1</v>
      </c>
      <c r="J131" s="14" t="n">
        <f aca="false">ROUND(G131*I131,2)</f>
        <v>267.12</v>
      </c>
      <c r="K131" s="14"/>
      <c r="L131" s="14"/>
      <c r="M131" s="14"/>
      <c r="N131" s="14" t="n">
        <f aca="false">ROUND((G131*I131)-K131-L131-M131,2)</f>
        <v>267.12</v>
      </c>
      <c r="O131" s="14"/>
      <c r="P131" s="14" t="n">
        <f aca="false">ROUND(IF(D131=0,IF((N131-E131-O131)&gt;0,(N131-E131-O131),0),IF((D131+N131-O131)&gt;0,(D131+N131-O131),0)),2)</f>
        <v>4534.24</v>
      </c>
      <c r="Q131" s="14" t="n">
        <f aca="false">ROUND(IF(E131=0,IF((D131+N131-O131)&lt;0,ABS(D131+N131-O131),0),IF((N131-E131-O131)&lt;0,ABS(N131-E131-O131),0)),2)</f>
        <v>0</v>
      </c>
    </row>
    <row r="132" customFormat="false" ht="15" hidden="false" customHeight="true" outlineLevel="0" collapsed="false">
      <c r="A132" s="12" t="s">
        <v>392</v>
      </c>
      <c r="B132" s="12" t="str">
        <f aca="false">січень!B132</f>
        <v>Арістов О.О.</v>
      </c>
      <c r="C132" s="12" t="s">
        <v>394</v>
      </c>
      <c r="D132" s="14" t="n">
        <f aca="false">січень!P132</f>
        <v>516.6</v>
      </c>
      <c r="E132" s="14" t="n">
        <f aca="false">січень!Q132</f>
        <v>0</v>
      </c>
      <c r="F132" s="13" t="n">
        <f aca="false">січень!F132</f>
        <v>0</v>
      </c>
      <c r="G132" s="13" t="n">
        <f aca="false">січень!G132</f>
        <v>63</v>
      </c>
      <c r="H132" s="13" t="n">
        <f aca="false">січень!H132</f>
        <v>0</v>
      </c>
      <c r="I132" s="13" t="n">
        <f aca="false">січень!I132</f>
        <v>4.1</v>
      </c>
      <c r="J132" s="14" t="n">
        <f aca="false">ROUND(G132*I132,2)</f>
        <v>258.3</v>
      </c>
      <c r="K132" s="14"/>
      <c r="L132" s="14"/>
      <c r="M132" s="14"/>
      <c r="N132" s="14" t="n">
        <f aca="false">ROUND((G132*I132)-K132-L132-M132,2)</f>
        <v>258.3</v>
      </c>
      <c r="O132" s="14"/>
      <c r="P132" s="14" t="n">
        <f aca="false">ROUND(IF(D132=0,IF((N132-E132-O132)&gt;0,(N132-E132-O132),0),IF((D132+N132-O132)&gt;0,(D132+N132-O132),0)),2)</f>
        <v>774.9</v>
      </c>
      <c r="Q132" s="14" t="n">
        <f aca="false">ROUND(IF(E132=0,IF((D132+N132-O132)&lt;0,ABS(D132+N132-O132),0),IF((N132-E132-O132)&lt;0,ABS(N132-E132-O132),0)),2)</f>
        <v>0</v>
      </c>
    </row>
    <row r="133" customFormat="false" ht="15" hidden="false" customHeight="true" outlineLevel="0" collapsed="false">
      <c r="A133" s="12" t="s">
        <v>395</v>
      </c>
      <c r="B133" s="12" t="str">
        <f aca="false">січень!B133</f>
        <v>Бондаренко Т.О.</v>
      </c>
      <c r="C133" s="12" t="s">
        <v>397</v>
      </c>
      <c r="D133" s="14" t="n">
        <f aca="false">січень!P133</f>
        <v>142.27</v>
      </c>
      <c r="E133" s="14" t="n">
        <f aca="false">січень!Q133</f>
        <v>0</v>
      </c>
      <c r="F133" s="13" t="n">
        <f aca="false">січень!F133</f>
        <v>0</v>
      </c>
      <c r="G133" s="13" t="n">
        <f aca="false">січень!G133</f>
        <v>34.7</v>
      </c>
      <c r="H133" s="13" t="n">
        <f aca="false">січень!H133</f>
        <v>0</v>
      </c>
      <c r="I133" s="13" t="n">
        <f aca="false">січень!I133</f>
        <v>4.1</v>
      </c>
      <c r="J133" s="14" t="n">
        <f aca="false">ROUND(G133*I133,2)</f>
        <v>142.27</v>
      </c>
      <c r="K133" s="14"/>
      <c r="L133" s="14"/>
      <c r="M133" s="14"/>
      <c r="N133" s="14" t="n">
        <f aca="false">ROUND((G133*I133)-K133-L133-M133,2)</f>
        <v>142.27</v>
      </c>
      <c r="O133" s="14"/>
      <c r="P133" s="14" t="n">
        <f aca="false">ROUND(IF(D133=0,IF((N133-E133-O133)&gt;0,(N133-E133-O133),0),IF((D133+N133-O133)&gt;0,(D133+N133-O133),0)),2)</f>
        <v>284.54</v>
      </c>
      <c r="Q133" s="14" t="n">
        <f aca="false">ROUND(IF(E133=0,IF((D133+N133-O133)&lt;0,ABS(D133+N133-O133),0),IF((N133-E133-O133)&lt;0,ABS(N133-E133-O133),0)),2)</f>
        <v>0</v>
      </c>
    </row>
    <row r="134" customFormat="false" ht="15" hidden="false" customHeight="true" outlineLevel="0" collapsed="false">
      <c r="A134" s="12" t="s">
        <v>398</v>
      </c>
      <c r="B134" s="12" t="str">
        <f aca="false">січень!B134</f>
        <v>Гайчев П.В.</v>
      </c>
      <c r="C134" s="12" t="s">
        <v>400</v>
      </c>
      <c r="D134" s="14" t="n">
        <f aca="false">січень!P134</f>
        <v>403.44</v>
      </c>
      <c r="E134" s="14" t="n">
        <f aca="false">січень!Q134</f>
        <v>0</v>
      </c>
      <c r="F134" s="13" t="n">
        <f aca="false">січень!F134</f>
        <v>0</v>
      </c>
      <c r="G134" s="13" t="n">
        <f aca="false">січень!G134</f>
        <v>49.2</v>
      </c>
      <c r="H134" s="13" t="n">
        <f aca="false">січень!H134</f>
        <v>0</v>
      </c>
      <c r="I134" s="13" t="n">
        <f aca="false">січень!I134</f>
        <v>4.1</v>
      </c>
      <c r="J134" s="14" t="n">
        <f aca="false">ROUND(G134*I134,2)</f>
        <v>201.72</v>
      </c>
      <c r="K134" s="14"/>
      <c r="L134" s="14"/>
      <c r="M134" s="14"/>
      <c r="N134" s="14" t="n">
        <f aca="false">ROUND((G134*I134)-K134-L134-M134,2)</f>
        <v>201.72</v>
      </c>
      <c r="O134" s="14"/>
      <c r="P134" s="14" t="n">
        <f aca="false">ROUND(IF(D134=0,IF((N134-E134-O134)&gt;0,(N134-E134-O134),0),IF((D134+N134-O134)&gt;0,(D134+N134-O134),0)),2)</f>
        <v>605.16</v>
      </c>
      <c r="Q134" s="14" t="n">
        <f aca="false">ROUND(IF(E134=0,IF((D134+N134-O134)&lt;0,ABS(D134+N134-O134),0),IF((N134-E134-O134)&lt;0,ABS(N134-E134-O134),0)),2)</f>
        <v>0</v>
      </c>
    </row>
    <row r="135" customFormat="false" ht="15" hidden="false" customHeight="true" outlineLevel="0" collapsed="false">
      <c r="A135" s="12" t="s">
        <v>401</v>
      </c>
      <c r="B135" s="12" t="str">
        <f aca="false">січень!B135</f>
        <v>Радченко О.С.</v>
      </c>
      <c r="C135" s="12" t="s">
        <v>403</v>
      </c>
      <c r="D135" s="14" t="n">
        <f aca="false">січень!P135</f>
        <v>267.12</v>
      </c>
      <c r="E135" s="14" t="n">
        <f aca="false">січень!Q135</f>
        <v>0</v>
      </c>
      <c r="F135" s="13" t="n">
        <f aca="false">січень!F135</f>
        <v>0</v>
      </c>
      <c r="G135" s="13" t="n">
        <f aca="false">січень!G135</f>
        <v>65.15</v>
      </c>
      <c r="H135" s="13" t="n">
        <f aca="false">січень!H135</f>
        <v>0</v>
      </c>
      <c r="I135" s="13" t="n">
        <f aca="false">січень!I135</f>
        <v>4.1</v>
      </c>
      <c r="J135" s="14" t="n">
        <f aca="false">ROUND(G135*I135,2)</f>
        <v>267.12</v>
      </c>
      <c r="K135" s="14"/>
      <c r="L135" s="14"/>
      <c r="M135" s="14"/>
      <c r="N135" s="14" t="n">
        <f aca="false">ROUND((G135*I135)-K135-L135-M135,2)</f>
        <v>267.12</v>
      </c>
      <c r="O135" s="14"/>
      <c r="P135" s="14" t="n">
        <f aca="false">ROUND(IF(D135=0,IF((N135-E135-O135)&gt;0,(N135-E135-O135),0),IF((D135+N135-O135)&gt;0,(D135+N135-O135),0)),2)</f>
        <v>534.24</v>
      </c>
      <c r="Q135" s="14" t="n">
        <f aca="false">ROUND(IF(E135=0,IF((D135+N135-O135)&lt;0,ABS(D135+N135-O135),0),IF((N135-E135-O135)&lt;0,ABS(N135-E135-O135),0)),2)</f>
        <v>0</v>
      </c>
    </row>
    <row r="136" customFormat="false" ht="15" hidden="false" customHeight="true" outlineLevel="0" collapsed="false">
      <c r="A136" s="12" t="s">
        <v>404</v>
      </c>
      <c r="B136" s="12" t="str">
        <f aca="false">січень!B136</f>
        <v>Шилін С.М.</v>
      </c>
      <c r="C136" s="12" t="s">
        <v>406</v>
      </c>
      <c r="D136" s="14" t="n">
        <f aca="false">січень!P136</f>
        <v>1760.74</v>
      </c>
      <c r="E136" s="14" t="n">
        <f aca="false">січень!Q136</f>
        <v>0</v>
      </c>
      <c r="F136" s="13" t="n">
        <f aca="false">січень!F136</f>
        <v>0</v>
      </c>
      <c r="G136" s="13" t="n">
        <f aca="false">січень!G136</f>
        <v>62.3</v>
      </c>
      <c r="H136" s="13" t="n">
        <f aca="false">січень!H136</f>
        <v>0</v>
      </c>
      <c r="I136" s="13" t="n">
        <f aca="false">січень!I136</f>
        <v>4.1</v>
      </c>
      <c r="J136" s="14" t="n">
        <f aca="false">ROUND(G136*I136,2)</f>
        <v>255.43</v>
      </c>
      <c r="K136" s="14"/>
      <c r="L136" s="14"/>
      <c r="M136" s="14"/>
      <c r="N136" s="14" t="n">
        <f aca="false">ROUND((G136*I136)-K136-L136-M136,2)</f>
        <v>255.43</v>
      </c>
      <c r="O136" s="14"/>
      <c r="P136" s="14" t="n">
        <f aca="false">ROUND(IF(D136=0,IF((N136-E136-O136)&gt;0,(N136-E136-O136),0),IF((D136+N136-O136)&gt;0,(D136+N136-O136),0)),2)</f>
        <v>2016.17</v>
      </c>
      <c r="Q136" s="14" t="n">
        <f aca="false">ROUND(IF(E136=0,IF((D136+N136-O136)&lt;0,ABS(D136+N136-O136),0),IF((N136-E136-O136)&lt;0,ABS(N136-E136-O136),0)),2)</f>
        <v>0</v>
      </c>
    </row>
    <row r="137" customFormat="false" ht="15" hidden="false" customHeight="true" outlineLevel="0" collapsed="false">
      <c r="A137" s="12" t="s">
        <v>407</v>
      </c>
      <c r="B137" s="12" t="str">
        <f aca="false">січень!B137</f>
        <v>Корякін Л.М.</v>
      </c>
      <c r="C137" s="12" t="s">
        <v>409</v>
      </c>
      <c r="D137" s="14" t="n">
        <f aca="false">січень!P137</f>
        <v>1668.27</v>
      </c>
      <c r="E137" s="14" t="n">
        <f aca="false">січень!Q137</f>
        <v>0</v>
      </c>
      <c r="F137" s="13" t="n">
        <f aca="false">січень!F137</f>
        <v>0</v>
      </c>
      <c r="G137" s="13" t="n">
        <f aca="false">січень!G137</f>
        <v>35.3</v>
      </c>
      <c r="H137" s="13" t="n">
        <f aca="false">січень!H137</f>
        <v>0</v>
      </c>
      <c r="I137" s="13" t="n">
        <f aca="false">січень!I137</f>
        <v>4.1</v>
      </c>
      <c r="J137" s="14" t="n">
        <f aca="false">ROUND(G137*I137,2)</f>
        <v>144.73</v>
      </c>
      <c r="K137" s="14"/>
      <c r="L137" s="14"/>
      <c r="M137" s="14"/>
      <c r="N137" s="14" t="n">
        <f aca="false">ROUND((G137*I137)-K137-L137-M137,2)</f>
        <v>144.73</v>
      </c>
      <c r="O137" s="14"/>
      <c r="P137" s="14" t="n">
        <f aca="false">ROUND(IF(D137=0,IF((N137-E137-O137)&gt;0,(N137-E137-O137),0),IF((D137+N137-O137)&gt;0,(D137+N137-O137),0)),2)</f>
        <v>1813</v>
      </c>
      <c r="Q137" s="14" t="n">
        <f aca="false">ROUND(IF(E137=0,IF((D137+N137-O137)&lt;0,ABS(D137+N137-O137),0),IF((N137-E137-O137)&lt;0,ABS(N137-E137-O137),0)),2)</f>
        <v>0</v>
      </c>
    </row>
    <row r="138" customFormat="false" ht="15" hidden="false" customHeight="true" outlineLevel="0" collapsed="false">
      <c r="A138" s="12" t="s">
        <v>410</v>
      </c>
      <c r="B138" s="12" t="str">
        <f aca="false">січень!B138</f>
        <v>Кривошеєва Л.М.</v>
      </c>
      <c r="C138" s="12" t="s">
        <v>412</v>
      </c>
      <c r="D138" s="14" t="n">
        <f aca="false">січень!P138</f>
        <v>2704.12</v>
      </c>
      <c r="E138" s="14" t="n">
        <f aca="false">січень!Q138</f>
        <v>0</v>
      </c>
      <c r="F138" s="13" t="n">
        <f aca="false">січень!F138</f>
        <v>0</v>
      </c>
      <c r="G138" s="13" t="n">
        <f aca="false">січень!G138</f>
        <v>49.78</v>
      </c>
      <c r="H138" s="13" t="n">
        <f aca="false">січень!H138</f>
        <v>0</v>
      </c>
      <c r="I138" s="13" t="n">
        <f aca="false">січень!I138</f>
        <v>4.1</v>
      </c>
      <c r="J138" s="14" t="n">
        <f aca="false">ROUND(G138*I138,2)</f>
        <v>204.1</v>
      </c>
      <c r="K138" s="14"/>
      <c r="L138" s="14"/>
      <c r="M138" s="14"/>
      <c r="N138" s="14" t="n">
        <f aca="false">ROUND((G138*I138)-K138-L138-M138,2)</f>
        <v>204.1</v>
      </c>
      <c r="O138" s="14"/>
      <c r="P138" s="14" t="n">
        <f aca="false">ROUND(IF(D138=0,IF((N138-E138-O138)&gt;0,(N138-E138-O138),0),IF((D138+N138-O138)&gt;0,(D138+N138-O138),0)),2)</f>
        <v>2908.22</v>
      </c>
      <c r="Q138" s="14" t="n">
        <f aca="false">ROUND(IF(E138=0,IF((D138+N138-O138)&lt;0,ABS(D138+N138-O138),0),IF((N138-E138-O138)&lt;0,ABS(N138-E138-O138),0)),2)</f>
        <v>0</v>
      </c>
    </row>
    <row r="139" customFormat="false" ht="15" hidden="false" customHeight="true" outlineLevel="0" collapsed="false">
      <c r="A139" s="12" t="s">
        <v>413</v>
      </c>
      <c r="B139" s="12" t="str">
        <f aca="false">січень!B139</f>
        <v>Харченко І.С.</v>
      </c>
      <c r="C139" s="12" t="s">
        <v>415</v>
      </c>
      <c r="D139" s="14" t="n">
        <f aca="false">січень!P139</f>
        <v>0</v>
      </c>
      <c r="E139" s="14" t="n">
        <f aca="false">січень!Q139</f>
        <v>6.76</v>
      </c>
      <c r="F139" s="13" t="n">
        <f aca="false">січень!F139</f>
        <v>0</v>
      </c>
      <c r="G139" s="13" t="n">
        <f aca="false">січень!G139</f>
        <v>65.93</v>
      </c>
      <c r="H139" s="13" t="n">
        <f aca="false">січень!H139</f>
        <v>0</v>
      </c>
      <c r="I139" s="13" t="n">
        <f aca="false">січень!I139</f>
        <v>4.1</v>
      </c>
      <c r="J139" s="14" t="n">
        <f aca="false">ROUND(G139*I139,2)</f>
        <v>270.31</v>
      </c>
      <c r="K139" s="14"/>
      <c r="L139" s="14"/>
      <c r="M139" s="14"/>
      <c r="N139" s="14" t="n">
        <f aca="false">ROUND((G139*I139)-K139-L139-M139,2)</f>
        <v>270.31</v>
      </c>
      <c r="O139" s="14"/>
      <c r="P139" s="14" t="n">
        <f aca="false">ROUND(IF(D139=0,IF((N139-E139-O139)&gt;0,(N139-E139-O139),0),IF((D139+N139-O139)&gt;0,(D139+N139-O139),0)),2)</f>
        <v>263.55</v>
      </c>
      <c r="Q139" s="14" t="n">
        <f aca="false">ROUND(IF(E139=0,IF((D139+N139-O139)&lt;0,ABS(D139+N139-O139),0),IF((N139-E139-O139)&lt;0,ABS(N139-E139-O139),0)),2)</f>
        <v>0</v>
      </c>
    </row>
    <row r="140" customFormat="false" ht="15" hidden="false" customHeight="true" outlineLevel="0" collapsed="false">
      <c r="A140" s="12" t="s">
        <v>416</v>
      </c>
      <c r="B140" s="12" t="str">
        <f aca="false">січень!B140</f>
        <v>Куриленко І.О.</v>
      </c>
      <c r="C140" s="12" t="s">
        <v>418</v>
      </c>
      <c r="D140" s="14" t="n">
        <f aca="false">січень!P140</f>
        <v>0</v>
      </c>
      <c r="E140" s="14" t="n">
        <f aca="false">січень!Q140</f>
        <v>0</v>
      </c>
      <c r="F140" s="13" t="n">
        <f aca="false">січень!F140</f>
        <v>0</v>
      </c>
      <c r="G140" s="13" t="n">
        <f aca="false">січень!G140</f>
        <v>62.36</v>
      </c>
      <c r="H140" s="13" t="n">
        <f aca="false">січень!H140</f>
        <v>0</v>
      </c>
      <c r="I140" s="13" t="n">
        <f aca="false">січень!I140</f>
        <v>4.1</v>
      </c>
      <c r="J140" s="14" t="n">
        <f aca="false">ROUND(G140*I140,2)</f>
        <v>255.68</v>
      </c>
      <c r="K140" s="14"/>
      <c r="L140" s="14"/>
      <c r="M140" s="14"/>
      <c r="N140" s="14" t="n">
        <f aca="false">ROUND((G140*I140)-K140-L140-M140,2)</f>
        <v>255.68</v>
      </c>
      <c r="O140" s="14"/>
      <c r="P140" s="14" t="n">
        <f aca="false">ROUND(IF(D140=0,IF((N140-E140-O140)&gt;0,(N140-E140-O140),0),IF((D140+N140-O140)&gt;0,(D140+N140-O140),0)),2)</f>
        <v>255.68</v>
      </c>
      <c r="Q140" s="14" t="n">
        <f aca="false">ROUND(IF(E140=0,IF((D140+N140-O140)&lt;0,ABS(D140+N140-O140),0),IF((N140-E140-O140)&lt;0,ABS(N140-E140-O140),0)),2)</f>
        <v>0</v>
      </c>
    </row>
    <row r="141" customFormat="false" ht="15" hidden="false" customHeight="true" outlineLevel="0" collapsed="false">
      <c r="A141" s="12" t="s">
        <v>419</v>
      </c>
      <c r="B141" s="12" t="str">
        <f aca="false">січень!B141</f>
        <v>Єлсукова В.М.</v>
      </c>
      <c r="C141" s="12" t="s">
        <v>421</v>
      </c>
      <c r="D141" s="14" t="n">
        <f aca="false">січень!P141</f>
        <v>7051.59</v>
      </c>
      <c r="E141" s="14" t="n">
        <f aca="false">січень!Q141</f>
        <v>0</v>
      </c>
      <c r="F141" s="13" t="n">
        <f aca="false">січень!F141</f>
        <v>0</v>
      </c>
      <c r="G141" s="13" t="n">
        <f aca="false">січень!G141</f>
        <v>35.1</v>
      </c>
      <c r="H141" s="13" t="n">
        <f aca="false">січень!H141</f>
        <v>0</v>
      </c>
      <c r="I141" s="13" t="n">
        <f aca="false">січень!I141</f>
        <v>4.1</v>
      </c>
      <c r="J141" s="14" t="n">
        <f aca="false">ROUND(G141*I141,2)</f>
        <v>143.91</v>
      </c>
      <c r="K141" s="14"/>
      <c r="L141" s="14"/>
      <c r="M141" s="14"/>
      <c r="N141" s="14" t="n">
        <f aca="false">ROUND((G141*I141)-K141-L141-M141,2)</f>
        <v>143.91</v>
      </c>
      <c r="O141" s="14"/>
      <c r="P141" s="14" t="n">
        <f aca="false">ROUND(IF(D141=0,IF((N141-E141-O141)&gt;0,(N141-E141-O141),0),IF((D141+N141-O141)&gt;0,(D141+N141-O141),0)),2)</f>
        <v>7195.5</v>
      </c>
      <c r="Q141" s="14" t="n">
        <f aca="false">ROUND(IF(E141=0,IF((D141+N141-O141)&lt;0,ABS(D141+N141-O141),0),IF((N141-E141-O141)&lt;0,ABS(N141-E141-O141),0)),2)</f>
        <v>0</v>
      </c>
    </row>
    <row r="142" customFormat="false" ht="15" hidden="false" customHeight="true" outlineLevel="0" collapsed="false">
      <c r="A142" s="12" t="s">
        <v>422</v>
      </c>
      <c r="B142" s="12" t="str">
        <f aca="false">січень!B142</f>
        <v>Пімонова М.В.</v>
      </c>
      <c r="C142" s="12" t="s">
        <v>424</v>
      </c>
      <c r="D142" s="14" t="n">
        <f aca="false">січень!P142</f>
        <v>8477.34</v>
      </c>
      <c r="E142" s="14" t="n">
        <f aca="false">січень!Q142</f>
        <v>0</v>
      </c>
      <c r="F142" s="13" t="n">
        <f aca="false">січень!F142</f>
        <v>0</v>
      </c>
      <c r="G142" s="13" t="n">
        <f aca="false">січень!G142</f>
        <v>49.47</v>
      </c>
      <c r="H142" s="13" t="n">
        <f aca="false">січень!H142</f>
        <v>0</v>
      </c>
      <c r="I142" s="13" t="n">
        <f aca="false">січень!I142</f>
        <v>4.1</v>
      </c>
      <c r="J142" s="14" t="n">
        <f aca="false">ROUND(G142*I142,2)</f>
        <v>202.83</v>
      </c>
      <c r="K142" s="14"/>
      <c r="L142" s="14"/>
      <c r="M142" s="14"/>
      <c r="N142" s="14" t="n">
        <f aca="false">ROUND((G142*I142)-K142-L142-M142,2)</f>
        <v>202.83</v>
      </c>
      <c r="O142" s="14"/>
      <c r="P142" s="14" t="n">
        <f aca="false">ROUND(IF(D142=0,IF((N142-E142-O142)&gt;0,(N142-E142-O142),0),IF((D142+N142-O142)&gt;0,(D142+N142-O142),0)),2)</f>
        <v>8680.17</v>
      </c>
      <c r="Q142" s="14" t="n">
        <f aca="false">ROUND(IF(E142=0,IF((D142+N142-O142)&lt;0,ABS(D142+N142-O142),0),IF((N142-E142-O142)&lt;0,ABS(N142-E142-O142),0)),2)</f>
        <v>0</v>
      </c>
    </row>
    <row r="143" customFormat="false" ht="15" hidden="false" customHeight="true" outlineLevel="0" collapsed="false">
      <c r="A143" s="12" t="s">
        <v>425</v>
      </c>
      <c r="B143" s="12" t="str">
        <f aca="false">січень!B143</f>
        <v>Осипенко В.В.</v>
      </c>
      <c r="C143" s="12" t="s">
        <v>427</v>
      </c>
      <c r="D143" s="14" t="n">
        <f aca="false">січень!P143</f>
        <v>11034.16</v>
      </c>
      <c r="E143" s="14" t="n">
        <f aca="false">січень!Q143</f>
        <v>0</v>
      </c>
      <c r="F143" s="13" t="n">
        <f aca="false">січень!F143</f>
        <v>0</v>
      </c>
      <c r="G143" s="13" t="n">
        <f aca="false">січень!G143</f>
        <v>65.65</v>
      </c>
      <c r="H143" s="13" t="n">
        <f aca="false">січень!H143</f>
        <v>0</v>
      </c>
      <c r="I143" s="13" t="n">
        <f aca="false">січень!I143</f>
        <v>4.1</v>
      </c>
      <c r="J143" s="14" t="n">
        <f aca="false">ROUND(G143*I143,2)</f>
        <v>269.17</v>
      </c>
      <c r="K143" s="14"/>
      <c r="L143" s="14"/>
      <c r="M143" s="14"/>
      <c r="N143" s="14" t="n">
        <f aca="false">ROUND((G143*I143)-K143-L143-M143,2)</f>
        <v>269.17</v>
      </c>
      <c r="O143" s="14"/>
      <c r="P143" s="14" t="n">
        <f aca="false">ROUND(IF(D143=0,IF((N143-E143-O143)&gt;0,(N143-E143-O143),0),IF((D143+N143-O143)&gt;0,(D143+N143-O143),0)),2)</f>
        <v>11303.33</v>
      </c>
      <c r="Q143" s="14" t="n">
        <f aca="false">ROUND(IF(E143=0,IF((D143+N143-O143)&lt;0,ABS(D143+N143-O143),0),IF((N143-E143-O143)&lt;0,ABS(N143-E143-O143),0)),2)</f>
        <v>0</v>
      </c>
    </row>
    <row r="144" customFormat="false" ht="15" hidden="false" customHeight="true" outlineLevel="0" collapsed="false">
      <c r="A144" s="12" t="s">
        <v>428</v>
      </c>
      <c r="B144" s="12" t="str">
        <f aca="false">січень!B144</f>
        <v>Друзь О.О.</v>
      </c>
      <c r="C144" s="12" t="s">
        <v>430</v>
      </c>
      <c r="D144" s="14" t="n">
        <f aca="false">січень!P144</f>
        <v>11202.16</v>
      </c>
      <c r="E144" s="14" t="n">
        <f aca="false">січень!Q144</f>
        <v>0</v>
      </c>
      <c r="F144" s="13" t="n">
        <f aca="false">січень!F144</f>
        <v>0</v>
      </c>
      <c r="G144" s="13" t="n">
        <f aca="false">січень!G144</f>
        <v>62.1</v>
      </c>
      <c r="H144" s="13" t="n">
        <f aca="false">січень!H144</f>
        <v>0</v>
      </c>
      <c r="I144" s="13" t="n">
        <f aca="false">січень!I144</f>
        <v>4.1</v>
      </c>
      <c r="J144" s="14" t="n">
        <f aca="false">ROUND(G144*I144,2)</f>
        <v>254.61</v>
      </c>
      <c r="K144" s="14"/>
      <c r="L144" s="14"/>
      <c r="M144" s="14"/>
      <c r="N144" s="14" t="n">
        <f aca="false">ROUND((G144*I144)-K144-L144-M144,2)</f>
        <v>254.61</v>
      </c>
      <c r="O144" s="14"/>
      <c r="P144" s="14" t="n">
        <f aca="false">ROUND(IF(D144=0,IF((N144-E144-O144)&gt;0,(N144-E144-O144),0),IF((D144+N144-O144)&gt;0,(D144+N144-O144),0)),2)</f>
        <v>11456.77</v>
      </c>
      <c r="Q144" s="14" t="n">
        <f aca="false">ROUND(IF(E144=0,IF((D144+N144-O144)&lt;0,ABS(D144+N144-O144),0),IF((N144-E144-O144)&lt;0,ABS(N144-E144-O144),0)),2)</f>
        <v>0</v>
      </c>
    </row>
    <row r="145" customFormat="false" ht="15" hidden="false" customHeight="true" outlineLevel="0" collapsed="false">
      <c r="A145" s="12" t="s">
        <v>431</v>
      </c>
      <c r="B145" s="12" t="str">
        <f aca="false">січень!B145</f>
        <v>Вовченко Р.І.</v>
      </c>
      <c r="C145" s="12" t="s">
        <v>433</v>
      </c>
      <c r="D145" s="14" t="n">
        <f aca="false">січень!P145</f>
        <v>3683.04</v>
      </c>
      <c r="E145" s="14" t="n">
        <f aca="false">січень!Q145</f>
        <v>0</v>
      </c>
      <c r="F145" s="13" t="n">
        <f aca="false">січень!F145</f>
        <v>0</v>
      </c>
      <c r="G145" s="13" t="n">
        <f aca="false">січень!G145</f>
        <v>35.2</v>
      </c>
      <c r="H145" s="13" t="n">
        <f aca="false">січень!H145</f>
        <v>0</v>
      </c>
      <c r="I145" s="13" t="n">
        <f aca="false">січень!I145</f>
        <v>4.1</v>
      </c>
      <c r="J145" s="14" t="n">
        <f aca="false">ROUND(G145*I145,2)</f>
        <v>144.32</v>
      </c>
      <c r="K145" s="14"/>
      <c r="L145" s="14"/>
      <c r="M145" s="14"/>
      <c r="N145" s="14" t="n">
        <f aca="false">ROUND((G145*I145)-K145-L145-M145,2)</f>
        <v>144.32</v>
      </c>
      <c r="O145" s="14"/>
      <c r="P145" s="14" t="n">
        <f aca="false">ROUND(IF(D145=0,IF((N145-E145-O145)&gt;0,(N145-E145-O145),0),IF((D145+N145-O145)&gt;0,(D145+N145-O145),0)),2)</f>
        <v>3827.36</v>
      </c>
      <c r="Q145" s="14" t="n">
        <f aca="false">ROUND(IF(E145=0,IF((D145+N145-O145)&lt;0,ABS(D145+N145-O145),0),IF((N145-E145-O145)&lt;0,ABS(N145-E145-O145),0)),2)</f>
        <v>0</v>
      </c>
    </row>
    <row r="146" customFormat="false" ht="15" hidden="false" customHeight="true" outlineLevel="0" collapsed="false">
      <c r="A146" s="12" t="s">
        <v>434</v>
      </c>
      <c r="B146" s="12" t="str">
        <f aca="false">січень!B146</f>
        <v>Плакун Д.В.</v>
      </c>
      <c r="C146" s="12" t="s">
        <v>436</v>
      </c>
      <c r="D146" s="14" t="n">
        <f aca="false">січень!P146</f>
        <v>613.77</v>
      </c>
      <c r="E146" s="14" t="n">
        <f aca="false">січень!Q146</f>
        <v>0</v>
      </c>
      <c r="F146" s="13" t="n">
        <f aca="false">січень!F146</f>
        <v>0</v>
      </c>
      <c r="G146" s="13" t="n">
        <f aca="false">січень!G146</f>
        <v>49.9</v>
      </c>
      <c r="H146" s="13" t="n">
        <f aca="false">січень!H146</f>
        <v>0</v>
      </c>
      <c r="I146" s="13" t="n">
        <f aca="false">січень!I146</f>
        <v>4.1</v>
      </c>
      <c r="J146" s="14" t="n">
        <f aca="false">ROUND(G146*I146,2)</f>
        <v>204.59</v>
      </c>
      <c r="K146" s="14"/>
      <c r="L146" s="14"/>
      <c r="M146" s="14"/>
      <c r="N146" s="14" t="n">
        <f aca="false">ROUND((G146*I146)-K146-L146-M146,2)</f>
        <v>204.59</v>
      </c>
      <c r="O146" s="14"/>
      <c r="P146" s="14" t="n">
        <f aca="false">ROUND(IF(D146=0,IF((N146-E146-O146)&gt;0,(N146-E146-O146),0),IF((D146+N146-O146)&gt;0,(D146+N146-O146),0)),2)</f>
        <v>818.36</v>
      </c>
      <c r="Q146" s="14" t="n">
        <f aca="false">ROUND(IF(E146=0,IF((D146+N146-O146)&lt;0,ABS(D146+N146-O146),0),IF((N146-E146-O146)&lt;0,ABS(N146-E146-O146),0)),2)</f>
        <v>0</v>
      </c>
    </row>
    <row r="147" customFormat="false" ht="15" hidden="false" customHeight="true" outlineLevel="0" collapsed="false">
      <c r="A147" s="12" t="s">
        <v>437</v>
      </c>
      <c r="B147" s="12" t="str">
        <f aca="false">січень!B147</f>
        <v>Гаврилова Ю.О.</v>
      </c>
      <c r="C147" s="12" t="s">
        <v>439</v>
      </c>
      <c r="D147" s="14" t="n">
        <f aca="false">січень!P147</f>
        <v>4905.52</v>
      </c>
      <c r="E147" s="14" t="n">
        <f aca="false">січень!Q147</f>
        <v>0</v>
      </c>
      <c r="F147" s="13" t="n">
        <f aca="false">січень!F147</f>
        <v>0</v>
      </c>
      <c r="G147" s="13" t="n">
        <f aca="false">січень!G147</f>
        <v>65.8</v>
      </c>
      <c r="H147" s="13" t="n">
        <f aca="false">січень!H147</f>
        <v>0</v>
      </c>
      <c r="I147" s="13" t="n">
        <f aca="false">січень!I147</f>
        <v>4.1</v>
      </c>
      <c r="J147" s="14" t="n">
        <f aca="false">ROUND(G147*I147,2)</f>
        <v>269.78</v>
      </c>
      <c r="K147" s="14"/>
      <c r="L147" s="14"/>
      <c r="M147" s="14"/>
      <c r="N147" s="14" t="n">
        <f aca="false">ROUND((G147*I147)-K147-L147-M147,2)</f>
        <v>269.78</v>
      </c>
      <c r="O147" s="14"/>
      <c r="P147" s="14" t="n">
        <f aca="false">ROUND(IF(D147=0,IF((N147-E147-O147)&gt;0,(N147-E147-O147),0),IF((D147+N147-O147)&gt;0,(D147+N147-O147),0)),2)</f>
        <v>5175.3</v>
      </c>
      <c r="Q147" s="14" t="n">
        <f aca="false">ROUND(IF(E147=0,IF((D147+N147-O147)&lt;0,ABS(D147+N147-O147),0),IF((N147-E147-O147)&lt;0,ABS(N147-E147-O147),0)),2)</f>
        <v>0</v>
      </c>
    </row>
    <row r="148" customFormat="false" ht="15" hidden="false" customHeight="true" outlineLevel="0" collapsed="false">
      <c r="A148" s="12" t="s">
        <v>440</v>
      </c>
      <c r="B148" s="12" t="str">
        <f aca="false">січень!B148</f>
        <v>Корзун Г.М.</v>
      </c>
      <c r="C148" s="12" t="s">
        <v>442</v>
      </c>
      <c r="D148" s="14" t="n">
        <f aca="false">січень!P148</f>
        <v>1515.96</v>
      </c>
      <c r="E148" s="14" t="n">
        <f aca="false">січень!Q148</f>
        <v>0</v>
      </c>
      <c r="F148" s="13" t="n">
        <f aca="false">січень!F148</f>
        <v>0</v>
      </c>
      <c r="G148" s="13" t="n">
        <f aca="false">січень!G148</f>
        <v>63.2</v>
      </c>
      <c r="H148" s="13" t="n">
        <f aca="false">січень!H148</f>
        <v>0</v>
      </c>
      <c r="I148" s="13" t="n">
        <f aca="false">січень!I148</f>
        <v>4.1</v>
      </c>
      <c r="J148" s="14" t="n">
        <f aca="false">ROUND(G148*I148,2)</f>
        <v>259.12</v>
      </c>
      <c r="K148" s="14"/>
      <c r="L148" s="14"/>
      <c r="M148" s="14"/>
      <c r="N148" s="14" t="n">
        <f aca="false">ROUND((G148*I148)-K148-L148-M148,2)</f>
        <v>259.12</v>
      </c>
      <c r="O148" s="14"/>
      <c r="P148" s="14" t="n">
        <f aca="false">ROUND(IF(D148=0,IF((N148-E148-O148)&gt;0,(N148-E148-O148),0),IF((D148+N148-O148)&gt;0,(D148+N148-O148),0)),2)</f>
        <v>1775.08</v>
      </c>
      <c r="Q148" s="14" t="n">
        <f aca="false">ROUND(IF(E148=0,IF((D148+N148-O148)&lt;0,ABS(D148+N148-O148),0),IF((N148-E148-O148)&lt;0,ABS(N148-E148-O148),0)),2)</f>
        <v>0</v>
      </c>
    </row>
    <row r="149" customFormat="false" ht="15" hidden="false" customHeight="true" outlineLevel="0" collapsed="false">
      <c r="A149" s="12" t="s">
        <v>443</v>
      </c>
      <c r="B149" s="12" t="str">
        <f aca="false">січень!B149</f>
        <v>Бондаренко Л.Л.</v>
      </c>
      <c r="C149" s="12" t="s">
        <v>445</v>
      </c>
      <c r="D149" s="14" t="n">
        <f aca="false">січень!P149</f>
        <v>4149.08</v>
      </c>
      <c r="E149" s="14" t="n">
        <f aca="false">січень!Q149</f>
        <v>0</v>
      </c>
      <c r="F149" s="13" t="n">
        <f aca="false">січень!F149</f>
        <v>0</v>
      </c>
      <c r="G149" s="13" t="n">
        <f aca="false">січень!G149</f>
        <v>34.9</v>
      </c>
      <c r="H149" s="13" t="n">
        <f aca="false">січень!H149</f>
        <v>0</v>
      </c>
      <c r="I149" s="13" t="n">
        <f aca="false">січень!I149</f>
        <v>4.1</v>
      </c>
      <c r="J149" s="14" t="n">
        <f aca="false">ROUND(G149*I149,2)</f>
        <v>143.09</v>
      </c>
      <c r="K149" s="14"/>
      <c r="L149" s="14"/>
      <c r="M149" s="14"/>
      <c r="N149" s="14" t="n">
        <f aca="false">ROUND((G149*I149)-K149-L149-M149,2)</f>
        <v>143.09</v>
      </c>
      <c r="O149" s="14"/>
      <c r="P149" s="14" t="n">
        <f aca="false">ROUND(IF(D149=0,IF((N149-E149-O149)&gt;0,(N149-E149-O149),0),IF((D149+N149-O149)&gt;0,(D149+N149-O149),0)),2)</f>
        <v>4292.17</v>
      </c>
      <c r="Q149" s="14" t="n">
        <f aca="false">ROUND(IF(E149=0,IF((D149+N149-O149)&lt;0,ABS(D149+N149-O149),0),IF((N149-E149-O149)&lt;0,ABS(N149-E149-O149),0)),2)</f>
        <v>0</v>
      </c>
    </row>
    <row r="150" customFormat="false" ht="15" hidden="false" customHeight="true" outlineLevel="0" collapsed="false">
      <c r="A150" s="12" t="s">
        <v>446</v>
      </c>
      <c r="B150" s="12" t="str">
        <f aca="false">січень!B150</f>
        <v>Капелюш Н.А.</v>
      </c>
      <c r="C150" s="12" t="s">
        <v>448</v>
      </c>
      <c r="D150" s="14" t="n">
        <f aca="false">січень!P150</f>
        <v>9712.08</v>
      </c>
      <c r="E150" s="14" t="n">
        <f aca="false">січень!Q150</f>
        <v>0</v>
      </c>
      <c r="F150" s="13" t="n">
        <f aca="false">січень!F150</f>
        <v>0</v>
      </c>
      <c r="G150" s="13" t="n">
        <f aca="false">січень!G150</f>
        <v>50.4</v>
      </c>
      <c r="H150" s="13" t="n">
        <f aca="false">січень!H150</f>
        <v>0</v>
      </c>
      <c r="I150" s="13" t="n">
        <f aca="false">січень!I150</f>
        <v>4.1</v>
      </c>
      <c r="J150" s="14" t="n">
        <f aca="false">ROUND(G150*I150,2)</f>
        <v>206.64</v>
      </c>
      <c r="K150" s="14"/>
      <c r="L150" s="14"/>
      <c r="M150" s="14"/>
      <c r="N150" s="14" t="n">
        <f aca="false">ROUND((G150*I150)-K150-L150-M150,2)</f>
        <v>206.64</v>
      </c>
      <c r="O150" s="14"/>
      <c r="P150" s="14" t="n">
        <f aca="false">ROUND(IF(D150=0,IF((N150-E150-O150)&gt;0,(N150-E150-O150),0),IF((D150+N150-O150)&gt;0,(D150+N150-O150),0)),2)</f>
        <v>9918.72</v>
      </c>
      <c r="Q150" s="14" t="n">
        <f aca="false">ROUND(IF(E150=0,IF((D150+N150-O150)&lt;0,ABS(D150+N150-O150),0),IF((N150-E150-O150)&lt;0,ABS(N150-E150-O150),0)),2)</f>
        <v>0</v>
      </c>
    </row>
    <row r="151" customFormat="false" ht="15" hidden="false" customHeight="true" outlineLevel="0" collapsed="false">
      <c r="A151" s="12" t="s">
        <v>449</v>
      </c>
      <c r="B151" s="12" t="str">
        <f aca="false">січень!B151</f>
        <v>Кістрінь Л.П.</v>
      </c>
      <c r="C151" s="12" t="s">
        <v>451</v>
      </c>
      <c r="D151" s="14" t="n">
        <f aca="false">січень!P151</f>
        <v>12886.09</v>
      </c>
      <c r="E151" s="14" t="n">
        <f aca="false">січень!Q151</f>
        <v>0</v>
      </c>
      <c r="F151" s="13" t="n">
        <f aca="false">січень!F151</f>
        <v>0</v>
      </c>
      <c r="G151" s="13" t="n">
        <f aca="false">січень!G151</f>
        <v>65.2</v>
      </c>
      <c r="H151" s="13" t="n">
        <f aca="false">січень!H151</f>
        <v>0</v>
      </c>
      <c r="I151" s="13" t="n">
        <f aca="false">січень!I151</f>
        <v>4.1</v>
      </c>
      <c r="J151" s="14" t="n">
        <f aca="false">ROUND(G151*I151,2)</f>
        <v>267.32</v>
      </c>
      <c r="K151" s="14"/>
      <c r="L151" s="14"/>
      <c r="M151" s="14"/>
      <c r="N151" s="14" t="n">
        <f aca="false">ROUND((G151*I151)-K151-L151-M151,2)</f>
        <v>267.32</v>
      </c>
      <c r="O151" s="14"/>
      <c r="P151" s="14" t="n">
        <f aca="false">ROUND(IF(D151=0,IF((N151-E151-O151)&gt;0,(N151-E151-O151),0),IF((D151+N151-O151)&gt;0,(D151+N151-O151),0)),2)</f>
        <v>13153.41</v>
      </c>
      <c r="Q151" s="14" t="n">
        <f aca="false">ROUND(IF(E151=0,IF((D151+N151-O151)&lt;0,ABS(D151+N151-O151),0),IF((N151-E151-O151)&lt;0,ABS(N151-E151-O151),0)),2)</f>
        <v>0</v>
      </c>
    </row>
    <row r="152" customFormat="false" ht="15" hidden="false" customHeight="true" outlineLevel="0" collapsed="false">
      <c r="A152" s="12" t="s">
        <v>452</v>
      </c>
      <c r="B152" s="12" t="str">
        <f aca="false">січень!B152</f>
        <v>Козьміна І.В.</v>
      </c>
      <c r="C152" s="12" t="s">
        <v>454</v>
      </c>
      <c r="D152" s="14" t="n">
        <f aca="false">січень!P152</f>
        <v>2117.92</v>
      </c>
      <c r="E152" s="14" t="n">
        <f aca="false">січень!Q152</f>
        <v>0</v>
      </c>
      <c r="F152" s="13" t="n">
        <f aca="false">січень!F152</f>
        <v>0</v>
      </c>
      <c r="G152" s="13" t="n">
        <f aca="false">січень!G152</f>
        <v>64.57</v>
      </c>
      <c r="H152" s="13" t="n">
        <f aca="false">січень!H152</f>
        <v>0</v>
      </c>
      <c r="I152" s="13" t="n">
        <f aca="false">січень!I152</f>
        <v>4.1</v>
      </c>
      <c r="J152" s="14" t="n">
        <f aca="false">ROUND(G152*I152,2)</f>
        <v>264.74</v>
      </c>
      <c r="K152" s="14"/>
      <c r="L152" s="14"/>
      <c r="M152" s="14"/>
      <c r="N152" s="14" t="n">
        <f aca="false">ROUND((G152*I152)-K152-L152-M152,2)</f>
        <v>264.74</v>
      </c>
      <c r="O152" s="14"/>
      <c r="P152" s="14" t="n">
        <f aca="false">ROUND(IF(D152=0,IF((N152-E152-O152)&gt;0,(N152-E152-O152),0),IF((D152+N152-O152)&gt;0,(D152+N152-O152),0)),2)</f>
        <v>2382.66</v>
      </c>
      <c r="Q152" s="14" t="n">
        <f aca="false">ROUND(IF(E152=0,IF((D152+N152-O152)&lt;0,ABS(D152+N152-O152),0),IF((N152-E152-O152)&lt;0,ABS(N152-E152-O152),0)),2)</f>
        <v>0</v>
      </c>
    </row>
    <row r="153" customFormat="false" ht="15" hidden="false" customHeight="true" outlineLevel="0" collapsed="false">
      <c r="A153" s="12" t="s">
        <v>455</v>
      </c>
      <c r="B153" s="12" t="str">
        <f aca="false">січень!B153</f>
        <v>Чала С.С.</v>
      </c>
      <c r="C153" s="12" t="s">
        <v>457</v>
      </c>
      <c r="D153" s="14" t="n">
        <f aca="false">січень!P153</f>
        <v>11239.88</v>
      </c>
      <c r="E153" s="14" t="n">
        <f aca="false">січень!Q153</f>
        <v>0</v>
      </c>
      <c r="F153" s="13" t="n">
        <f aca="false">січень!F153</f>
        <v>0</v>
      </c>
      <c r="G153" s="13" t="n">
        <f aca="false">січень!G153</f>
        <v>48.7</v>
      </c>
      <c r="H153" s="13" t="n">
        <f aca="false">січень!H153</f>
        <v>0</v>
      </c>
      <c r="I153" s="13" t="n">
        <f aca="false">січень!I153</f>
        <v>4.1</v>
      </c>
      <c r="J153" s="14" t="n">
        <f aca="false">ROUND(G153*I153,2)</f>
        <v>199.67</v>
      </c>
      <c r="K153" s="14"/>
      <c r="L153" s="14"/>
      <c r="M153" s="14"/>
      <c r="N153" s="14" t="n">
        <f aca="false">ROUND((G153*I153)-K153-L153-M153,2)</f>
        <v>199.67</v>
      </c>
      <c r="O153" s="14"/>
      <c r="P153" s="14" t="n">
        <f aca="false">ROUND(IF(D153=0,IF((N153-E153-O153)&gt;0,(N153-E153-O153),0),IF((D153+N153-O153)&gt;0,(D153+N153-O153),0)),2)</f>
        <v>11439.55</v>
      </c>
      <c r="Q153" s="14" t="n">
        <f aca="false">ROUND(IF(E153=0,IF((D153+N153-O153)&lt;0,ABS(D153+N153-O153),0),IF((N153-E153-O153)&lt;0,ABS(N153-E153-O153),0)),2)</f>
        <v>0</v>
      </c>
    </row>
    <row r="154" customFormat="false" ht="15" hidden="false" customHeight="true" outlineLevel="0" collapsed="false">
      <c r="A154" s="12" t="s">
        <v>458</v>
      </c>
      <c r="B154" s="12" t="str">
        <f aca="false">січень!B154</f>
        <v>Свєтайлова І.М.</v>
      </c>
      <c r="C154" s="12" t="s">
        <v>460</v>
      </c>
      <c r="D154" s="14" t="n">
        <f aca="false">січень!P154</f>
        <v>1092.68</v>
      </c>
      <c r="E154" s="14" t="n">
        <f aca="false">січень!Q154</f>
        <v>0</v>
      </c>
      <c r="F154" s="13" t="n">
        <f aca="false">січень!F154</f>
        <v>0</v>
      </c>
      <c r="G154" s="13" t="n">
        <f aca="false">січень!G154</f>
        <v>35.1</v>
      </c>
      <c r="H154" s="13" t="n">
        <f aca="false">січень!H154</f>
        <v>0</v>
      </c>
      <c r="I154" s="13" t="n">
        <f aca="false">січень!I154</f>
        <v>4.1</v>
      </c>
      <c r="J154" s="14" t="n">
        <f aca="false">ROUND(G154*I154,2)</f>
        <v>143.91</v>
      </c>
      <c r="K154" s="14"/>
      <c r="L154" s="14"/>
      <c r="M154" s="14"/>
      <c r="N154" s="14" t="n">
        <f aca="false">ROUND((G154*I154)-K154-L154-M154,2)</f>
        <v>143.91</v>
      </c>
      <c r="O154" s="14"/>
      <c r="P154" s="14" t="n">
        <f aca="false">ROUND(IF(D154=0,IF((N154-E154-O154)&gt;0,(N154-E154-O154),0),IF((D154+N154-O154)&gt;0,(D154+N154-O154),0)),2)</f>
        <v>1236.59</v>
      </c>
      <c r="Q154" s="14" t="n">
        <f aca="false">ROUND(IF(E154=0,IF((D154+N154-O154)&lt;0,ABS(D154+N154-O154),0),IF((N154-E154-O154)&lt;0,ABS(N154-E154-O154),0)),2)</f>
        <v>0</v>
      </c>
    </row>
    <row r="155" customFormat="false" ht="15" hidden="false" customHeight="true" outlineLevel="0" collapsed="false">
      <c r="A155" s="12" t="s">
        <v>461</v>
      </c>
      <c r="B155" s="12" t="str">
        <f aca="false">січень!B155</f>
        <v>Неделько Д.І.</v>
      </c>
      <c r="C155" s="12" t="s">
        <v>463</v>
      </c>
      <c r="D155" s="14" t="n">
        <f aca="false">січень!P155</f>
        <v>6808.84</v>
      </c>
      <c r="E155" s="14" t="n">
        <f aca="false">січень!Q155</f>
        <v>0</v>
      </c>
      <c r="F155" s="13" t="n">
        <f aca="false">січень!F155</f>
        <v>0</v>
      </c>
      <c r="G155" s="13" t="n">
        <f aca="false">січень!G155</f>
        <v>53.57</v>
      </c>
      <c r="H155" s="13" t="n">
        <f aca="false">січень!H155</f>
        <v>0</v>
      </c>
      <c r="I155" s="13" t="n">
        <f aca="false">січень!I155</f>
        <v>4.1</v>
      </c>
      <c r="J155" s="14" t="n">
        <f aca="false">ROUND(G155*I155,2)</f>
        <v>219.64</v>
      </c>
      <c r="K155" s="14"/>
      <c r="L155" s="14"/>
      <c r="M155" s="14"/>
      <c r="N155" s="14" t="n">
        <f aca="false">ROUND((G155*I155)-K155-L155-M155,2)</f>
        <v>219.64</v>
      </c>
      <c r="O155" s="14"/>
      <c r="P155" s="14" t="n">
        <f aca="false">ROUND(IF(D155=0,IF((N155-E155-O155)&gt;0,(N155-E155-O155),0),IF((D155+N155-O155)&gt;0,(D155+N155-O155),0)),2)</f>
        <v>7028.48</v>
      </c>
      <c r="Q155" s="14" t="n">
        <f aca="false">ROUND(IF(E155=0,IF((D155+N155-O155)&lt;0,ABS(D155+N155-O155),0),IF((N155-E155-O155)&lt;0,ABS(N155-E155-O155),0)),2)</f>
        <v>0</v>
      </c>
    </row>
    <row r="156" customFormat="false" ht="15" hidden="false" customHeight="true" outlineLevel="0" collapsed="false">
      <c r="A156" s="12" t="s">
        <v>464</v>
      </c>
      <c r="B156" s="12" t="str">
        <f aca="false">січень!B156</f>
        <v>Самойленко Л.К.</v>
      </c>
      <c r="C156" s="12" t="s">
        <v>466</v>
      </c>
      <c r="D156" s="14" t="n">
        <f aca="false">січень!P156</f>
        <v>0</v>
      </c>
      <c r="E156" s="14" t="n">
        <f aca="false">січень!Q156</f>
        <v>2089.01</v>
      </c>
      <c r="F156" s="13" t="n">
        <f aca="false">січень!F156</f>
        <v>0</v>
      </c>
      <c r="G156" s="13" t="n">
        <f aca="false">січень!G156</f>
        <v>65.7</v>
      </c>
      <c r="H156" s="13" t="n">
        <f aca="false">січень!H156</f>
        <v>0</v>
      </c>
      <c r="I156" s="13" t="n">
        <f aca="false">січень!I156</f>
        <v>4.1</v>
      </c>
      <c r="J156" s="14" t="n">
        <f aca="false">ROUND(G156*I156,2)</f>
        <v>269.37</v>
      </c>
      <c r="K156" s="14"/>
      <c r="L156" s="14"/>
      <c r="M156" s="14"/>
      <c r="N156" s="14" t="n">
        <f aca="false">ROUND((G156*I156)-K156-L156-M156,2)</f>
        <v>269.37</v>
      </c>
      <c r="O156" s="14"/>
      <c r="P156" s="14" t="n">
        <f aca="false">ROUND(IF(D156=0,IF((N156-E156-O156)&gt;0,(N156-E156-O156),0),IF((D156+N156-O156)&gt;0,(D156+N156-O156),0)),2)</f>
        <v>0</v>
      </c>
      <c r="Q156" s="14" t="n">
        <f aca="false">ROUND(IF(E156=0,IF((D156+N156-O156)&lt;0,ABS(D156+N156-O156),0),IF((N156-E156-O156)&lt;0,ABS(N156-E156-O156),0)),2)</f>
        <v>1819.64</v>
      </c>
    </row>
    <row r="157" customFormat="false" ht="15" hidden="false" customHeight="true" outlineLevel="0" collapsed="false">
      <c r="A157" s="12" t="s">
        <v>467</v>
      </c>
      <c r="B157" s="12" t="str">
        <f aca="false">січень!B157</f>
        <v>Павлов Ю.В.</v>
      </c>
      <c r="C157" s="12" t="s">
        <v>469</v>
      </c>
      <c r="D157" s="14" t="n">
        <f aca="false">січень!P157</f>
        <v>2629.48</v>
      </c>
      <c r="E157" s="14" t="n">
        <f aca="false">січень!Q157</f>
        <v>0</v>
      </c>
      <c r="F157" s="13" t="n">
        <f aca="false">січень!F157</f>
        <v>0</v>
      </c>
      <c r="G157" s="13" t="n">
        <f aca="false">січень!G157</f>
        <v>49.78</v>
      </c>
      <c r="H157" s="13" t="n">
        <f aca="false">січень!H157</f>
        <v>0</v>
      </c>
      <c r="I157" s="13" t="n">
        <f aca="false">січень!I157</f>
        <v>4.1</v>
      </c>
      <c r="J157" s="14" t="n">
        <f aca="false">ROUND(G157*I157,2)</f>
        <v>204.1</v>
      </c>
      <c r="K157" s="14"/>
      <c r="L157" s="14"/>
      <c r="M157" s="14"/>
      <c r="N157" s="14" t="n">
        <f aca="false">ROUND((G157*I157)-K157-L157-M157,2)</f>
        <v>204.1</v>
      </c>
      <c r="O157" s="14"/>
      <c r="P157" s="14" t="n">
        <f aca="false">ROUND(IF(D157=0,IF((N157-E157-O157)&gt;0,(N157-E157-O157),0),IF((D157+N157-O157)&gt;0,(D157+N157-O157),0)),2)</f>
        <v>2833.58</v>
      </c>
      <c r="Q157" s="14" t="n">
        <f aca="false">ROUND(IF(E157=0,IF((D157+N157-O157)&lt;0,ABS(D157+N157-O157),0),IF((N157-E157-O157)&lt;0,ABS(N157-E157-O157),0)),2)</f>
        <v>0</v>
      </c>
    </row>
    <row r="158" customFormat="false" ht="15" hidden="false" customHeight="true" outlineLevel="0" collapsed="false">
      <c r="A158" s="12" t="s">
        <v>470</v>
      </c>
      <c r="B158" s="12" t="str">
        <f aca="false">січень!B158</f>
        <v>Коваленко Т.М.</v>
      </c>
      <c r="C158" s="12" t="s">
        <v>472</v>
      </c>
      <c r="D158" s="14" t="n">
        <f aca="false">січень!P158</f>
        <v>430.5</v>
      </c>
      <c r="E158" s="14" t="n">
        <f aca="false">січень!Q158</f>
        <v>0</v>
      </c>
      <c r="F158" s="13" t="n">
        <f aca="false">січень!F158</f>
        <v>0</v>
      </c>
      <c r="G158" s="13" t="n">
        <f aca="false">січень!G158</f>
        <v>35</v>
      </c>
      <c r="H158" s="13" t="n">
        <f aca="false">січень!H158</f>
        <v>0</v>
      </c>
      <c r="I158" s="13" t="n">
        <f aca="false">січень!I158</f>
        <v>4.1</v>
      </c>
      <c r="J158" s="14" t="n">
        <f aca="false">ROUND(G158*I158,2)</f>
        <v>143.5</v>
      </c>
      <c r="K158" s="14"/>
      <c r="L158" s="14"/>
      <c r="M158" s="14"/>
      <c r="N158" s="14" t="n">
        <f aca="false">ROUND((G158*I158)-K158-L158-M158,2)</f>
        <v>143.5</v>
      </c>
      <c r="O158" s="14"/>
      <c r="P158" s="14" t="n">
        <f aca="false">ROUND(IF(D158=0,IF((N158-E158-O158)&gt;0,(N158-E158-O158),0),IF((D158+N158-O158)&gt;0,(D158+N158-O158),0)),2)</f>
        <v>574</v>
      </c>
      <c r="Q158" s="14" t="n">
        <f aca="false">ROUND(IF(E158=0,IF((D158+N158-O158)&lt;0,ABS(D158+N158-O158),0),IF((N158-E158-O158)&lt;0,ABS(N158-E158-O158),0)),2)</f>
        <v>0</v>
      </c>
    </row>
    <row r="159" customFormat="false" ht="15" hidden="false" customHeight="true" outlineLevel="0" collapsed="false">
      <c r="A159" s="12" t="s">
        <v>473</v>
      </c>
      <c r="B159" s="12" t="str">
        <f aca="false">січень!B159</f>
        <v>Рощенко Л.Б.</v>
      </c>
      <c r="C159" s="12" t="s">
        <v>475</v>
      </c>
      <c r="D159" s="14" t="n">
        <f aca="false">січень!P159</f>
        <v>10149.5</v>
      </c>
      <c r="E159" s="14" t="n">
        <f aca="false">січень!Q159</f>
        <v>0</v>
      </c>
      <c r="F159" s="13" t="n">
        <f aca="false">січень!F159</f>
        <v>0</v>
      </c>
      <c r="G159" s="13" t="n">
        <f aca="false">січень!G159</f>
        <v>62.08</v>
      </c>
      <c r="H159" s="13" t="n">
        <f aca="false">січень!H159</f>
        <v>0</v>
      </c>
      <c r="I159" s="13" t="n">
        <f aca="false">січень!I159</f>
        <v>4.1</v>
      </c>
      <c r="J159" s="14" t="n">
        <f aca="false">ROUND(G159*I159,2)</f>
        <v>254.53</v>
      </c>
      <c r="K159" s="14"/>
      <c r="L159" s="14"/>
      <c r="M159" s="14"/>
      <c r="N159" s="14" t="n">
        <f aca="false">ROUND((G159*I159)-K159-L159-M159,2)</f>
        <v>254.53</v>
      </c>
      <c r="O159" s="14"/>
      <c r="P159" s="14" t="n">
        <f aca="false">ROUND(IF(D159=0,IF((N159-E159-O159)&gt;0,(N159-E159-O159),0),IF((D159+N159-O159)&gt;0,(D159+N159-O159),0)),2)</f>
        <v>10404.03</v>
      </c>
      <c r="Q159" s="14" t="n">
        <f aca="false">ROUND(IF(E159=0,IF((D159+N159-O159)&lt;0,ABS(D159+N159-O159),0),IF((N159-E159-O159)&lt;0,ABS(N159-E159-O159),0)),2)</f>
        <v>0</v>
      </c>
    </row>
    <row r="160" customFormat="false" ht="15" hidden="false" customHeight="true" outlineLevel="0" collapsed="false">
      <c r="A160" s="12" t="s">
        <v>476</v>
      </c>
      <c r="B160" s="12" t="str">
        <f aca="false">січень!B160</f>
        <v>Галушко С.Т.</v>
      </c>
      <c r="C160" s="12" t="s">
        <v>478</v>
      </c>
      <c r="D160" s="14" t="n">
        <f aca="false">січень!P160</f>
        <v>0</v>
      </c>
      <c r="E160" s="14" t="n">
        <f aca="false">січень!Q160</f>
        <v>0</v>
      </c>
      <c r="F160" s="13" t="n">
        <f aca="false">січень!F160</f>
        <v>0</v>
      </c>
      <c r="G160" s="13" t="n">
        <f aca="false">січень!G160</f>
        <v>65.86</v>
      </c>
      <c r="H160" s="13" t="n">
        <f aca="false">січень!H160</f>
        <v>0</v>
      </c>
      <c r="I160" s="13" t="n">
        <f aca="false">січень!I160</f>
        <v>4.1</v>
      </c>
      <c r="J160" s="14" t="n">
        <f aca="false">ROUND(G160*I160,2)</f>
        <v>270.03</v>
      </c>
      <c r="K160" s="14"/>
      <c r="L160" s="14"/>
      <c r="M160" s="14"/>
      <c r="N160" s="14" t="n">
        <f aca="false">ROUND((G160*I160)-K160-L160-M160,2)</f>
        <v>270.03</v>
      </c>
      <c r="O160" s="14"/>
      <c r="P160" s="14" t="n">
        <f aca="false">ROUND(IF(D160=0,IF((N160-E160-O160)&gt;0,(N160-E160-O160),0),IF((D160+N160-O160)&gt;0,(D160+N160-O160),0)),2)</f>
        <v>270.03</v>
      </c>
      <c r="Q160" s="14" t="n">
        <f aca="false">ROUND(IF(E160=0,IF((D160+N160-O160)&lt;0,ABS(D160+N160-O160),0),IF((N160-E160-O160)&lt;0,ABS(N160-E160-O160),0)),2)</f>
        <v>0</v>
      </c>
    </row>
    <row r="161" customFormat="false" ht="15" hidden="false" customHeight="true" outlineLevel="0" collapsed="false">
      <c r="A161" s="12" t="s">
        <v>479</v>
      </c>
      <c r="B161" s="12" t="str">
        <f aca="false">січень!B161</f>
        <v>Наумова Л.Я.</v>
      </c>
      <c r="C161" s="12" t="s">
        <v>481</v>
      </c>
      <c r="D161" s="14" t="n">
        <f aca="false">січень!P161</f>
        <v>167.2</v>
      </c>
      <c r="E161" s="14" t="n">
        <f aca="false">січень!Q161</f>
        <v>0</v>
      </c>
      <c r="F161" s="13" t="n">
        <f aca="false">січень!F161</f>
        <v>0</v>
      </c>
      <c r="G161" s="13" t="n">
        <f aca="false">січень!G161</f>
        <v>49.95</v>
      </c>
      <c r="H161" s="13" t="n">
        <f aca="false">січень!H161</f>
        <v>0</v>
      </c>
      <c r="I161" s="13" t="n">
        <f aca="false">січень!I161</f>
        <v>4.1</v>
      </c>
      <c r="J161" s="14" t="n">
        <f aca="false">ROUND(G161*I161,2)</f>
        <v>204.8</v>
      </c>
      <c r="K161" s="14"/>
      <c r="L161" s="14"/>
      <c r="M161" s="14"/>
      <c r="N161" s="14" t="n">
        <f aca="false">ROUND((G161*I161)-K161-L161-M161,2)</f>
        <v>204.8</v>
      </c>
      <c r="O161" s="14"/>
      <c r="P161" s="14" t="n">
        <f aca="false">ROUND(IF(D161=0,IF((N161-E161-O161)&gt;0,(N161-E161-O161),0),IF((D161+N161-O161)&gt;0,(D161+N161-O161),0)),2)</f>
        <v>372</v>
      </c>
      <c r="Q161" s="14" t="n">
        <f aca="false">ROUND(IF(E161=0,IF((D161+N161-O161)&lt;0,ABS(D161+N161-O161),0),IF((N161-E161-O161)&lt;0,ABS(N161-E161-O161),0)),2)</f>
        <v>0</v>
      </c>
    </row>
    <row r="162" customFormat="false" ht="15" hidden="false" customHeight="true" outlineLevel="0" collapsed="false">
      <c r="A162" s="12" t="s">
        <v>482</v>
      </c>
      <c r="B162" s="12" t="str">
        <f aca="false">січень!B162</f>
        <v>Грєк В.С.</v>
      </c>
      <c r="C162" s="12" t="s">
        <v>484</v>
      </c>
      <c r="D162" s="14" t="n">
        <f aca="false">січень!P162</f>
        <v>0</v>
      </c>
      <c r="E162" s="14" t="n">
        <f aca="false">січень!Q162</f>
        <v>1261.91</v>
      </c>
      <c r="F162" s="13" t="n">
        <f aca="false">січень!F162</f>
        <v>0</v>
      </c>
      <c r="G162" s="13" t="n">
        <f aca="false">січень!G162</f>
        <v>33.9</v>
      </c>
      <c r="H162" s="13" t="n">
        <f aca="false">січень!H162</f>
        <v>0</v>
      </c>
      <c r="I162" s="13" t="n">
        <f aca="false">січень!I162</f>
        <v>4.1</v>
      </c>
      <c r="J162" s="14" t="n">
        <f aca="false">ROUND(G162*I162,2)</f>
        <v>138.99</v>
      </c>
      <c r="K162" s="14"/>
      <c r="L162" s="14"/>
      <c r="M162" s="14"/>
      <c r="N162" s="14" t="n">
        <f aca="false">ROUND((G162*I162)-K162-L162-M162,2)</f>
        <v>138.99</v>
      </c>
      <c r="O162" s="14"/>
      <c r="P162" s="14" t="n">
        <f aca="false">ROUND(IF(D162=0,IF((N162-E162-O162)&gt;0,(N162-E162-O162),0),IF((D162+N162-O162)&gt;0,(D162+N162-O162),0)),2)</f>
        <v>0</v>
      </c>
      <c r="Q162" s="14" t="n">
        <f aca="false">ROUND(IF(E162=0,IF((D162+N162-O162)&lt;0,ABS(D162+N162-O162),0),IF((N162-E162-O162)&lt;0,ABS(N162-E162-O162),0)),2)</f>
        <v>1122.92</v>
      </c>
    </row>
    <row r="163" customFormat="false" ht="15" hidden="false" customHeight="true" outlineLevel="0" collapsed="false">
      <c r="A163" s="12" t="s">
        <v>485</v>
      </c>
      <c r="B163" s="12" t="str">
        <f aca="false">січень!B163</f>
        <v>Пермінов О.А.</v>
      </c>
      <c r="C163" s="12" t="s">
        <v>487</v>
      </c>
      <c r="D163" s="14" t="n">
        <f aca="false">січень!P163</f>
        <v>1125.16</v>
      </c>
      <c r="E163" s="14" t="n">
        <f aca="false">січень!Q163</f>
        <v>0</v>
      </c>
      <c r="F163" s="13" t="n">
        <f aca="false">січень!F163</f>
        <v>0</v>
      </c>
      <c r="G163" s="13" t="n">
        <f aca="false">січень!G163</f>
        <v>62.43</v>
      </c>
      <c r="H163" s="13" t="n">
        <f aca="false">січень!H163</f>
        <v>0</v>
      </c>
      <c r="I163" s="13" t="n">
        <f aca="false">січень!I163</f>
        <v>4.1</v>
      </c>
      <c r="J163" s="14" t="n">
        <f aca="false">ROUND(G163*I163,2)</f>
        <v>255.96</v>
      </c>
      <c r="K163" s="14"/>
      <c r="L163" s="14"/>
      <c r="M163" s="14"/>
      <c r="N163" s="14" t="n">
        <f aca="false">ROUND((G163*I163)-K163-L163-M163,2)</f>
        <v>255.96</v>
      </c>
      <c r="O163" s="14"/>
      <c r="P163" s="14" t="n">
        <f aca="false">ROUND(IF(D163=0,IF((N163-E163-O163)&gt;0,(N163-E163-O163),0),IF((D163+N163-O163)&gt;0,(D163+N163-O163),0)),2)</f>
        <v>1381.12</v>
      </c>
      <c r="Q163" s="14" t="n">
        <f aca="false">ROUND(IF(E163=0,IF((D163+N163-O163)&lt;0,ABS(D163+N163-O163),0),IF((N163-E163-O163)&lt;0,ABS(N163-E163-O163),0)),2)</f>
        <v>0</v>
      </c>
    </row>
    <row r="164" customFormat="false" ht="15" hidden="false" customHeight="true" outlineLevel="0" collapsed="false">
      <c r="A164" s="12" t="s">
        <v>488</v>
      </c>
      <c r="B164" s="12" t="str">
        <f aca="false">січень!B164</f>
        <v>Рябчук Л.П.</v>
      </c>
      <c r="C164" s="12" t="s">
        <v>490</v>
      </c>
      <c r="D164" s="14" t="n">
        <f aca="false">січень!P164</f>
        <v>7231.36</v>
      </c>
      <c r="E164" s="14" t="n">
        <f aca="false">січень!Q164</f>
        <v>0</v>
      </c>
      <c r="F164" s="13" t="n">
        <f aca="false">січень!F164</f>
        <v>0</v>
      </c>
      <c r="G164" s="13" t="n">
        <f aca="false">січень!G164</f>
        <v>64.8</v>
      </c>
      <c r="H164" s="13" t="n">
        <f aca="false">січень!H164</f>
        <v>0</v>
      </c>
      <c r="I164" s="13" t="n">
        <f aca="false">січень!I164</f>
        <v>4.1</v>
      </c>
      <c r="J164" s="14" t="n">
        <f aca="false">ROUND(G164*I164,2)</f>
        <v>265.68</v>
      </c>
      <c r="K164" s="14"/>
      <c r="L164" s="14"/>
      <c r="M164" s="14"/>
      <c r="N164" s="14" t="n">
        <f aca="false">ROUND((G164*I164)-K164-L164-M164,2)</f>
        <v>265.68</v>
      </c>
      <c r="O164" s="14"/>
      <c r="P164" s="14" t="n">
        <f aca="false">ROUND(IF(D164=0,IF((N164-E164-O164)&gt;0,(N164-E164-O164),0),IF((D164+N164-O164)&gt;0,(D164+N164-O164),0)),2)</f>
        <v>7497.04</v>
      </c>
      <c r="Q164" s="14" t="n">
        <f aca="false">ROUND(IF(E164=0,IF((D164+N164-O164)&lt;0,ABS(D164+N164-O164),0),IF((N164-E164-O164)&lt;0,ABS(N164-E164-O164),0)),2)</f>
        <v>0</v>
      </c>
    </row>
    <row r="165" customFormat="false" ht="15" hidden="false" customHeight="true" outlineLevel="0" collapsed="false">
      <c r="A165" s="12" t="s">
        <v>491</v>
      </c>
      <c r="B165" s="12" t="str">
        <f aca="false">січень!B165</f>
        <v>Копасова Л.Б.</v>
      </c>
      <c r="C165" s="12" t="s">
        <v>493</v>
      </c>
      <c r="D165" s="14" t="n">
        <f aca="false">січень!P165</f>
        <v>202.54</v>
      </c>
      <c r="E165" s="14" t="n">
        <f aca="false">січень!Q165</f>
        <v>0</v>
      </c>
      <c r="F165" s="13" t="n">
        <f aca="false">січень!F165</f>
        <v>0</v>
      </c>
      <c r="G165" s="13" t="n">
        <f aca="false">січень!G165</f>
        <v>49.4</v>
      </c>
      <c r="H165" s="13" t="n">
        <f aca="false">січень!H165</f>
        <v>0</v>
      </c>
      <c r="I165" s="13" t="n">
        <f aca="false">січень!I165</f>
        <v>4.1</v>
      </c>
      <c r="J165" s="14" t="n">
        <f aca="false">ROUND(G165*I165,2)</f>
        <v>202.54</v>
      </c>
      <c r="K165" s="14"/>
      <c r="L165" s="14"/>
      <c r="M165" s="14"/>
      <c r="N165" s="14" t="n">
        <f aca="false">ROUND((G165*I165)-K165-L165-M165,2)</f>
        <v>202.54</v>
      </c>
      <c r="O165" s="14"/>
      <c r="P165" s="14" t="n">
        <f aca="false">ROUND(IF(D165=0,IF((N165-E165-O165)&gt;0,(N165-E165-O165),0),IF((D165+N165-O165)&gt;0,(D165+N165-O165),0)),2)</f>
        <v>405.08</v>
      </c>
      <c r="Q165" s="14" t="n">
        <f aca="false">ROUND(IF(E165=0,IF((D165+N165-O165)&lt;0,ABS(D165+N165-O165),0),IF((N165-E165-O165)&lt;0,ABS(N165-E165-O165),0)),2)</f>
        <v>0</v>
      </c>
    </row>
    <row r="166" customFormat="false" ht="15" hidden="false" customHeight="true" outlineLevel="0" collapsed="false">
      <c r="A166" s="12" t="s">
        <v>494</v>
      </c>
      <c r="B166" s="12" t="str">
        <f aca="false">січень!B166</f>
        <v>Киричинська Г.Я.</v>
      </c>
      <c r="C166" s="12" t="s">
        <v>496</v>
      </c>
      <c r="D166" s="14" t="n">
        <f aca="false">січень!P166</f>
        <v>3769.06</v>
      </c>
      <c r="E166" s="14" t="n">
        <f aca="false">січень!Q166</f>
        <v>0</v>
      </c>
      <c r="F166" s="13" t="n">
        <f aca="false">січень!F166</f>
        <v>0</v>
      </c>
      <c r="G166" s="13" t="n">
        <f aca="false">січень!G166</f>
        <v>35.1</v>
      </c>
      <c r="H166" s="13" t="n">
        <f aca="false">січень!H166</f>
        <v>0</v>
      </c>
      <c r="I166" s="13" t="n">
        <f aca="false">січень!I166</f>
        <v>4.1</v>
      </c>
      <c r="J166" s="14" t="n">
        <f aca="false">ROUND(G166*I166,2)</f>
        <v>143.91</v>
      </c>
      <c r="K166" s="14"/>
      <c r="L166" s="14"/>
      <c r="M166" s="14"/>
      <c r="N166" s="14" t="n">
        <f aca="false">ROUND((G166*I166)-K166-L166-M166,2)</f>
        <v>143.91</v>
      </c>
      <c r="O166" s="14"/>
      <c r="P166" s="14" t="n">
        <f aca="false">ROUND(IF(D166=0,IF((N166-E166-O166)&gt;0,(N166-E166-O166),0),IF((D166+N166-O166)&gt;0,(D166+N166-O166),0)),2)</f>
        <v>3912.97</v>
      </c>
      <c r="Q166" s="14" t="n">
        <f aca="false">ROUND(IF(E166=0,IF((D166+N166-O166)&lt;0,ABS(D166+N166-O166),0),IF((N166-E166-O166)&lt;0,ABS(N166-E166-O166),0)),2)</f>
        <v>0</v>
      </c>
    </row>
    <row r="167" customFormat="false" ht="15" hidden="false" customHeight="true" outlineLevel="0" collapsed="false">
      <c r="A167" s="12" t="s">
        <v>497</v>
      </c>
      <c r="B167" s="12" t="str">
        <f aca="false">січень!B167</f>
        <v>Бутрій К.В.</v>
      </c>
      <c r="C167" s="12" t="s">
        <v>499</v>
      </c>
      <c r="D167" s="14" t="n">
        <f aca="false">січень!P167</f>
        <v>1346.72</v>
      </c>
      <c r="E167" s="14" t="n">
        <f aca="false">січень!Q167</f>
        <v>0</v>
      </c>
      <c r="F167" s="13" t="n">
        <f aca="false">січень!F167</f>
        <v>0</v>
      </c>
      <c r="G167" s="13" t="n">
        <f aca="false">січень!G167</f>
        <v>62.4</v>
      </c>
      <c r="H167" s="13" t="n">
        <f aca="false">січень!H167</f>
        <v>0</v>
      </c>
      <c r="I167" s="13" t="n">
        <f aca="false">січень!I167</f>
        <v>4.1</v>
      </c>
      <c r="J167" s="14" t="n">
        <f aca="false">ROUND(G167*I167,2)</f>
        <v>255.84</v>
      </c>
      <c r="K167" s="14"/>
      <c r="L167" s="14"/>
      <c r="M167" s="14"/>
      <c r="N167" s="14" t="n">
        <f aca="false">ROUND((G167*I167)-K167-L167-M167,2)</f>
        <v>255.84</v>
      </c>
      <c r="O167" s="14"/>
      <c r="P167" s="14" t="n">
        <f aca="false">ROUND(IF(D167=0,IF((N167-E167-O167)&gt;0,(N167-E167-O167),0),IF((D167+N167-O167)&gt;0,(D167+N167-O167),0)),2)</f>
        <v>1602.56</v>
      </c>
      <c r="Q167" s="14" t="n">
        <f aca="false">ROUND(IF(E167=0,IF((D167+N167-O167)&lt;0,ABS(D167+N167-O167),0),IF((N167-E167-O167)&lt;0,ABS(N167-E167-O167),0)),2)</f>
        <v>0</v>
      </c>
    </row>
    <row r="168" customFormat="false" ht="15" hidden="false" customHeight="true" outlineLevel="0" collapsed="false">
      <c r="A168" s="12" t="s">
        <v>500</v>
      </c>
      <c r="B168" s="12" t="str">
        <f aca="false">січень!B168</f>
        <v>Кузьома Г.І.</v>
      </c>
      <c r="C168" s="12" t="s">
        <v>502</v>
      </c>
      <c r="D168" s="14" t="n">
        <f aca="false">січень!P168</f>
        <v>268.55</v>
      </c>
      <c r="E168" s="14" t="n">
        <f aca="false">січень!Q168</f>
        <v>0</v>
      </c>
      <c r="F168" s="13" t="n">
        <f aca="false">січень!F168</f>
        <v>0</v>
      </c>
      <c r="G168" s="13" t="n">
        <f aca="false">січень!G168</f>
        <v>65.5</v>
      </c>
      <c r="H168" s="13" t="n">
        <f aca="false">січень!H168</f>
        <v>0</v>
      </c>
      <c r="I168" s="13" t="n">
        <f aca="false">січень!I168</f>
        <v>4.1</v>
      </c>
      <c r="J168" s="14" t="n">
        <f aca="false">ROUND(G168*I168,2)</f>
        <v>268.55</v>
      </c>
      <c r="K168" s="14"/>
      <c r="L168" s="14"/>
      <c r="M168" s="14"/>
      <c r="N168" s="14" t="n">
        <f aca="false">ROUND((G168*I168)-K168-L168-M168,2)</f>
        <v>268.55</v>
      </c>
      <c r="O168" s="14"/>
      <c r="P168" s="14" t="n">
        <f aca="false">ROUND(IF(D168=0,IF((N168-E168-O168)&gt;0,(N168-E168-O168),0),IF((D168+N168-O168)&gt;0,(D168+N168-O168),0)),2)</f>
        <v>537.1</v>
      </c>
      <c r="Q168" s="14" t="n">
        <f aca="false">ROUND(IF(E168=0,IF((D168+N168-O168)&lt;0,ABS(D168+N168-O168),0),IF((N168-E168-O168)&lt;0,ABS(N168-E168-O168),0)),2)</f>
        <v>0</v>
      </c>
    </row>
    <row r="169" customFormat="false" ht="15" hidden="false" customHeight="true" outlineLevel="0" collapsed="false">
      <c r="A169" s="12" t="s">
        <v>503</v>
      </c>
      <c r="B169" s="12" t="str">
        <f aca="false">січень!B169</f>
        <v>Павленко В.М.</v>
      </c>
      <c r="C169" s="12" t="s">
        <v>505</v>
      </c>
      <c r="D169" s="14" t="n">
        <f aca="false">січень!P169</f>
        <v>409.5</v>
      </c>
      <c r="E169" s="14" t="n">
        <f aca="false">січень!Q169</f>
        <v>0</v>
      </c>
      <c r="F169" s="13" t="n">
        <f aca="false">січень!F169</f>
        <v>0</v>
      </c>
      <c r="G169" s="13" t="n">
        <f aca="false">січень!G169</f>
        <v>49.94</v>
      </c>
      <c r="H169" s="13" t="n">
        <f aca="false">січень!H169</f>
        <v>0</v>
      </c>
      <c r="I169" s="13" t="n">
        <f aca="false">січень!I169</f>
        <v>4.1</v>
      </c>
      <c r="J169" s="14" t="n">
        <f aca="false">ROUND(G169*I169,2)</f>
        <v>204.75</v>
      </c>
      <c r="K169" s="14"/>
      <c r="L169" s="14"/>
      <c r="M169" s="14"/>
      <c r="N169" s="14" t="n">
        <f aca="false">ROUND((G169*I169)-K169-L169-M169,2)</f>
        <v>204.75</v>
      </c>
      <c r="O169" s="14"/>
      <c r="P169" s="14" t="n">
        <f aca="false">ROUND(IF(D169=0,IF((N169-E169-O169)&gt;0,(N169-E169-O169),0),IF((D169+N169-O169)&gt;0,(D169+N169-O169),0)),2)</f>
        <v>614.25</v>
      </c>
      <c r="Q169" s="14" t="n">
        <f aca="false">ROUND(IF(E169=0,IF((D169+N169-O169)&lt;0,ABS(D169+N169-O169),0),IF((N169-E169-O169)&lt;0,ABS(N169-E169-O169),0)),2)</f>
        <v>0</v>
      </c>
    </row>
    <row r="170" customFormat="false" ht="15" hidden="false" customHeight="true" outlineLevel="0" collapsed="false">
      <c r="A170" s="12" t="s">
        <v>506</v>
      </c>
      <c r="B170" s="12" t="str">
        <f aca="false">січень!B170</f>
        <v>Качуровська С.А.</v>
      </c>
      <c r="C170" s="12" t="s">
        <v>508</v>
      </c>
      <c r="D170" s="14" t="n">
        <f aca="false">січень!P170</f>
        <v>143.5</v>
      </c>
      <c r="E170" s="14" t="n">
        <f aca="false">січень!Q170</f>
        <v>0</v>
      </c>
      <c r="F170" s="13" t="n">
        <f aca="false">січень!F170</f>
        <v>0</v>
      </c>
      <c r="G170" s="13" t="n">
        <f aca="false">січень!G170</f>
        <v>35</v>
      </c>
      <c r="H170" s="13" t="n">
        <f aca="false">січень!H170</f>
        <v>0</v>
      </c>
      <c r="I170" s="13" t="n">
        <f aca="false">січень!I170</f>
        <v>4.1</v>
      </c>
      <c r="J170" s="14" t="n">
        <f aca="false">ROUND(G170*I170,2)</f>
        <v>143.5</v>
      </c>
      <c r="K170" s="14"/>
      <c r="L170" s="14"/>
      <c r="M170" s="14"/>
      <c r="N170" s="14" t="n">
        <f aca="false">ROUND((G170*I170)-K170-L170-M170,2)</f>
        <v>143.5</v>
      </c>
      <c r="O170" s="14"/>
      <c r="P170" s="14" t="n">
        <f aca="false">ROUND(IF(D170=0,IF((N170-E170-O170)&gt;0,(N170-E170-O170),0),IF((D170+N170-O170)&gt;0,(D170+N170-O170),0)),2)</f>
        <v>287</v>
      </c>
      <c r="Q170" s="14" t="n">
        <f aca="false">ROUND(IF(E170=0,IF((D170+N170-O170)&lt;0,ABS(D170+N170-O170),0),IF((N170-E170-O170)&lt;0,ABS(N170-E170-O170),0)),2)</f>
        <v>0</v>
      </c>
    </row>
    <row r="171" customFormat="false" ht="15" hidden="false" customHeight="true" outlineLevel="0" collapsed="false">
      <c r="A171" s="12" t="s">
        <v>509</v>
      </c>
      <c r="B171" s="12" t="str">
        <f aca="false">січень!B171</f>
        <v>Білецький Б.Г.</v>
      </c>
      <c r="C171" s="12" t="s">
        <v>511</v>
      </c>
      <c r="D171" s="14" t="n">
        <f aca="false">січень!P171</f>
        <v>255.68</v>
      </c>
      <c r="E171" s="14" t="n">
        <f aca="false">січень!Q171</f>
        <v>0</v>
      </c>
      <c r="F171" s="13" t="n">
        <f aca="false">січень!F171</f>
        <v>0</v>
      </c>
      <c r="G171" s="13" t="n">
        <f aca="false">січень!G171</f>
        <v>62.36</v>
      </c>
      <c r="H171" s="13" t="n">
        <f aca="false">січень!H171</f>
        <v>0</v>
      </c>
      <c r="I171" s="13" t="n">
        <f aca="false">січень!I171</f>
        <v>4.1</v>
      </c>
      <c r="J171" s="14" t="n">
        <f aca="false">ROUND(G171*I171,2)</f>
        <v>255.68</v>
      </c>
      <c r="K171" s="14"/>
      <c r="L171" s="14"/>
      <c r="M171" s="14"/>
      <c r="N171" s="14" t="n">
        <f aca="false">ROUND((G171*I171)-K171-L171-M171,2)</f>
        <v>255.68</v>
      </c>
      <c r="O171" s="14"/>
      <c r="P171" s="14" t="n">
        <f aca="false">ROUND(IF(D171=0,IF((N171-E171-O171)&gt;0,(N171-E171-O171),0),IF((D171+N171-O171)&gt;0,(D171+N171-O171),0)),2)</f>
        <v>511.36</v>
      </c>
      <c r="Q171" s="14" t="n">
        <f aca="false">ROUND(IF(E171=0,IF((D171+N171-O171)&lt;0,ABS(D171+N171-O171),0),IF((N171-E171-O171)&lt;0,ABS(N171-E171-O171),0)),2)</f>
        <v>0</v>
      </c>
    </row>
    <row r="172" customFormat="false" ht="15" hidden="false" customHeight="true" outlineLevel="0" collapsed="false">
      <c r="A172" s="12" t="s">
        <v>512</v>
      </c>
      <c r="B172" s="12" t="str">
        <f aca="false">січень!B172</f>
        <v>Кузнєцова В.В.</v>
      </c>
      <c r="C172" s="12" t="s">
        <v>514</v>
      </c>
      <c r="D172" s="14" t="n">
        <f aca="false">січень!P172</f>
        <v>8072.48</v>
      </c>
      <c r="E172" s="14" t="n">
        <f aca="false">січень!Q172</f>
        <v>0</v>
      </c>
      <c r="F172" s="13" t="n">
        <f aca="false">січень!F172</f>
        <v>0</v>
      </c>
      <c r="G172" s="13" t="n">
        <f aca="false">січень!G172</f>
        <v>65.63</v>
      </c>
      <c r="H172" s="13" t="n">
        <f aca="false">січень!H172</f>
        <v>0</v>
      </c>
      <c r="I172" s="13" t="n">
        <f aca="false">січень!I172</f>
        <v>4.1</v>
      </c>
      <c r="J172" s="14" t="n">
        <f aca="false">ROUND(G172*I172,2)</f>
        <v>269.08</v>
      </c>
      <c r="K172" s="14"/>
      <c r="L172" s="14"/>
      <c r="M172" s="14"/>
      <c r="N172" s="14" t="n">
        <f aca="false">ROUND((G172*I172)-K172-L172-M172,2)</f>
        <v>269.08</v>
      </c>
      <c r="O172" s="14"/>
      <c r="P172" s="14" t="n">
        <f aca="false">ROUND(IF(D172=0,IF((N172-E172-O172)&gt;0,(N172-E172-O172),0),IF((D172+N172-O172)&gt;0,(D172+N172-O172),0)),2)</f>
        <v>8341.56</v>
      </c>
      <c r="Q172" s="14" t="n">
        <f aca="false">ROUND(IF(E172=0,IF((D172+N172-O172)&lt;0,ABS(D172+N172-O172),0),IF((N172-E172-O172)&lt;0,ABS(N172-E172-O172),0)),2)</f>
        <v>0</v>
      </c>
    </row>
    <row r="173" customFormat="false" ht="15" hidden="false" customHeight="true" outlineLevel="0" collapsed="false">
      <c r="A173" s="12" t="s">
        <v>515</v>
      </c>
      <c r="B173" s="12" t="str">
        <f aca="false">січень!B173</f>
        <v>Сидоренко Б.Й.</v>
      </c>
      <c r="C173" s="12" t="s">
        <v>517</v>
      </c>
      <c r="D173" s="14" t="n">
        <f aca="false">січень!P173</f>
        <v>16382.33</v>
      </c>
      <c r="E173" s="14" t="n">
        <f aca="false">січень!Q173</f>
        <v>0</v>
      </c>
      <c r="F173" s="13" t="n">
        <f aca="false">січень!F173</f>
        <v>0</v>
      </c>
      <c r="G173" s="13" t="n">
        <f aca="false">січень!G173</f>
        <v>49.8</v>
      </c>
      <c r="H173" s="13" t="n">
        <f aca="false">січень!H173</f>
        <v>0</v>
      </c>
      <c r="I173" s="13" t="n">
        <f aca="false">січень!I173</f>
        <v>4.1</v>
      </c>
      <c r="J173" s="14" t="n">
        <f aca="false">ROUND(G173*I173,2)</f>
        <v>204.18</v>
      </c>
      <c r="K173" s="14"/>
      <c r="L173" s="14"/>
      <c r="M173" s="14"/>
      <c r="N173" s="14" t="n">
        <f aca="false">ROUND((G173*I173)-K173-L173-M173,2)</f>
        <v>204.18</v>
      </c>
      <c r="O173" s="14"/>
      <c r="P173" s="14" t="n">
        <f aca="false">ROUND(IF(D173=0,IF((N173-E173-O173)&gt;0,(N173-E173-O173),0),IF((D173+N173-O173)&gt;0,(D173+N173-O173),0)),2)</f>
        <v>16586.51</v>
      </c>
      <c r="Q173" s="14" t="n">
        <f aca="false">ROUND(IF(E173=0,IF((D173+N173-O173)&lt;0,ABS(D173+N173-O173),0),IF((N173-E173-O173)&lt;0,ABS(N173-E173-O173),0)),2)</f>
        <v>0</v>
      </c>
    </row>
    <row r="174" customFormat="false" ht="15" hidden="false" customHeight="true" outlineLevel="0" collapsed="false">
      <c r="A174" s="12" t="s">
        <v>518</v>
      </c>
      <c r="B174" s="12" t="str">
        <f aca="false">січень!B174</f>
        <v>Кузнєцова О.А.</v>
      </c>
      <c r="C174" s="12" t="s">
        <v>520</v>
      </c>
      <c r="D174" s="14" t="n">
        <f aca="false">січень!P174</f>
        <v>4161.5</v>
      </c>
      <c r="E174" s="14" t="n">
        <f aca="false">січень!Q174</f>
        <v>0</v>
      </c>
      <c r="F174" s="13" t="n">
        <f aca="false">січень!F174</f>
        <v>0</v>
      </c>
      <c r="G174" s="13" t="n">
        <f aca="false">січень!G174</f>
        <v>35</v>
      </c>
      <c r="H174" s="13" t="n">
        <f aca="false">січень!H174</f>
        <v>0</v>
      </c>
      <c r="I174" s="13" t="n">
        <f aca="false">січень!I174</f>
        <v>4.1</v>
      </c>
      <c r="J174" s="14" t="n">
        <f aca="false">ROUND(G174*I174,2)</f>
        <v>143.5</v>
      </c>
      <c r="K174" s="14"/>
      <c r="L174" s="14"/>
      <c r="M174" s="14"/>
      <c r="N174" s="14" t="n">
        <f aca="false">ROUND((G174*I174)-K174-L174-M174,2)</f>
        <v>143.5</v>
      </c>
      <c r="O174" s="14"/>
      <c r="P174" s="14" t="n">
        <f aca="false">ROUND(IF(D174=0,IF((N174-E174-O174)&gt;0,(N174-E174-O174),0),IF((D174+N174-O174)&gt;0,(D174+N174-O174),0)),2)</f>
        <v>4305</v>
      </c>
      <c r="Q174" s="14" t="n">
        <f aca="false">ROUND(IF(E174=0,IF((D174+N174-O174)&lt;0,ABS(D174+N174-O174),0),IF((N174-E174-O174)&lt;0,ABS(N174-E174-O174),0)),2)</f>
        <v>0</v>
      </c>
    </row>
    <row r="175" customFormat="false" ht="15" hidden="false" customHeight="true" outlineLevel="0" collapsed="false">
      <c r="A175" s="12" t="s">
        <v>521</v>
      </c>
      <c r="B175" s="12" t="str">
        <f aca="false">січень!B175</f>
        <v>Васильєва О.Г.</v>
      </c>
      <c r="C175" s="12" t="s">
        <v>523</v>
      </c>
      <c r="D175" s="14" t="n">
        <f aca="false">січень!P175</f>
        <v>2354.67</v>
      </c>
      <c r="E175" s="14" t="n">
        <f aca="false">січень!Q175</f>
        <v>0</v>
      </c>
      <c r="F175" s="13" t="n">
        <f aca="false">січень!F175</f>
        <v>0</v>
      </c>
      <c r="G175" s="13" t="n">
        <f aca="false">січень!G175</f>
        <v>61.7</v>
      </c>
      <c r="H175" s="13" t="n">
        <f aca="false">січень!H175</f>
        <v>0</v>
      </c>
      <c r="I175" s="13" t="n">
        <f aca="false">січень!I175</f>
        <v>4.1</v>
      </c>
      <c r="J175" s="14" t="n">
        <f aca="false">ROUND(G175*I175,2)</f>
        <v>252.97</v>
      </c>
      <c r="K175" s="14"/>
      <c r="L175" s="14"/>
      <c r="M175" s="14"/>
      <c r="N175" s="14" t="n">
        <f aca="false">ROUND((G175*I175)-K175-L175-M175,2)</f>
        <v>252.97</v>
      </c>
      <c r="O175" s="14"/>
      <c r="P175" s="14" t="n">
        <f aca="false">ROUND(IF(D175=0,IF((N175-E175-O175)&gt;0,(N175-E175-O175),0),IF((D175+N175-O175)&gt;0,(D175+N175-O175),0)),2)</f>
        <v>2607.64</v>
      </c>
      <c r="Q175" s="14" t="n">
        <f aca="false">ROUND(IF(E175=0,IF((D175+N175-O175)&lt;0,ABS(D175+N175-O175),0),IF((N175-E175-O175)&lt;0,ABS(N175-E175-O175),0)),2)</f>
        <v>0</v>
      </c>
    </row>
    <row r="176" customFormat="false" ht="15" hidden="false" customHeight="true" outlineLevel="0" collapsed="false">
      <c r="A176" s="12" t="s">
        <v>524</v>
      </c>
      <c r="B176" s="12" t="str">
        <f aca="false">січень!B176</f>
        <v>Кудінова Л.М.</v>
      </c>
      <c r="C176" s="12" t="s">
        <v>526</v>
      </c>
      <c r="D176" s="14" t="n">
        <f aca="false">січень!P176</f>
        <v>537.76</v>
      </c>
      <c r="E176" s="14" t="n">
        <f aca="false">січень!Q176</f>
        <v>0</v>
      </c>
      <c r="F176" s="13" t="n">
        <f aca="false">січень!F176</f>
        <v>0</v>
      </c>
      <c r="G176" s="13" t="n">
        <f aca="false">січень!G176</f>
        <v>65.58</v>
      </c>
      <c r="H176" s="13" t="n">
        <f aca="false">січень!H176</f>
        <v>0</v>
      </c>
      <c r="I176" s="13" t="n">
        <f aca="false">січень!I176</f>
        <v>4.1</v>
      </c>
      <c r="J176" s="14" t="n">
        <f aca="false">ROUND(G176*I176,2)</f>
        <v>268.88</v>
      </c>
      <c r="K176" s="14"/>
      <c r="L176" s="14"/>
      <c r="M176" s="14"/>
      <c r="N176" s="14" t="n">
        <f aca="false">ROUND((G176*I176)-K176-L176-M176,2)</f>
        <v>268.88</v>
      </c>
      <c r="O176" s="14"/>
      <c r="P176" s="14" t="n">
        <f aca="false">ROUND(IF(D176=0,IF((N176-E176-O176)&gt;0,(N176-E176-O176),0),IF((D176+N176-O176)&gt;0,(D176+N176-O176),0)),2)</f>
        <v>806.64</v>
      </c>
      <c r="Q176" s="14" t="n">
        <f aca="false">ROUND(IF(E176=0,IF((D176+N176-O176)&lt;0,ABS(D176+N176-O176),0),IF((N176-E176-O176)&lt;0,ABS(N176-E176-O176),0)),2)</f>
        <v>0</v>
      </c>
    </row>
    <row r="177" customFormat="false" ht="15" hidden="false" customHeight="true" outlineLevel="0" collapsed="false">
      <c r="A177" s="12" t="s">
        <v>527</v>
      </c>
      <c r="B177" s="12" t="str">
        <f aca="false">січень!B177</f>
        <v>Спільний І.В.</v>
      </c>
      <c r="C177" s="12" t="s">
        <v>529</v>
      </c>
      <c r="D177" s="14" t="n">
        <f aca="false">січень!P177</f>
        <v>202.95</v>
      </c>
      <c r="E177" s="14" t="n">
        <f aca="false">січень!Q177</f>
        <v>0</v>
      </c>
      <c r="F177" s="13" t="n">
        <f aca="false">січень!F177</f>
        <v>0</v>
      </c>
      <c r="G177" s="13" t="n">
        <f aca="false">січень!G177</f>
        <v>49.5</v>
      </c>
      <c r="H177" s="13" t="n">
        <f aca="false">січень!H177</f>
        <v>0</v>
      </c>
      <c r="I177" s="13" t="n">
        <f aca="false">січень!I177</f>
        <v>4.1</v>
      </c>
      <c r="J177" s="14" t="n">
        <f aca="false">ROUND(G177*I177,2)</f>
        <v>202.95</v>
      </c>
      <c r="K177" s="14"/>
      <c r="L177" s="14"/>
      <c r="M177" s="14"/>
      <c r="N177" s="14" t="n">
        <f aca="false">ROUND((G177*I177)-K177-L177-M177,2)</f>
        <v>202.95</v>
      </c>
      <c r="O177" s="14"/>
      <c r="P177" s="14" t="n">
        <f aca="false">ROUND(IF(D177=0,IF((N177-E177-O177)&gt;0,(N177-E177-O177),0),IF((D177+N177-O177)&gt;0,(D177+N177-O177),0)),2)</f>
        <v>405.9</v>
      </c>
      <c r="Q177" s="14" t="n">
        <f aca="false">ROUND(IF(E177=0,IF((D177+N177-O177)&lt;0,ABS(D177+N177-O177),0),IF((N177-E177-O177)&lt;0,ABS(N177-E177-O177),0)),2)</f>
        <v>0</v>
      </c>
    </row>
    <row r="178" customFormat="false" ht="15" hidden="false" customHeight="true" outlineLevel="0" collapsed="false">
      <c r="A178" s="12" t="s">
        <v>530</v>
      </c>
      <c r="B178" s="12" t="str">
        <f aca="false">січень!B178</f>
        <v>Кружаліна Т.А.</v>
      </c>
      <c r="C178" s="12" t="s">
        <v>532</v>
      </c>
      <c r="D178" s="14" t="n">
        <f aca="false">січень!P178</f>
        <v>143.91</v>
      </c>
      <c r="E178" s="14" t="n">
        <f aca="false">січень!Q178</f>
        <v>0</v>
      </c>
      <c r="F178" s="13" t="n">
        <f aca="false">січень!F178</f>
        <v>0</v>
      </c>
      <c r="G178" s="13" t="n">
        <f aca="false">січень!G178</f>
        <v>35.1</v>
      </c>
      <c r="H178" s="13" t="n">
        <f aca="false">січень!H178</f>
        <v>0</v>
      </c>
      <c r="I178" s="13" t="n">
        <f aca="false">січень!I178</f>
        <v>4.1</v>
      </c>
      <c r="J178" s="14" t="n">
        <f aca="false">ROUND(G178*I178,2)</f>
        <v>143.91</v>
      </c>
      <c r="K178" s="14"/>
      <c r="L178" s="14"/>
      <c r="M178" s="14"/>
      <c r="N178" s="14" t="n">
        <f aca="false">ROUND((G178*I178)-K178-L178-M178,2)</f>
        <v>143.91</v>
      </c>
      <c r="O178" s="14"/>
      <c r="P178" s="14" t="n">
        <f aca="false">ROUND(IF(D178=0,IF((N178-E178-O178)&gt;0,(N178-E178-O178),0),IF((D178+N178-O178)&gt;0,(D178+N178-O178),0)),2)</f>
        <v>287.82</v>
      </c>
      <c r="Q178" s="14" t="n">
        <f aca="false">ROUND(IF(E178=0,IF((D178+N178-O178)&lt;0,ABS(D178+N178-O178),0),IF((N178-E178-O178)&lt;0,ABS(N178-E178-O178),0)),2)</f>
        <v>0</v>
      </c>
    </row>
    <row r="179" customFormat="false" ht="15" hidden="false" customHeight="true" outlineLevel="0" collapsed="false">
      <c r="A179" s="12" t="s">
        <v>533</v>
      </c>
      <c r="B179" s="12" t="str">
        <f aca="false">січень!B179</f>
        <v>Григоренко Н.Е.</v>
      </c>
      <c r="C179" s="12" t="s">
        <v>535</v>
      </c>
      <c r="D179" s="14" t="n">
        <f aca="false">січень!P179</f>
        <v>257.93</v>
      </c>
      <c r="E179" s="14" t="n">
        <f aca="false">січень!Q179</f>
        <v>0</v>
      </c>
      <c r="F179" s="13" t="n">
        <f aca="false">січень!F179</f>
        <v>0</v>
      </c>
      <c r="G179" s="13" t="n">
        <f aca="false">січень!G179</f>
        <v>62.91</v>
      </c>
      <c r="H179" s="13" t="n">
        <f aca="false">січень!H179</f>
        <v>0</v>
      </c>
      <c r="I179" s="13" t="n">
        <f aca="false">січень!I179</f>
        <v>4.1</v>
      </c>
      <c r="J179" s="14" t="n">
        <f aca="false">ROUND(G179*I179,2)</f>
        <v>257.93</v>
      </c>
      <c r="K179" s="14"/>
      <c r="L179" s="14"/>
      <c r="M179" s="14"/>
      <c r="N179" s="14" t="n">
        <f aca="false">ROUND((G179*I179)-K179-L179-M179,2)</f>
        <v>257.93</v>
      </c>
      <c r="O179" s="14"/>
      <c r="P179" s="14" t="n">
        <f aca="false">ROUND(IF(D179=0,IF((N179-E179-O179)&gt;0,(N179-E179-O179),0),IF((D179+N179-O179)&gt;0,(D179+N179-O179),0)),2)</f>
        <v>515.86</v>
      </c>
      <c r="Q179" s="14" t="n">
        <f aca="false">ROUND(IF(E179=0,IF((D179+N179-O179)&lt;0,ABS(D179+N179-O179),0),IF((N179-E179-O179)&lt;0,ABS(N179-E179-O179),0)),2)</f>
        <v>0</v>
      </c>
    </row>
    <row r="180" customFormat="false" ht="15" hidden="false" customHeight="true" outlineLevel="0" collapsed="false">
      <c r="A180" s="12" t="s">
        <v>536</v>
      </c>
      <c r="B180" s="12" t="str">
        <f aca="false">січень!B180</f>
        <v>Бондарчук В.В.</v>
      </c>
      <c r="C180" s="12" t="s">
        <v>538</v>
      </c>
      <c r="D180" s="14" t="n">
        <f aca="false">січень!P180</f>
        <v>270.72</v>
      </c>
      <c r="E180" s="14" t="n">
        <f aca="false">січень!Q180</f>
        <v>0</v>
      </c>
      <c r="F180" s="13" t="n">
        <f aca="false">січень!F180</f>
        <v>0</v>
      </c>
      <c r="G180" s="13" t="n">
        <f aca="false">січень!G180</f>
        <v>66.03</v>
      </c>
      <c r="H180" s="13" t="n">
        <f aca="false">січень!H180</f>
        <v>0</v>
      </c>
      <c r="I180" s="13" t="n">
        <f aca="false">січень!I180</f>
        <v>4.1</v>
      </c>
      <c r="J180" s="14" t="n">
        <f aca="false">ROUND(G180*I180,2)</f>
        <v>270.72</v>
      </c>
      <c r="K180" s="14"/>
      <c r="L180" s="14"/>
      <c r="M180" s="14"/>
      <c r="N180" s="14" t="n">
        <f aca="false">ROUND((G180*I180)-K180-L180-M180,2)</f>
        <v>270.72</v>
      </c>
      <c r="O180" s="14"/>
      <c r="P180" s="14" t="n">
        <f aca="false">ROUND(IF(D180=0,IF((N180-E180-O180)&gt;0,(N180-E180-O180),0),IF((D180+N180-O180)&gt;0,(D180+N180-O180),0)),2)</f>
        <v>541.44</v>
      </c>
      <c r="Q180" s="14" t="n">
        <f aca="false">ROUND(IF(E180=0,IF((D180+N180-O180)&lt;0,ABS(D180+N180-O180),0),IF((N180-E180-O180)&lt;0,ABS(N180-E180-O180),0)),2)</f>
        <v>0</v>
      </c>
    </row>
    <row r="181" customFormat="false" ht="15" hidden="false" customHeight="true" outlineLevel="0" collapsed="false">
      <c r="A181" s="12" t="s">
        <v>539</v>
      </c>
      <c r="B181" s="12" t="str">
        <f aca="false">січень!B181</f>
        <v>Рябініна Н.І.</v>
      </c>
      <c r="C181" s="12" t="s">
        <v>541</v>
      </c>
      <c r="D181" s="14" t="n">
        <f aca="false">січень!P181</f>
        <v>38.55</v>
      </c>
      <c r="E181" s="14" t="n">
        <f aca="false">січень!Q181</f>
        <v>0</v>
      </c>
      <c r="F181" s="13" t="n">
        <f aca="false">січень!F181</f>
        <v>0</v>
      </c>
      <c r="G181" s="13" t="n">
        <f aca="false">січень!G181</f>
        <v>49.9</v>
      </c>
      <c r="H181" s="13" t="n">
        <f aca="false">січень!H181</f>
        <v>0</v>
      </c>
      <c r="I181" s="13" t="n">
        <f aca="false">січень!I181</f>
        <v>4.1</v>
      </c>
      <c r="J181" s="14" t="n">
        <f aca="false">ROUND(G181*I181,2)</f>
        <v>204.59</v>
      </c>
      <c r="K181" s="14"/>
      <c r="L181" s="14"/>
      <c r="M181" s="14"/>
      <c r="N181" s="14" t="n">
        <f aca="false">ROUND((G181*I181)-K181-L181-M181,2)</f>
        <v>204.59</v>
      </c>
      <c r="O181" s="14"/>
      <c r="P181" s="14" t="n">
        <f aca="false">ROUND(IF(D181=0,IF((N181-E181-O181)&gt;0,(N181-E181-O181),0),IF((D181+N181-O181)&gt;0,(D181+N181-O181),0)),2)</f>
        <v>243.14</v>
      </c>
      <c r="Q181" s="14" t="n">
        <f aca="false">ROUND(IF(E181=0,IF((D181+N181-O181)&lt;0,ABS(D181+N181-O181),0),IF((N181-E181-O181)&lt;0,ABS(N181-E181-O181),0)),2)</f>
        <v>0</v>
      </c>
    </row>
    <row r="182" customFormat="false" ht="15" hidden="false" customHeight="true" outlineLevel="0" collapsed="false">
      <c r="A182" s="12" t="s">
        <v>542</v>
      </c>
      <c r="B182" s="12" t="str">
        <f aca="false">січень!B182</f>
        <v>Шапіро В.І.</v>
      </c>
      <c r="C182" s="12" t="s">
        <v>544</v>
      </c>
      <c r="D182" s="14" t="n">
        <f aca="false">січень!P182</f>
        <v>143.17</v>
      </c>
      <c r="E182" s="14" t="n">
        <f aca="false">січень!Q182</f>
        <v>0</v>
      </c>
      <c r="F182" s="13" t="n">
        <f aca="false">січень!F182</f>
        <v>0</v>
      </c>
      <c r="G182" s="13" t="n">
        <f aca="false">січень!G182</f>
        <v>34.92</v>
      </c>
      <c r="H182" s="13" t="n">
        <f aca="false">січень!H182</f>
        <v>0</v>
      </c>
      <c r="I182" s="13" t="n">
        <f aca="false">січень!I182</f>
        <v>4.1</v>
      </c>
      <c r="J182" s="14" t="n">
        <f aca="false">ROUND(G182*I182,2)</f>
        <v>143.17</v>
      </c>
      <c r="K182" s="14"/>
      <c r="L182" s="14"/>
      <c r="M182" s="14"/>
      <c r="N182" s="14" t="n">
        <f aca="false">ROUND((G182*I182)-K182-L182-M182,2)</f>
        <v>143.17</v>
      </c>
      <c r="O182" s="14"/>
      <c r="P182" s="14" t="n">
        <f aca="false">ROUND(IF(D182=0,IF((N182-E182-O182)&gt;0,(N182-E182-O182),0),IF((D182+N182-O182)&gt;0,(D182+N182-O182),0)),2)</f>
        <v>286.34</v>
      </c>
      <c r="Q182" s="14" t="n">
        <f aca="false">ROUND(IF(E182=0,IF((D182+N182-O182)&lt;0,ABS(D182+N182-O182),0),IF((N182-E182-O182)&lt;0,ABS(N182-E182-O182),0)),2)</f>
        <v>0</v>
      </c>
    </row>
    <row r="183" customFormat="false" ht="15" hidden="false" customHeight="true" outlineLevel="0" collapsed="false">
      <c r="A183" s="12" t="s">
        <v>545</v>
      </c>
      <c r="B183" s="12" t="str">
        <f aca="false">січень!B183</f>
        <v>Крамаренко О.О.</v>
      </c>
      <c r="C183" s="12" t="s">
        <v>547</v>
      </c>
      <c r="D183" s="14" t="n">
        <f aca="false">січень!P183</f>
        <v>253.83</v>
      </c>
      <c r="E183" s="14" t="n">
        <f aca="false">січень!Q183</f>
        <v>0</v>
      </c>
      <c r="F183" s="13" t="n">
        <f aca="false">січень!F183</f>
        <v>0</v>
      </c>
      <c r="G183" s="13" t="n">
        <f aca="false">січень!G183</f>
        <v>61.91</v>
      </c>
      <c r="H183" s="13" t="n">
        <f aca="false">січень!H183</f>
        <v>0</v>
      </c>
      <c r="I183" s="13" t="n">
        <f aca="false">січень!I183</f>
        <v>4.1</v>
      </c>
      <c r="J183" s="14" t="n">
        <f aca="false">ROUND(G183*I183,2)</f>
        <v>253.83</v>
      </c>
      <c r="K183" s="14"/>
      <c r="L183" s="14"/>
      <c r="M183" s="14"/>
      <c r="N183" s="14" t="n">
        <f aca="false">ROUND((G183*I183)-K183-L183-M183,2)</f>
        <v>253.83</v>
      </c>
      <c r="O183" s="14"/>
      <c r="P183" s="14" t="n">
        <f aca="false">ROUND(IF(D183=0,IF((N183-E183-O183)&gt;0,(N183-E183-O183),0),IF((D183+N183-O183)&gt;0,(D183+N183-O183),0)),2)</f>
        <v>507.66</v>
      </c>
      <c r="Q183" s="14" t="n">
        <f aca="false">ROUND(IF(E183=0,IF((D183+N183-O183)&lt;0,ABS(D183+N183-O183),0),IF((N183-E183-O183)&lt;0,ABS(N183-E183-O183),0)),2)</f>
        <v>0</v>
      </c>
    </row>
    <row r="184" customFormat="false" ht="15" hidden="false" customHeight="true" outlineLevel="0" collapsed="false">
      <c r="A184" s="12" t="s">
        <v>548</v>
      </c>
      <c r="B184" s="12" t="str">
        <f aca="false">січень!B184</f>
        <v>Свиридов В.Ф.</v>
      </c>
      <c r="C184" s="12" t="s">
        <v>550</v>
      </c>
      <c r="D184" s="14" t="n">
        <f aca="false">січень!P184</f>
        <v>12341.23</v>
      </c>
      <c r="E184" s="14" t="n">
        <f aca="false">січень!Q184</f>
        <v>0</v>
      </c>
      <c r="F184" s="13" t="n">
        <f aca="false">січень!F184</f>
        <v>0</v>
      </c>
      <c r="G184" s="13" t="n">
        <f aca="false">січень!G184</f>
        <v>65.15</v>
      </c>
      <c r="H184" s="13" t="n">
        <f aca="false">січень!H184</f>
        <v>0</v>
      </c>
      <c r="I184" s="13" t="n">
        <f aca="false">січень!I184</f>
        <v>4.1</v>
      </c>
      <c r="J184" s="14" t="n">
        <f aca="false">ROUND(G184*I184,2)</f>
        <v>267.12</v>
      </c>
      <c r="K184" s="14"/>
      <c r="L184" s="14"/>
      <c r="M184" s="14"/>
      <c r="N184" s="14" t="n">
        <f aca="false">ROUND((G184*I184)-K184-L184-M184,2)</f>
        <v>267.12</v>
      </c>
      <c r="O184" s="14"/>
      <c r="P184" s="14" t="n">
        <f aca="false">ROUND(IF(D184=0,IF((N184-E184-O184)&gt;0,(N184-E184-O184),0),IF((D184+N184-O184)&gt;0,(D184+N184-O184),0)),2)</f>
        <v>12608.35</v>
      </c>
      <c r="Q184" s="14" t="n">
        <f aca="false">ROUND(IF(E184=0,IF((D184+N184-O184)&lt;0,ABS(D184+N184-O184),0),IF((N184-E184-O184)&lt;0,ABS(N184-E184-O184),0)),2)</f>
        <v>0</v>
      </c>
    </row>
    <row r="185" customFormat="false" ht="15" hidden="false" customHeight="true" outlineLevel="0" collapsed="false">
      <c r="A185" s="12" t="s">
        <v>551</v>
      </c>
      <c r="B185" s="12" t="str">
        <f aca="false">січень!B185</f>
        <v>Домацький В.А.</v>
      </c>
      <c r="C185" s="12" t="s">
        <v>553</v>
      </c>
      <c r="D185" s="14" t="n">
        <f aca="false">січень!P185</f>
        <v>205</v>
      </c>
      <c r="E185" s="14" t="n">
        <f aca="false">січень!Q185</f>
        <v>0</v>
      </c>
      <c r="F185" s="13" t="n">
        <f aca="false">січень!F185</f>
        <v>0</v>
      </c>
      <c r="G185" s="13" t="n">
        <f aca="false">січень!G185</f>
        <v>50</v>
      </c>
      <c r="H185" s="13" t="n">
        <f aca="false">січень!H185</f>
        <v>0</v>
      </c>
      <c r="I185" s="13" t="n">
        <f aca="false">січень!I185</f>
        <v>4.1</v>
      </c>
      <c r="J185" s="14" t="n">
        <f aca="false">ROUND(G185*I185,2)</f>
        <v>205</v>
      </c>
      <c r="K185" s="14"/>
      <c r="L185" s="14"/>
      <c r="M185" s="14"/>
      <c r="N185" s="14" t="n">
        <f aca="false">ROUND((G185*I185)-K185-L185-M185,2)</f>
        <v>205</v>
      </c>
      <c r="O185" s="14"/>
      <c r="P185" s="14" t="n">
        <f aca="false">ROUND(IF(D185=0,IF((N185-E185-O185)&gt;0,(N185-E185-O185),0),IF((D185+N185-O185)&gt;0,(D185+N185-O185),0)),2)</f>
        <v>410</v>
      </c>
      <c r="Q185" s="14" t="n">
        <f aca="false">ROUND(IF(E185=0,IF((D185+N185-O185)&lt;0,ABS(D185+N185-O185),0),IF((N185-E185-O185)&lt;0,ABS(N185-E185-O185),0)),2)</f>
        <v>0</v>
      </c>
    </row>
    <row r="186" customFormat="false" ht="15" hidden="false" customHeight="true" outlineLevel="0" collapsed="false">
      <c r="A186" s="12" t="s">
        <v>554</v>
      </c>
      <c r="B186" s="12" t="str">
        <f aca="false">січень!B186</f>
        <v>Шаповалова І.А.</v>
      </c>
      <c r="C186" s="12" t="s">
        <v>556</v>
      </c>
      <c r="D186" s="14" t="n">
        <f aca="false">січень!P186</f>
        <v>6331.32</v>
      </c>
      <c r="E186" s="14" t="n">
        <f aca="false">січень!Q186</f>
        <v>0</v>
      </c>
      <c r="F186" s="13" t="n">
        <f aca="false">січень!F186</f>
        <v>0</v>
      </c>
      <c r="G186" s="13" t="n">
        <f aca="false">січень!G186</f>
        <v>35.1</v>
      </c>
      <c r="H186" s="13" t="n">
        <f aca="false">січень!H186</f>
        <v>0</v>
      </c>
      <c r="I186" s="13" t="n">
        <f aca="false">січень!I186</f>
        <v>4.1</v>
      </c>
      <c r="J186" s="14" t="n">
        <f aca="false">ROUND(G186*I186,2)</f>
        <v>143.91</v>
      </c>
      <c r="K186" s="14"/>
      <c r="L186" s="14"/>
      <c r="M186" s="14"/>
      <c r="N186" s="14" t="n">
        <f aca="false">ROUND((G186*I186)-K186-L186-M186,2)</f>
        <v>143.91</v>
      </c>
      <c r="O186" s="14"/>
      <c r="P186" s="14" t="n">
        <f aca="false">ROUND(IF(D186=0,IF((N186-E186-O186)&gt;0,(N186-E186-O186),0),IF((D186+N186-O186)&gt;0,(D186+N186-O186),0)),2)</f>
        <v>6475.23</v>
      </c>
      <c r="Q186" s="14" t="n">
        <f aca="false">ROUND(IF(E186=0,IF((D186+N186-O186)&lt;0,ABS(D186+N186-O186),0),IF((N186-E186-O186)&lt;0,ABS(N186-E186-O186),0)),2)</f>
        <v>0</v>
      </c>
    </row>
    <row r="187" customFormat="false" ht="15" hidden="false" customHeight="true" outlineLevel="0" collapsed="false">
      <c r="A187" s="12" t="s">
        <v>557</v>
      </c>
      <c r="B187" s="12" t="str">
        <f aca="false">січень!B187</f>
        <v>Кононенко О.В.</v>
      </c>
      <c r="C187" s="12" t="s">
        <v>559</v>
      </c>
      <c r="D187" s="14" t="n">
        <f aca="false">січень!P187</f>
        <v>1752.6</v>
      </c>
      <c r="E187" s="14" t="n">
        <f aca="false">січень!Q187</f>
        <v>0</v>
      </c>
      <c r="F187" s="13" t="n">
        <f aca="false">січень!F187</f>
        <v>0</v>
      </c>
      <c r="G187" s="13" t="n">
        <f aca="false">січень!G187</f>
        <v>61.8</v>
      </c>
      <c r="H187" s="13" t="n">
        <f aca="false">січень!H187</f>
        <v>0</v>
      </c>
      <c r="I187" s="13" t="n">
        <f aca="false">січень!I187</f>
        <v>4.1</v>
      </c>
      <c r="J187" s="14" t="n">
        <f aca="false">ROUND(G187*I187,2)</f>
        <v>253.38</v>
      </c>
      <c r="K187" s="14"/>
      <c r="L187" s="14"/>
      <c r="M187" s="14"/>
      <c r="N187" s="14" t="n">
        <f aca="false">ROUND((G187*I187)-K187-L187-M187,2)</f>
        <v>253.38</v>
      </c>
      <c r="O187" s="14"/>
      <c r="P187" s="14" t="n">
        <f aca="false">ROUND(IF(D187=0,IF((N187-E187-O187)&gt;0,(N187-E187-O187),0),IF((D187+N187-O187)&gt;0,(D187+N187-O187),0)),2)</f>
        <v>2005.98</v>
      </c>
      <c r="Q187" s="14" t="n">
        <f aca="false">ROUND(IF(E187=0,IF((D187+N187-O187)&lt;0,ABS(D187+N187-O187),0),IF((N187-E187-O187)&lt;0,ABS(N187-E187-O187),0)),2)</f>
        <v>0</v>
      </c>
    </row>
    <row r="188" customFormat="false" ht="15" hidden="false" customHeight="true" outlineLevel="0" collapsed="false">
      <c r="A188" s="12" t="s">
        <v>560</v>
      </c>
      <c r="B188" s="12" t="str">
        <f aca="false">січень!B188</f>
        <v>Овчаренко Т.І.</v>
      </c>
      <c r="C188" s="12" t="s">
        <v>562</v>
      </c>
      <c r="D188" s="14" t="n">
        <f aca="false">січень!P188</f>
        <v>291.35</v>
      </c>
      <c r="E188" s="14" t="n">
        <f aca="false">січень!Q188</f>
        <v>0</v>
      </c>
      <c r="F188" s="13" t="n">
        <f aca="false">січень!F188</f>
        <v>0</v>
      </c>
      <c r="G188" s="13" t="n">
        <f aca="false">січень!G188</f>
        <v>71.06</v>
      </c>
      <c r="H188" s="13" t="n">
        <f aca="false">січень!H188</f>
        <v>0</v>
      </c>
      <c r="I188" s="13" t="n">
        <f aca="false">січень!I188</f>
        <v>4.1</v>
      </c>
      <c r="J188" s="14" t="n">
        <f aca="false">ROUND(G188*I188,2)</f>
        <v>291.35</v>
      </c>
      <c r="K188" s="14"/>
      <c r="L188" s="14"/>
      <c r="M188" s="14"/>
      <c r="N188" s="14" t="n">
        <f aca="false">ROUND((G188*I188)-K188-L188-M188,2)</f>
        <v>291.35</v>
      </c>
      <c r="O188" s="14"/>
      <c r="P188" s="14" t="n">
        <f aca="false">ROUND(IF(D188=0,IF((N188-E188-O188)&gt;0,(N188-E188-O188),0),IF((D188+N188-O188)&gt;0,(D188+N188-O188),0)),2)</f>
        <v>582.7</v>
      </c>
      <c r="Q188" s="14" t="n">
        <f aca="false">ROUND(IF(E188=0,IF((D188+N188-O188)&lt;0,ABS(D188+N188-O188),0),IF((N188-E188-O188)&lt;0,ABS(N188-E188-O188),0)),2)</f>
        <v>0</v>
      </c>
    </row>
    <row r="189" customFormat="false" ht="15" hidden="false" customHeight="true" outlineLevel="0" collapsed="false">
      <c r="A189" s="12" t="s">
        <v>563</v>
      </c>
      <c r="B189" s="12" t="str">
        <f aca="false">січень!B189</f>
        <v>Попукайло О.Г.</v>
      </c>
      <c r="C189" s="12" t="s">
        <v>565</v>
      </c>
      <c r="D189" s="14" t="n">
        <f aca="false">січень!P189</f>
        <v>4956.24</v>
      </c>
      <c r="E189" s="14" t="n">
        <f aca="false">січень!Q189</f>
        <v>0</v>
      </c>
      <c r="F189" s="13" t="n">
        <f aca="false">січень!F189</f>
        <v>0</v>
      </c>
      <c r="G189" s="13" t="n">
        <f aca="false">січень!G189</f>
        <v>49.15</v>
      </c>
      <c r="H189" s="13" t="n">
        <f aca="false">січень!H189</f>
        <v>0</v>
      </c>
      <c r="I189" s="13" t="n">
        <f aca="false">січень!I189</f>
        <v>4.1</v>
      </c>
      <c r="J189" s="14" t="n">
        <f aca="false">ROUND(G189*I189,2)</f>
        <v>201.52</v>
      </c>
      <c r="K189" s="14"/>
      <c r="L189" s="14"/>
      <c r="M189" s="14"/>
      <c r="N189" s="14" t="n">
        <f aca="false">ROUND((G189*I189)-K189-L189-M189,2)</f>
        <v>201.52</v>
      </c>
      <c r="O189" s="14"/>
      <c r="P189" s="14" t="n">
        <f aca="false">ROUND(IF(D189=0,IF((N189-E189-O189)&gt;0,(N189-E189-O189),0),IF((D189+N189-O189)&gt;0,(D189+N189-O189),0)),2)</f>
        <v>5157.76</v>
      </c>
      <c r="Q189" s="14" t="n">
        <f aca="false">ROUND(IF(E189=0,IF((D189+N189-O189)&lt;0,ABS(D189+N189-O189),0),IF((N189-E189-O189)&lt;0,ABS(N189-E189-O189),0)),2)</f>
        <v>0</v>
      </c>
    </row>
    <row r="190" customFormat="false" ht="15" hidden="false" customHeight="true" outlineLevel="0" collapsed="false">
      <c r="A190" s="12" t="s">
        <v>566</v>
      </c>
      <c r="B190" s="12" t="str">
        <f aca="false">січень!B190</f>
        <v>Онищенко А.В.</v>
      </c>
      <c r="C190" s="12" t="s">
        <v>568</v>
      </c>
      <c r="D190" s="14" t="n">
        <f aca="false">січень!P190</f>
        <v>6391.53</v>
      </c>
      <c r="E190" s="14" t="n">
        <f aca="false">січень!Q190</f>
        <v>0</v>
      </c>
      <c r="F190" s="13" t="n">
        <f aca="false">січень!F190</f>
        <v>0</v>
      </c>
      <c r="G190" s="13" t="n">
        <f aca="false">січень!G190</f>
        <v>53.72</v>
      </c>
      <c r="H190" s="13" t="n">
        <f aca="false">січень!H190</f>
        <v>0</v>
      </c>
      <c r="I190" s="13" t="n">
        <f aca="false">січень!I190</f>
        <v>4.1</v>
      </c>
      <c r="J190" s="14" t="n">
        <f aca="false">ROUND(G190*I190,2)</f>
        <v>220.25</v>
      </c>
      <c r="K190" s="14"/>
      <c r="L190" s="14"/>
      <c r="M190" s="14"/>
      <c r="N190" s="14" t="n">
        <f aca="false">ROUND((G190*I190)-K190-L190-M190,2)</f>
        <v>220.25</v>
      </c>
      <c r="O190" s="14"/>
      <c r="P190" s="14" t="n">
        <f aca="false">ROUND(IF(D190=0,IF((N190-E190-O190)&gt;0,(N190-E190-O190),0),IF((D190+N190-O190)&gt;0,(D190+N190-O190),0)),2)</f>
        <v>6611.78</v>
      </c>
      <c r="Q190" s="14" t="n">
        <f aca="false">ROUND(IF(E190=0,IF((D190+N190-O190)&lt;0,ABS(D190+N190-O190),0),IF((N190-E190-O190)&lt;0,ABS(N190-E190-O190),0)),2)</f>
        <v>0</v>
      </c>
    </row>
    <row r="191" customFormat="false" ht="15" hidden="false" customHeight="true" outlineLevel="0" collapsed="false">
      <c r="A191" s="12" t="s">
        <v>569</v>
      </c>
      <c r="B191" s="12" t="str">
        <f aca="false">січень!B191</f>
        <v>Соколова О.О.</v>
      </c>
      <c r="C191" s="12" t="s">
        <v>571</v>
      </c>
      <c r="D191" s="14" t="n">
        <f aca="false">січень!P191</f>
        <v>565.56</v>
      </c>
      <c r="E191" s="14" t="n">
        <f aca="false">січень!Q191</f>
        <v>0</v>
      </c>
      <c r="F191" s="13" t="n">
        <f aca="false">січень!F191</f>
        <v>0</v>
      </c>
      <c r="G191" s="13" t="n">
        <f aca="false">січень!G191</f>
        <v>68.97</v>
      </c>
      <c r="H191" s="13" t="n">
        <f aca="false">січень!H191</f>
        <v>0</v>
      </c>
      <c r="I191" s="13" t="n">
        <f aca="false">січень!I191</f>
        <v>4.1</v>
      </c>
      <c r="J191" s="14" t="n">
        <f aca="false">ROUND(G191*I191,2)</f>
        <v>282.78</v>
      </c>
      <c r="K191" s="14"/>
      <c r="L191" s="14"/>
      <c r="M191" s="14"/>
      <c r="N191" s="14" t="n">
        <f aca="false">ROUND((G191*I191)-K191-L191-M191,2)</f>
        <v>282.78</v>
      </c>
      <c r="O191" s="14"/>
      <c r="P191" s="14" t="n">
        <f aca="false">ROUND(IF(D191=0,IF((N191-E191-O191)&gt;0,(N191-E191-O191),0),IF((D191+N191-O191)&gt;0,(D191+N191-O191),0)),2)</f>
        <v>848.34</v>
      </c>
      <c r="Q191" s="14" t="n">
        <f aca="false">ROUND(IF(E191=0,IF((D191+N191-O191)&lt;0,ABS(D191+N191-O191),0),IF((N191-E191-O191)&lt;0,ABS(N191-E191-O191),0)),2)</f>
        <v>0</v>
      </c>
    </row>
    <row r="192" customFormat="false" ht="15" hidden="false" customHeight="true" outlineLevel="0" collapsed="false">
      <c r="A192" s="12" t="s">
        <v>572</v>
      </c>
      <c r="B192" s="12" t="str">
        <f aca="false">січень!B192</f>
        <v>Ільіна В.П.</v>
      </c>
      <c r="C192" s="12" t="s">
        <v>574</v>
      </c>
      <c r="D192" s="14" t="n">
        <f aca="false">січень!P192</f>
        <v>8226.58</v>
      </c>
      <c r="E192" s="14" t="n">
        <f aca="false">січень!Q192</f>
        <v>0</v>
      </c>
      <c r="F192" s="13" t="n">
        <f aca="false">січень!F192</f>
        <v>0</v>
      </c>
      <c r="G192" s="13" t="n">
        <f aca="false">січень!G192</f>
        <v>49.86</v>
      </c>
      <c r="H192" s="13" t="n">
        <f aca="false">січень!H192</f>
        <v>0</v>
      </c>
      <c r="I192" s="13" t="n">
        <f aca="false">січень!I192</f>
        <v>4.1</v>
      </c>
      <c r="J192" s="14" t="n">
        <f aca="false">ROUND(G192*I192,2)</f>
        <v>204.43</v>
      </c>
      <c r="K192" s="14"/>
      <c r="L192" s="14"/>
      <c r="M192" s="14"/>
      <c r="N192" s="14" t="n">
        <f aca="false">ROUND((G192*I192)-K192-L192-M192,2)</f>
        <v>204.43</v>
      </c>
      <c r="O192" s="14"/>
      <c r="P192" s="14" t="n">
        <f aca="false">ROUND(IF(D192=0,IF((N192-E192-O192)&gt;0,(N192-E192-O192),0),IF((D192+N192-O192)&gt;0,(D192+N192-O192),0)),2)</f>
        <v>8431.01</v>
      </c>
      <c r="Q192" s="14" t="n">
        <f aca="false">ROUND(IF(E192=0,IF((D192+N192-O192)&lt;0,ABS(D192+N192-O192),0),IF((N192-E192-O192)&lt;0,ABS(N192-E192-O192),0)),2)</f>
        <v>0</v>
      </c>
    </row>
    <row r="193" customFormat="false" ht="15" hidden="false" customHeight="true" outlineLevel="0" collapsed="false">
      <c r="A193" s="12" t="s">
        <v>575</v>
      </c>
      <c r="B193" s="12" t="str">
        <f aca="false">січень!B193</f>
        <v>Чешок Г.К.</v>
      </c>
      <c r="C193" s="12" t="s">
        <v>577</v>
      </c>
      <c r="D193" s="14" t="n">
        <f aca="false">січень!P193</f>
        <v>12135.98</v>
      </c>
      <c r="E193" s="14" t="n">
        <f aca="false">січень!Q193</f>
        <v>0</v>
      </c>
      <c r="F193" s="13" t="n">
        <f aca="false">січень!F193</f>
        <v>0</v>
      </c>
      <c r="G193" s="13" t="n">
        <f aca="false">січень!G193</f>
        <v>60.86</v>
      </c>
      <c r="H193" s="13" t="n">
        <f aca="false">січень!H193</f>
        <v>0</v>
      </c>
      <c r="I193" s="13" t="n">
        <f aca="false">січень!I193</f>
        <v>4.1</v>
      </c>
      <c r="J193" s="14" t="n">
        <f aca="false">ROUND(G193*I193,2)</f>
        <v>249.53</v>
      </c>
      <c r="K193" s="14"/>
      <c r="L193" s="14"/>
      <c r="M193" s="14"/>
      <c r="N193" s="14" t="n">
        <f aca="false">ROUND((G193*I193)-K193-L193-M193,2)</f>
        <v>249.53</v>
      </c>
      <c r="O193" s="14"/>
      <c r="P193" s="14" t="n">
        <f aca="false">ROUND(IF(D193=0,IF((N193-E193-O193)&gt;0,(N193-E193-O193),0),IF((D193+N193-O193)&gt;0,(D193+N193-O193),0)),2)</f>
        <v>12385.51</v>
      </c>
      <c r="Q193" s="14" t="n">
        <f aca="false">ROUND(IF(E193=0,IF((D193+N193-O193)&lt;0,ABS(D193+N193-O193),0),IF((N193-E193-O193)&lt;0,ABS(N193-E193-O193),0)),2)</f>
        <v>0</v>
      </c>
    </row>
    <row r="194" customFormat="false" ht="15" hidden="false" customHeight="true" outlineLevel="0" collapsed="false">
      <c r="A194" s="12" t="s">
        <v>578</v>
      </c>
      <c r="B194" s="12" t="str">
        <f aca="false">січень!B194</f>
        <v>Бердников В.А.</v>
      </c>
      <c r="C194" s="12" t="s">
        <v>580</v>
      </c>
      <c r="D194" s="14" t="n">
        <f aca="false">січень!P194</f>
        <v>8645.79</v>
      </c>
      <c r="E194" s="14" t="n">
        <f aca="false">січень!Q194</f>
        <v>0</v>
      </c>
      <c r="F194" s="13" t="n">
        <f aca="false">січень!F194</f>
        <v>0</v>
      </c>
      <c r="G194" s="13" t="n">
        <f aca="false">січень!G194</f>
        <v>66.75</v>
      </c>
      <c r="H194" s="13" t="n">
        <f aca="false">січень!H194</f>
        <v>0</v>
      </c>
      <c r="I194" s="13" t="n">
        <f aca="false">січень!I194</f>
        <v>4.1</v>
      </c>
      <c r="J194" s="14" t="n">
        <f aca="false">ROUND(G194*I194,2)</f>
        <v>273.68</v>
      </c>
      <c r="K194" s="14"/>
      <c r="L194" s="14"/>
      <c r="M194" s="14"/>
      <c r="N194" s="14" t="n">
        <f aca="false">ROUND((G194*I194)-K194-L194-M194,2)</f>
        <v>273.68</v>
      </c>
      <c r="O194" s="14"/>
      <c r="P194" s="14" t="n">
        <f aca="false">ROUND(IF(D194=0,IF((N194-E194-O194)&gt;0,(N194-E194-O194),0),IF((D194+N194-O194)&gt;0,(D194+N194-O194),0)),2)</f>
        <v>8919.47</v>
      </c>
      <c r="Q194" s="14" t="n">
        <f aca="false">ROUND(IF(E194=0,IF((D194+N194-O194)&lt;0,ABS(D194+N194-O194),0),IF((N194-E194-O194)&lt;0,ABS(N194-E194-O194),0)),2)</f>
        <v>0</v>
      </c>
    </row>
    <row r="195" customFormat="false" ht="15" hidden="false" customHeight="true" outlineLevel="0" collapsed="false">
      <c r="A195" s="12" t="s">
        <v>581</v>
      </c>
      <c r="B195" s="12" t="str">
        <f aca="false">січень!B195</f>
        <v>Щербак Н.В.</v>
      </c>
      <c r="C195" s="12" t="s">
        <v>583</v>
      </c>
      <c r="D195" s="14" t="n">
        <f aca="false">січень!P195</f>
        <v>13374.35</v>
      </c>
      <c r="E195" s="14" t="n">
        <f aca="false">січень!Q195</f>
        <v>0</v>
      </c>
      <c r="F195" s="13" t="n">
        <f aca="false">січень!F195</f>
        <v>0</v>
      </c>
      <c r="G195" s="13" t="n">
        <f aca="false">січень!G195</f>
        <v>72.49</v>
      </c>
      <c r="H195" s="13" t="n">
        <f aca="false">січень!H195</f>
        <v>0</v>
      </c>
      <c r="I195" s="13" t="n">
        <f aca="false">січень!I195</f>
        <v>4.1</v>
      </c>
      <c r="J195" s="14" t="n">
        <f aca="false">ROUND(G195*I195,2)</f>
        <v>297.21</v>
      </c>
      <c r="K195" s="14"/>
      <c r="L195" s="14"/>
      <c r="M195" s="14"/>
      <c r="N195" s="14" t="n">
        <f aca="false">ROUND((G195*I195)-K195-L195-M195,2)</f>
        <v>297.21</v>
      </c>
      <c r="O195" s="14"/>
      <c r="P195" s="14" t="n">
        <f aca="false">ROUND(IF(D195=0,IF((N195-E195-O195)&gt;0,(N195-E195-O195),0),IF((D195+N195-O195)&gt;0,(D195+N195-O195),0)),2)</f>
        <v>13671.56</v>
      </c>
      <c r="Q195" s="14" t="n">
        <f aca="false">ROUND(IF(E195=0,IF((D195+N195-O195)&lt;0,ABS(D195+N195-O195),0),IF((N195-E195-O195)&lt;0,ABS(N195-E195-O195),0)),2)</f>
        <v>0</v>
      </c>
    </row>
    <row r="196" customFormat="false" ht="15" hidden="false" customHeight="true" outlineLevel="0" collapsed="false">
      <c r="A196" s="12" t="s">
        <v>584</v>
      </c>
      <c r="B196" s="12" t="str">
        <f aca="false">січень!B196</f>
        <v>Рожков Ю.М.</v>
      </c>
      <c r="C196" s="12" t="s">
        <v>586</v>
      </c>
      <c r="D196" s="14" t="n">
        <f aca="false">січень!P196</f>
        <v>146.36</v>
      </c>
      <c r="E196" s="14" t="n">
        <f aca="false">січень!Q196</f>
        <v>0</v>
      </c>
      <c r="F196" s="13" t="n">
        <f aca="false">січень!F196</f>
        <v>0</v>
      </c>
      <c r="G196" s="13" t="n">
        <f aca="false">січень!G196</f>
        <v>49.8</v>
      </c>
      <c r="H196" s="13" t="n">
        <f aca="false">січень!H196</f>
        <v>0</v>
      </c>
      <c r="I196" s="13" t="n">
        <f aca="false">січень!I196</f>
        <v>4.1</v>
      </c>
      <c r="J196" s="14" t="n">
        <f aca="false">ROUND(G196*I196,2)</f>
        <v>204.18</v>
      </c>
      <c r="K196" s="14"/>
      <c r="L196" s="14"/>
      <c r="M196" s="14"/>
      <c r="N196" s="14" t="n">
        <f aca="false">ROUND((G196*I196)-K196-L196-M196,2)</f>
        <v>204.18</v>
      </c>
      <c r="O196" s="14"/>
      <c r="P196" s="14" t="n">
        <f aca="false">ROUND(IF(D196=0,IF((N196-E196-O196)&gt;0,(N196-E196-O196),0),IF((D196+N196-O196)&gt;0,(D196+N196-O196),0)),2)</f>
        <v>350.54</v>
      </c>
      <c r="Q196" s="14" t="n">
        <f aca="false">ROUND(IF(E196=0,IF((D196+N196-O196)&lt;0,ABS(D196+N196-O196),0),IF((N196-E196-O196)&lt;0,ABS(N196-E196-O196),0)),2)</f>
        <v>0</v>
      </c>
    </row>
    <row r="197" customFormat="false" ht="15" hidden="false" customHeight="true" outlineLevel="0" collapsed="false">
      <c r="A197" s="12" t="s">
        <v>587</v>
      </c>
      <c r="B197" s="12" t="str">
        <f aca="false">січень!B197</f>
        <v>Кобець В.В.</v>
      </c>
      <c r="C197" s="12" t="s">
        <v>589</v>
      </c>
      <c r="D197" s="14" t="n">
        <f aca="false">січень!P197</f>
        <v>7494.95</v>
      </c>
      <c r="E197" s="14" t="n">
        <f aca="false">січень!Q197</f>
        <v>0</v>
      </c>
      <c r="F197" s="13" t="n">
        <f aca="false">січень!F197</f>
        <v>0</v>
      </c>
      <c r="G197" s="13" t="n">
        <f aca="false">січень!G197</f>
        <v>62.36</v>
      </c>
      <c r="H197" s="13" t="n">
        <f aca="false">січень!H197</f>
        <v>0</v>
      </c>
      <c r="I197" s="13" t="n">
        <f aca="false">січень!I197</f>
        <v>4.1</v>
      </c>
      <c r="J197" s="14" t="n">
        <f aca="false">ROUND(G197*I197,2)</f>
        <v>255.68</v>
      </c>
      <c r="K197" s="14"/>
      <c r="L197" s="14"/>
      <c r="M197" s="14"/>
      <c r="N197" s="14" t="n">
        <f aca="false">ROUND((G197*I197)-K197-L197-M197,2)</f>
        <v>255.68</v>
      </c>
      <c r="O197" s="14"/>
      <c r="P197" s="14" t="n">
        <f aca="false">ROUND(IF(D197=0,IF((N197-E197-O197)&gt;0,(N197-E197-O197),0),IF((D197+N197-O197)&gt;0,(D197+N197-O197),0)),2)</f>
        <v>7750.63</v>
      </c>
      <c r="Q197" s="14" t="n">
        <f aca="false">ROUND(IF(E197=0,IF((D197+N197-O197)&lt;0,ABS(D197+N197-O197),0),IF((N197-E197-O197)&lt;0,ABS(N197-E197-O197),0)),2)</f>
        <v>0</v>
      </c>
    </row>
    <row r="198" customFormat="false" ht="15" hidden="false" customHeight="true" outlineLevel="0" collapsed="false">
      <c r="A198" s="12" t="s">
        <v>590</v>
      </c>
      <c r="B198" s="12" t="str">
        <f aca="false">січень!B198</f>
        <v>Щерба Л.О.</v>
      </c>
      <c r="C198" s="12" t="s">
        <v>592</v>
      </c>
      <c r="D198" s="14" t="n">
        <f aca="false">січень!P198</f>
        <v>280.85</v>
      </c>
      <c r="E198" s="14" t="n">
        <f aca="false">січень!Q198</f>
        <v>0</v>
      </c>
      <c r="F198" s="13" t="n">
        <f aca="false">січень!F198</f>
        <v>0</v>
      </c>
      <c r="G198" s="13" t="n">
        <f aca="false">січень!G198</f>
        <v>68.5</v>
      </c>
      <c r="H198" s="13" t="n">
        <f aca="false">січень!H198</f>
        <v>0</v>
      </c>
      <c r="I198" s="13" t="n">
        <f aca="false">січень!I198</f>
        <v>4.1</v>
      </c>
      <c r="J198" s="14" t="n">
        <f aca="false">ROUND(G198*I198,2)</f>
        <v>280.85</v>
      </c>
      <c r="K198" s="14"/>
      <c r="L198" s="14"/>
      <c r="M198" s="14"/>
      <c r="N198" s="14" t="n">
        <f aca="false">ROUND((G198*I198)-K198-L198-M198,2)</f>
        <v>280.85</v>
      </c>
      <c r="O198" s="14"/>
      <c r="P198" s="14" t="n">
        <f aca="false">ROUND(IF(D198=0,IF((N198-E198-O198)&gt;0,(N198-E198-O198),0),IF((D198+N198-O198)&gt;0,(D198+N198-O198),0)),2)</f>
        <v>561.7</v>
      </c>
      <c r="Q198" s="14" t="n">
        <f aca="false">ROUND(IF(E198=0,IF((D198+N198-O198)&lt;0,ABS(D198+N198-O198),0),IF((N198-E198-O198)&lt;0,ABS(N198-E198-O198),0)),2)</f>
        <v>0</v>
      </c>
    </row>
    <row r="199" customFormat="false" ht="15" hidden="false" customHeight="true" outlineLevel="0" collapsed="false">
      <c r="A199" s="12" t="s">
        <v>593</v>
      </c>
      <c r="B199" s="12" t="str">
        <f aca="false">січень!B199</f>
        <v>Сапунова І.В.</v>
      </c>
      <c r="C199" s="12" t="s">
        <v>595</v>
      </c>
      <c r="D199" s="14" t="n">
        <f aca="false">січень!P199</f>
        <v>11301.04</v>
      </c>
      <c r="E199" s="14" t="n">
        <f aca="false">січень!Q199</f>
        <v>0</v>
      </c>
      <c r="F199" s="13" t="n">
        <f aca="false">січень!F199</f>
        <v>0</v>
      </c>
      <c r="G199" s="13" t="n">
        <f aca="false">січень!G199</f>
        <v>70.42</v>
      </c>
      <c r="H199" s="13" t="n">
        <f aca="false">січень!H199</f>
        <v>0</v>
      </c>
      <c r="I199" s="13" t="n">
        <f aca="false">січень!I199</f>
        <v>4.1</v>
      </c>
      <c r="J199" s="14" t="n">
        <f aca="false">ROUND(G199*I199,2)</f>
        <v>288.72</v>
      </c>
      <c r="K199" s="14"/>
      <c r="L199" s="14"/>
      <c r="M199" s="14"/>
      <c r="N199" s="14" t="n">
        <f aca="false">ROUND((G199*I199)-K199-L199-M199,2)</f>
        <v>288.72</v>
      </c>
      <c r="O199" s="14"/>
      <c r="P199" s="14" t="n">
        <f aca="false">ROUND(IF(D199=0,IF((N199-E199-O199)&gt;0,(N199-E199-O199),0),IF((D199+N199-O199)&gt;0,(D199+N199-O199),0)),2)</f>
        <v>11589.76</v>
      </c>
      <c r="Q199" s="14" t="n">
        <f aca="false">ROUND(IF(E199=0,IF((D199+N199-O199)&lt;0,ABS(D199+N199-O199),0),IF((N199-E199-O199)&lt;0,ABS(N199-E199-O199),0)),2)</f>
        <v>0</v>
      </c>
    </row>
    <row r="200" customFormat="false" ht="15" hidden="false" customHeight="true" outlineLevel="0" collapsed="false">
      <c r="A200" s="12" t="s">
        <v>596</v>
      </c>
      <c r="B200" s="12" t="str">
        <f aca="false">січень!B200</f>
        <v>Саввідіс В.О.</v>
      </c>
      <c r="C200" s="12" t="s">
        <v>598</v>
      </c>
      <c r="D200" s="14" t="n">
        <f aca="false">січень!P200</f>
        <v>10282.51</v>
      </c>
      <c r="E200" s="14" t="n">
        <f aca="false">січень!Q200</f>
        <v>0</v>
      </c>
      <c r="F200" s="13" t="n">
        <f aca="false">січень!F200</f>
        <v>0</v>
      </c>
      <c r="G200" s="13" t="n">
        <f aca="false">січень!G200</f>
        <v>49.7</v>
      </c>
      <c r="H200" s="13" t="n">
        <f aca="false">січень!H200</f>
        <v>0</v>
      </c>
      <c r="I200" s="13" t="n">
        <f aca="false">січень!I200</f>
        <v>4.1</v>
      </c>
      <c r="J200" s="14" t="n">
        <f aca="false">ROUND(G200*I200,2)</f>
        <v>203.77</v>
      </c>
      <c r="K200" s="14"/>
      <c r="L200" s="14"/>
      <c r="M200" s="14"/>
      <c r="N200" s="14" t="n">
        <f aca="false">ROUND((G200*I200)-K200-L200-M200,2)</f>
        <v>203.77</v>
      </c>
      <c r="O200" s="14"/>
      <c r="P200" s="14" t="n">
        <f aca="false">ROUND(IF(D200=0,IF((N200-E200-O200)&gt;0,(N200-E200-O200),0),IF((D200+N200-O200)&gt;0,(D200+N200-O200),0)),2)</f>
        <v>10486.28</v>
      </c>
      <c r="Q200" s="14" t="n">
        <f aca="false">ROUND(IF(E200=0,IF((D200+N200-O200)&lt;0,ABS(D200+N200-O200),0),IF((N200-E200-O200)&lt;0,ABS(N200-E200-O200),0)),2)</f>
        <v>0</v>
      </c>
    </row>
    <row r="201" customFormat="false" ht="15" hidden="false" customHeight="true" outlineLevel="0" collapsed="false">
      <c r="A201" s="12" t="s">
        <v>599</v>
      </c>
      <c r="B201" s="12" t="str">
        <f aca="false">січень!B201</f>
        <v>Кашина Г.І.</v>
      </c>
      <c r="C201" s="12" t="s">
        <v>601</v>
      </c>
      <c r="D201" s="14" t="n">
        <f aca="false">січень!P201</f>
        <v>12319.68</v>
      </c>
      <c r="E201" s="14" t="n">
        <f aca="false">січень!Q201</f>
        <v>0</v>
      </c>
      <c r="F201" s="13" t="n">
        <f aca="false">січень!F201</f>
        <v>0</v>
      </c>
      <c r="G201" s="13" t="n">
        <f aca="false">січень!G201</f>
        <v>62.6</v>
      </c>
      <c r="H201" s="13" t="n">
        <f aca="false">січень!H201</f>
        <v>0</v>
      </c>
      <c r="I201" s="13" t="n">
        <f aca="false">січень!I201</f>
        <v>4.1</v>
      </c>
      <c r="J201" s="14" t="n">
        <f aca="false">ROUND(G201*I201,2)</f>
        <v>256.66</v>
      </c>
      <c r="K201" s="14"/>
      <c r="L201" s="14"/>
      <c r="M201" s="14"/>
      <c r="N201" s="14" t="n">
        <f aca="false">ROUND((G201*I201)-K201-L201-M201,2)</f>
        <v>256.66</v>
      </c>
      <c r="O201" s="14"/>
      <c r="P201" s="14" t="n">
        <f aca="false">ROUND(IF(D201=0,IF((N201-E201-O201)&gt;0,(N201-E201-O201),0),IF((D201+N201-O201)&gt;0,(D201+N201-O201),0)),2)</f>
        <v>12576.34</v>
      </c>
      <c r="Q201" s="14" t="n">
        <f aca="false">ROUND(IF(E201=0,IF((D201+N201-O201)&lt;0,ABS(D201+N201-O201),0),IF((N201-E201-O201)&lt;0,ABS(N201-E201-O201),0)),2)</f>
        <v>0</v>
      </c>
    </row>
    <row r="202" customFormat="false" ht="15" hidden="false" customHeight="true" outlineLevel="0" collapsed="false">
      <c r="A202" s="12" t="s">
        <v>602</v>
      </c>
      <c r="B202" s="12" t="str">
        <f aca="false">січень!B202</f>
        <v>Фадеєва Є.А.</v>
      </c>
      <c r="C202" s="12" t="s">
        <v>604</v>
      </c>
      <c r="D202" s="14" t="n">
        <f aca="false">січень!P202</f>
        <v>288.64</v>
      </c>
      <c r="E202" s="14" t="n">
        <f aca="false">січень!Q202</f>
        <v>0</v>
      </c>
      <c r="F202" s="13" t="n">
        <f aca="false">січень!F202</f>
        <v>0</v>
      </c>
      <c r="G202" s="13" t="n">
        <f aca="false">січень!G202</f>
        <v>70.4</v>
      </c>
      <c r="H202" s="13" t="n">
        <f aca="false">січень!H202</f>
        <v>0</v>
      </c>
      <c r="I202" s="13" t="n">
        <f aca="false">січень!I202</f>
        <v>4.1</v>
      </c>
      <c r="J202" s="14" t="n">
        <f aca="false">ROUND(G202*I202,2)</f>
        <v>288.64</v>
      </c>
      <c r="K202" s="14"/>
      <c r="L202" s="14"/>
      <c r="M202" s="14"/>
      <c r="N202" s="14" t="n">
        <f aca="false">ROUND((G202*I202)-K202-L202-M202,2)</f>
        <v>288.64</v>
      </c>
      <c r="O202" s="14"/>
      <c r="P202" s="14" t="n">
        <f aca="false">ROUND(IF(D202=0,IF((N202-E202-O202)&gt;0,(N202-E202-O202),0),IF((D202+N202-O202)&gt;0,(D202+N202-O202),0)),2)</f>
        <v>577.28</v>
      </c>
      <c r="Q202" s="14" t="n">
        <f aca="false">ROUND(IF(E202=0,IF((D202+N202-O202)&lt;0,ABS(D202+N202-O202),0),IF((N202-E202-O202)&lt;0,ABS(N202-E202-O202),0)),2)</f>
        <v>0</v>
      </c>
    </row>
    <row r="203" customFormat="false" ht="15" hidden="false" customHeight="true" outlineLevel="0" collapsed="false">
      <c r="A203" s="12" t="s">
        <v>605</v>
      </c>
      <c r="B203" s="12" t="str">
        <f aca="false">січень!B203</f>
        <v>Бойко О.А.</v>
      </c>
      <c r="C203" s="12" t="s">
        <v>607</v>
      </c>
      <c r="D203" s="14" t="n">
        <f aca="false">січень!P203</f>
        <v>287.82</v>
      </c>
      <c r="E203" s="14" t="n">
        <f aca="false">січень!Q203</f>
        <v>0</v>
      </c>
      <c r="F203" s="13" t="n">
        <f aca="false">січень!F203</f>
        <v>0</v>
      </c>
      <c r="G203" s="13" t="n">
        <f aca="false">січень!G203</f>
        <v>70.2</v>
      </c>
      <c r="H203" s="13" t="n">
        <f aca="false">січень!H203</f>
        <v>0</v>
      </c>
      <c r="I203" s="13" t="n">
        <f aca="false">січень!I203</f>
        <v>4.1</v>
      </c>
      <c r="J203" s="14" t="n">
        <f aca="false">ROUND(G203*I203,2)</f>
        <v>287.82</v>
      </c>
      <c r="K203" s="14"/>
      <c r="L203" s="14"/>
      <c r="M203" s="14"/>
      <c r="N203" s="14" t="n">
        <f aca="false">ROUND((G203*I203)-K203-L203-M203,2)</f>
        <v>287.82</v>
      </c>
      <c r="O203" s="14"/>
      <c r="P203" s="14" t="n">
        <f aca="false">ROUND(IF(D203=0,IF((N203-E203-O203)&gt;0,(N203-E203-O203),0),IF((D203+N203-O203)&gt;0,(D203+N203-O203),0)),2)</f>
        <v>575.64</v>
      </c>
      <c r="Q203" s="14" t="n">
        <f aca="false">ROUND(IF(E203=0,IF((D203+N203-O203)&lt;0,ABS(D203+N203-O203),0),IF((N203-E203-O203)&lt;0,ABS(N203-E203-O203),0)),2)</f>
        <v>0</v>
      </c>
    </row>
    <row r="204" customFormat="false" ht="15" hidden="false" customHeight="true" outlineLevel="0" collapsed="false">
      <c r="A204" s="12" t="s">
        <v>608</v>
      </c>
      <c r="B204" s="12" t="str">
        <f aca="false">січень!B204</f>
        <v>Дудник І.А.</v>
      </c>
      <c r="C204" s="12" t="s">
        <v>610</v>
      </c>
      <c r="D204" s="14" t="n">
        <f aca="false">січень!P204</f>
        <v>9265.02</v>
      </c>
      <c r="E204" s="14" t="n">
        <f aca="false">січень!Q204</f>
        <v>0</v>
      </c>
      <c r="F204" s="13" t="n">
        <f aca="false">січень!F204</f>
        <v>0</v>
      </c>
      <c r="G204" s="13" t="n">
        <f aca="false">січень!G204</f>
        <v>49.94</v>
      </c>
      <c r="H204" s="13" t="n">
        <f aca="false">січень!H204</f>
        <v>0</v>
      </c>
      <c r="I204" s="13" t="n">
        <f aca="false">січень!I204</f>
        <v>4.1</v>
      </c>
      <c r="J204" s="14" t="n">
        <f aca="false">ROUND(G204*I204,2)</f>
        <v>204.75</v>
      </c>
      <c r="K204" s="14"/>
      <c r="L204" s="14"/>
      <c r="M204" s="14"/>
      <c r="N204" s="14" t="n">
        <f aca="false">ROUND((G204*I204)-K204-L204-M204,2)</f>
        <v>204.75</v>
      </c>
      <c r="O204" s="14"/>
      <c r="P204" s="14" t="n">
        <f aca="false">ROUND(IF(D204=0,IF((N204-E204-O204)&gt;0,(N204-E204-O204),0),IF((D204+N204-O204)&gt;0,(D204+N204-O204),0)),2)</f>
        <v>9469.77</v>
      </c>
      <c r="Q204" s="14" t="n">
        <f aca="false">ROUND(IF(E204=0,IF((D204+N204-O204)&lt;0,ABS(D204+N204-O204),0),IF((N204-E204-O204)&lt;0,ABS(N204-E204-O204),0)),2)</f>
        <v>0</v>
      </c>
    </row>
    <row r="205" customFormat="false" ht="15" hidden="false" customHeight="true" outlineLevel="0" collapsed="false">
      <c r="A205" s="12" t="s">
        <v>611</v>
      </c>
      <c r="B205" s="12" t="str">
        <f aca="false">січень!B205</f>
        <v>Лебедєва Т.В.</v>
      </c>
      <c r="C205" s="12" t="s">
        <v>613</v>
      </c>
      <c r="D205" s="14" t="n">
        <f aca="false">січень!P205</f>
        <v>10212.63</v>
      </c>
      <c r="E205" s="14" t="n">
        <f aca="false">січень!Q205</f>
        <v>0</v>
      </c>
      <c r="F205" s="13" t="n">
        <f aca="false">січень!F205</f>
        <v>0</v>
      </c>
      <c r="G205" s="13" t="n">
        <f aca="false">січень!G205</f>
        <v>62.3</v>
      </c>
      <c r="H205" s="13" t="n">
        <f aca="false">січень!H205</f>
        <v>0</v>
      </c>
      <c r="I205" s="13" t="n">
        <f aca="false">січень!I205</f>
        <v>4.1</v>
      </c>
      <c r="J205" s="14" t="n">
        <f aca="false">ROUND(G205*I205,2)</f>
        <v>255.43</v>
      </c>
      <c r="K205" s="14"/>
      <c r="L205" s="14"/>
      <c r="M205" s="14"/>
      <c r="N205" s="14" t="n">
        <f aca="false">ROUND((G205*I205)-K205-L205-M205,2)</f>
        <v>255.43</v>
      </c>
      <c r="O205" s="14"/>
      <c r="P205" s="14" t="n">
        <f aca="false">ROUND(IF(D205=0,IF((N205-E205-O205)&gt;0,(N205-E205-O205),0),IF((D205+N205-O205)&gt;0,(D205+N205-O205),0)),2)</f>
        <v>10468.06</v>
      </c>
      <c r="Q205" s="14" t="n">
        <f aca="false">ROUND(IF(E205=0,IF((D205+N205-O205)&lt;0,ABS(D205+N205-O205),0),IF((N205-E205-O205)&lt;0,ABS(N205-E205-O205),0)),2)</f>
        <v>0</v>
      </c>
    </row>
    <row r="206" customFormat="false" ht="15" hidden="false" customHeight="true" outlineLevel="0" collapsed="false">
      <c r="A206" s="12" t="s">
        <v>614</v>
      </c>
      <c r="B206" s="12" t="str">
        <f aca="false">січень!B206</f>
        <v>Криницький Л.С.</v>
      </c>
      <c r="C206" s="12" t="s">
        <v>616</v>
      </c>
      <c r="D206" s="14" t="n">
        <f aca="false">січень!P206</f>
        <v>0</v>
      </c>
      <c r="E206" s="14" t="n">
        <f aca="false">січень!Q206</f>
        <v>0</v>
      </c>
      <c r="F206" s="13" t="n">
        <f aca="false">січень!F206</f>
        <v>0</v>
      </c>
      <c r="G206" s="13" t="n">
        <f aca="false">січень!G206</f>
        <v>67.61</v>
      </c>
      <c r="H206" s="13" t="n">
        <f aca="false">січень!H206</f>
        <v>0</v>
      </c>
      <c r="I206" s="13" t="n">
        <f aca="false">січень!I206</f>
        <v>4.1</v>
      </c>
      <c r="J206" s="14" t="n">
        <f aca="false">ROUND(G206*I206,2)</f>
        <v>277.2</v>
      </c>
      <c r="K206" s="14"/>
      <c r="L206" s="14"/>
      <c r="M206" s="14"/>
      <c r="N206" s="14" t="n">
        <f aca="false">ROUND((G206*I206)-K206-L206-M206,2)</f>
        <v>277.2</v>
      </c>
      <c r="O206" s="14"/>
      <c r="P206" s="14" t="n">
        <f aca="false">ROUND(IF(D206=0,IF((N206-E206-O206)&gt;0,(N206-E206-O206),0),IF((D206+N206-O206)&gt;0,(D206+N206-O206),0)),2)</f>
        <v>277.2</v>
      </c>
      <c r="Q206" s="14" t="n">
        <f aca="false">ROUND(IF(E206=0,IF((D206+N206-O206)&lt;0,ABS(D206+N206-O206),0),IF((N206-E206-O206)&lt;0,ABS(N206-E206-O206),0)),2)</f>
        <v>0</v>
      </c>
    </row>
    <row r="207" customFormat="false" ht="15" hidden="false" customHeight="true" outlineLevel="0" collapsed="false">
      <c r="A207" s="12" t="s">
        <v>617</v>
      </c>
      <c r="B207" s="12" t="str">
        <f aca="false">січень!B207</f>
        <v>Сафонов В.В.</v>
      </c>
      <c r="C207" s="12" t="s">
        <v>619</v>
      </c>
      <c r="D207" s="14" t="n">
        <f aca="false">січень!P207</f>
        <v>12594.46</v>
      </c>
      <c r="E207" s="14" t="n">
        <f aca="false">січень!Q207</f>
        <v>0</v>
      </c>
      <c r="F207" s="13" t="n">
        <f aca="false">січень!F207</f>
        <v>0</v>
      </c>
      <c r="G207" s="13" t="n">
        <f aca="false">січень!G207</f>
        <v>70.38</v>
      </c>
      <c r="H207" s="13" t="n">
        <f aca="false">січень!H207</f>
        <v>0</v>
      </c>
      <c r="I207" s="13" t="n">
        <f aca="false">січень!I207</f>
        <v>4.1</v>
      </c>
      <c r="J207" s="14" t="n">
        <f aca="false">ROUND(G207*I207,2)</f>
        <v>288.56</v>
      </c>
      <c r="K207" s="14"/>
      <c r="L207" s="14"/>
      <c r="M207" s="14"/>
      <c r="N207" s="14" t="n">
        <f aca="false">ROUND((G207*I207)-K207-L207-M207,2)</f>
        <v>288.56</v>
      </c>
      <c r="O207" s="14"/>
      <c r="P207" s="14" t="n">
        <f aca="false">ROUND(IF(D207=0,IF((N207-E207-O207)&gt;0,(N207-E207-O207),0),IF((D207+N207-O207)&gt;0,(D207+N207-O207),0)),2)</f>
        <v>12883.02</v>
      </c>
      <c r="Q207" s="14" t="n">
        <f aca="false">ROUND(IF(E207=0,IF((D207+N207-O207)&lt;0,ABS(D207+N207-O207),0),IF((N207-E207-O207)&lt;0,ABS(N207-E207-O207),0)),2)</f>
        <v>0</v>
      </c>
    </row>
    <row r="208" customFormat="false" ht="15" hidden="false" customHeight="true" outlineLevel="0" collapsed="false">
      <c r="A208" s="12" t="s">
        <v>620</v>
      </c>
      <c r="B208" s="12" t="str">
        <f aca="false">січень!B208</f>
        <v>Мільковська Р.Г.</v>
      </c>
      <c r="C208" s="12" t="s">
        <v>622</v>
      </c>
      <c r="D208" s="14" t="n">
        <f aca="false">січень!P208</f>
        <v>9036.41</v>
      </c>
      <c r="E208" s="14" t="n">
        <f aca="false">січень!Q208</f>
        <v>0</v>
      </c>
      <c r="F208" s="13" t="n">
        <f aca="false">січень!F208</f>
        <v>0</v>
      </c>
      <c r="G208" s="13" t="n">
        <f aca="false">січень!G208</f>
        <v>49.88</v>
      </c>
      <c r="H208" s="13" t="n">
        <f aca="false">січень!H208</f>
        <v>0</v>
      </c>
      <c r="I208" s="13" t="n">
        <f aca="false">січень!I208</f>
        <v>4.1</v>
      </c>
      <c r="J208" s="14" t="n">
        <f aca="false">ROUND(G208*I208,2)</f>
        <v>204.51</v>
      </c>
      <c r="K208" s="14"/>
      <c r="L208" s="14"/>
      <c r="M208" s="14"/>
      <c r="N208" s="14" t="n">
        <f aca="false">ROUND((G208*I208)-K208-L208-M208,2)</f>
        <v>204.51</v>
      </c>
      <c r="O208" s="14"/>
      <c r="P208" s="14" t="n">
        <f aca="false">ROUND(IF(D208=0,IF((N208-E208-O208)&gt;0,(N208-E208-O208),0),IF((D208+N208-O208)&gt;0,(D208+N208-O208),0)),2)</f>
        <v>9240.92</v>
      </c>
      <c r="Q208" s="14" t="n">
        <f aca="false">ROUND(IF(E208=0,IF((D208+N208-O208)&lt;0,ABS(D208+N208-O208),0),IF((N208-E208-O208)&lt;0,ABS(N208-E208-O208),0)),2)</f>
        <v>0</v>
      </c>
    </row>
    <row r="209" customFormat="false" ht="15" hidden="false" customHeight="true" outlineLevel="0" collapsed="false">
      <c r="A209" s="12" t="s">
        <v>623</v>
      </c>
      <c r="B209" s="12" t="str">
        <f aca="false">січень!B209</f>
        <v>Заранкін С.М.</v>
      </c>
      <c r="C209" s="12" t="s">
        <v>625</v>
      </c>
      <c r="D209" s="14" t="n">
        <f aca="false">січень!P209</f>
        <v>10377.6</v>
      </c>
      <c r="E209" s="14" t="n">
        <f aca="false">січень!Q209</f>
        <v>0</v>
      </c>
      <c r="F209" s="13" t="n">
        <f aca="false">січень!F209</f>
        <v>0</v>
      </c>
      <c r="G209" s="13" t="n">
        <f aca="false">січень!G209</f>
        <v>62.02</v>
      </c>
      <c r="H209" s="13" t="n">
        <f aca="false">січень!H209</f>
        <v>0</v>
      </c>
      <c r="I209" s="13" t="n">
        <f aca="false">січень!I209</f>
        <v>4.1</v>
      </c>
      <c r="J209" s="14" t="n">
        <f aca="false">ROUND(G209*I209,2)</f>
        <v>254.28</v>
      </c>
      <c r="K209" s="14"/>
      <c r="L209" s="14"/>
      <c r="M209" s="14"/>
      <c r="N209" s="14" t="n">
        <f aca="false">ROUND((G209*I209)-K209-L209-M209,2)</f>
        <v>254.28</v>
      </c>
      <c r="O209" s="14"/>
      <c r="P209" s="14" t="n">
        <f aca="false">ROUND(IF(D209=0,IF((N209-E209-O209)&gt;0,(N209-E209-O209),0),IF((D209+N209-O209)&gt;0,(D209+N209-O209),0)),2)</f>
        <v>10631.88</v>
      </c>
      <c r="Q209" s="14" t="n">
        <f aca="false">ROUND(IF(E209=0,IF((D209+N209-O209)&lt;0,ABS(D209+N209-O209),0),IF((N209-E209-O209)&lt;0,ABS(N209-E209-O209),0)),2)</f>
        <v>0</v>
      </c>
    </row>
    <row r="210" customFormat="false" ht="15" hidden="false" customHeight="true" outlineLevel="0" collapsed="false">
      <c r="A210" s="12" t="s">
        <v>626</v>
      </c>
      <c r="B210" s="12" t="str">
        <f aca="false">січень!B210</f>
        <v>Сіянко О.М.</v>
      </c>
      <c r="C210" s="12" t="s">
        <v>628</v>
      </c>
      <c r="D210" s="14" t="n">
        <f aca="false">січень!P210</f>
        <v>3403.08</v>
      </c>
      <c r="E210" s="14" t="n">
        <f aca="false">січень!Q210</f>
        <v>0</v>
      </c>
      <c r="F210" s="13" t="n">
        <f aca="false">січень!F210</f>
        <v>0</v>
      </c>
      <c r="G210" s="13" t="n">
        <f aca="false">січень!G210</f>
        <v>67.6</v>
      </c>
      <c r="H210" s="13" t="n">
        <f aca="false">січень!H210</f>
        <v>0</v>
      </c>
      <c r="I210" s="13" t="n">
        <f aca="false">січень!I210</f>
        <v>4.1</v>
      </c>
      <c r="J210" s="14" t="n">
        <f aca="false">ROUND(G210*I210,2)</f>
        <v>277.16</v>
      </c>
      <c r="K210" s="14"/>
      <c r="L210" s="14"/>
      <c r="M210" s="14"/>
      <c r="N210" s="14" t="n">
        <f aca="false">ROUND((G210*I210)-K210-L210-M210,2)</f>
        <v>277.16</v>
      </c>
      <c r="O210" s="14"/>
      <c r="P210" s="14" t="n">
        <f aca="false">ROUND(IF(D210=0,IF((N210-E210-O210)&gt;0,(N210-E210-O210),0),IF((D210+N210-O210)&gt;0,(D210+N210-O210),0)),2)</f>
        <v>3680.24</v>
      </c>
      <c r="Q210" s="14" t="n">
        <f aca="false">ROUND(IF(E210=0,IF((D210+N210-O210)&lt;0,ABS(D210+N210-O210),0),IF((N210-E210-O210)&lt;0,ABS(N210-E210-O210),0)),2)</f>
        <v>0</v>
      </c>
    </row>
    <row r="211" customFormat="false" ht="15" hidden="false" customHeight="true" outlineLevel="0" collapsed="false">
      <c r="A211" s="12" t="s">
        <v>629</v>
      </c>
      <c r="B211" s="12" t="str">
        <f aca="false">січень!B211</f>
        <v>Осипов В.В.</v>
      </c>
      <c r="C211" s="12" t="s">
        <v>631</v>
      </c>
      <c r="D211" s="14" t="n">
        <f aca="false">січень!P211</f>
        <v>10147.28</v>
      </c>
      <c r="E211" s="14" t="n">
        <f aca="false">січень!Q211</f>
        <v>0</v>
      </c>
      <c r="F211" s="13" t="n">
        <f aca="false">січень!F211</f>
        <v>0</v>
      </c>
      <c r="G211" s="13" t="n">
        <f aca="false">січень!G211</f>
        <v>70.42</v>
      </c>
      <c r="H211" s="13" t="n">
        <f aca="false">січень!H211</f>
        <v>0</v>
      </c>
      <c r="I211" s="13" t="n">
        <f aca="false">січень!I211</f>
        <v>4.1</v>
      </c>
      <c r="J211" s="14" t="n">
        <f aca="false">ROUND(G211*I211,2)</f>
        <v>288.72</v>
      </c>
      <c r="K211" s="14"/>
      <c r="L211" s="14"/>
      <c r="M211" s="14"/>
      <c r="N211" s="14" t="n">
        <f aca="false">ROUND((G211*I211)-K211-L211-M211,2)</f>
        <v>288.72</v>
      </c>
      <c r="O211" s="14"/>
      <c r="P211" s="14" t="n">
        <f aca="false">ROUND(IF(D211=0,IF((N211-E211-O211)&gt;0,(N211-E211-O211),0),IF((D211+N211-O211)&gt;0,(D211+N211-O211),0)),2)</f>
        <v>10436</v>
      </c>
      <c r="Q211" s="14" t="n">
        <f aca="false">ROUND(IF(E211=0,IF((D211+N211-O211)&lt;0,ABS(D211+N211-O211),0),IF((N211-E211-O211)&lt;0,ABS(N211-E211-O211),0)),2)</f>
        <v>0</v>
      </c>
    </row>
    <row r="212" customFormat="false" ht="15" hidden="false" customHeight="true" outlineLevel="0" collapsed="false">
      <c r="A212" s="12" t="s">
        <v>632</v>
      </c>
      <c r="B212" s="12" t="str">
        <f aca="false">січень!B212</f>
        <v>Перепьолкін А.Л.</v>
      </c>
      <c r="C212" s="12" t="s">
        <v>634</v>
      </c>
      <c r="D212" s="14" t="n">
        <f aca="false">січень!P212</f>
        <v>204.18</v>
      </c>
      <c r="E212" s="14" t="n">
        <f aca="false">січень!Q212</f>
        <v>0</v>
      </c>
      <c r="F212" s="13" t="n">
        <f aca="false">січень!F212</f>
        <v>0</v>
      </c>
      <c r="G212" s="13" t="n">
        <f aca="false">січень!G212</f>
        <v>49.8</v>
      </c>
      <c r="H212" s="13" t="n">
        <f aca="false">січень!H212</f>
        <v>0</v>
      </c>
      <c r="I212" s="13" t="n">
        <f aca="false">січень!I212</f>
        <v>4.1</v>
      </c>
      <c r="J212" s="14" t="n">
        <f aca="false">ROUND(G212*I212,2)</f>
        <v>204.18</v>
      </c>
      <c r="K212" s="14"/>
      <c r="L212" s="14"/>
      <c r="M212" s="14"/>
      <c r="N212" s="14" t="n">
        <f aca="false">ROUND((G212*I212)-K212-L212-M212,2)</f>
        <v>204.18</v>
      </c>
      <c r="O212" s="14"/>
      <c r="P212" s="14" t="n">
        <f aca="false">ROUND(IF(D212=0,IF((N212-E212-O212)&gt;0,(N212-E212-O212),0),IF((D212+N212-O212)&gt;0,(D212+N212-O212),0)),2)</f>
        <v>408.36</v>
      </c>
      <c r="Q212" s="14" t="n">
        <f aca="false">ROUND(IF(E212=0,IF((D212+N212-O212)&lt;0,ABS(D212+N212-O212),0),IF((N212-E212-O212)&lt;0,ABS(N212-E212-O212),0)),2)</f>
        <v>0</v>
      </c>
    </row>
    <row r="213" customFormat="false" ht="15" hidden="false" customHeight="true" outlineLevel="0" collapsed="false">
      <c r="A213" s="12" t="s">
        <v>635</v>
      </c>
      <c r="B213" s="12" t="str">
        <f aca="false">січень!B213</f>
        <v>Синегрибова В.В.</v>
      </c>
      <c r="C213" s="12" t="s">
        <v>637</v>
      </c>
      <c r="D213" s="14" t="n">
        <f aca="false">січень!P213</f>
        <v>1487.19</v>
      </c>
      <c r="E213" s="14" t="n">
        <f aca="false">січень!Q213</f>
        <v>0</v>
      </c>
      <c r="F213" s="13" t="n">
        <f aca="false">січень!F213</f>
        <v>0</v>
      </c>
      <c r="G213" s="13" t="n">
        <f aca="false">січень!G213</f>
        <v>62.7</v>
      </c>
      <c r="H213" s="13" t="n">
        <f aca="false">січень!H213</f>
        <v>0</v>
      </c>
      <c r="I213" s="13" t="n">
        <f aca="false">січень!I213</f>
        <v>4.1</v>
      </c>
      <c r="J213" s="14" t="n">
        <f aca="false">ROUND(G213*I213,2)</f>
        <v>257.07</v>
      </c>
      <c r="K213" s="14"/>
      <c r="L213" s="14"/>
      <c r="M213" s="14"/>
      <c r="N213" s="14" t="n">
        <f aca="false">ROUND((G213*I213)-K213-L213-M213,2)</f>
        <v>257.07</v>
      </c>
      <c r="O213" s="14"/>
      <c r="P213" s="14" t="n">
        <f aca="false">ROUND(IF(D213=0,IF((N213-E213-O213)&gt;0,(N213-E213-O213),0),IF((D213+N213-O213)&gt;0,(D213+N213-O213),0)),2)</f>
        <v>1744.26</v>
      </c>
      <c r="Q213" s="14" t="n">
        <f aca="false">ROUND(IF(E213=0,IF((D213+N213-O213)&lt;0,ABS(D213+N213-O213),0),IF((N213-E213-O213)&lt;0,ABS(N213-E213-O213),0)),2)</f>
        <v>0</v>
      </c>
    </row>
    <row r="214" customFormat="false" ht="15" hidden="false" customHeight="true" outlineLevel="0" collapsed="false">
      <c r="A214" s="12" t="s">
        <v>638</v>
      </c>
      <c r="B214" s="12" t="str">
        <f aca="false">січень!B214</f>
        <v>Юдін М.В.</v>
      </c>
      <c r="C214" s="12" t="s">
        <v>640</v>
      </c>
      <c r="D214" s="14" t="n">
        <f aca="false">січень!P214</f>
        <v>278.8</v>
      </c>
      <c r="E214" s="14" t="n">
        <f aca="false">січень!Q214</f>
        <v>0</v>
      </c>
      <c r="F214" s="13" t="n">
        <f aca="false">січень!F214</f>
        <v>0</v>
      </c>
      <c r="G214" s="13" t="n">
        <f aca="false">січень!G214</f>
        <v>68</v>
      </c>
      <c r="H214" s="13" t="n">
        <f aca="false">січень!H214</f>
        <v>0</v>
      </c>
      <c r="I214" s="13" t="n">
        <f aca="false">січень!I214</f>
        <v>4.1</v>
      </c>
      <c r="J214" s="14" t="n">
        <f aca="false">ROUND(G214*I214,2)</f>
        <v>278.8</v>
      </c>
      <c r="K214" s="14"/>
      <c r="L214" s="14"/>
      <c r="M214" s="14"/>
      <c r="N214" s="14" t="n">
        <f aca="false">ROUND((G214*I214)-K214-L214-M214,2)</f>
        <v>278.8</v>
      </c>
      <c r="O214" s="14"/>
      <c r="P214" s="14" t="n">
        <f aca="false">ROUND(IF(D214=0,IF((N214-E214-O214)&gt;0,(N214-E214-O214),0),IF((D214+N214-O214)&gt;0,(D214+N214-O214),0)),2)</f>
        <v>557.6</v>
      </c>
      <c r="Q214" s="14" t="n">
        <f aca="false">ROUND(IF(E214=0,IF((D214+N214-O214)&lt;0,ABS(D214+N214-O214),0),IF((N214-E214-O214)&lt;0,ABS(N214-E214-O214),0)),2)</f>
        <v>0</v>
      </c>
    </row>
    <row r="215" customFormat="false" ht="15" hidden="false" customHeight="true" outlineLevel="0" collapsed="false">
      <c r="A215" s="12" t="s">
        <v>641</v>
      </c>
      <c r="B215" s="12" t="str">
        <f aca="false">січень!B215</f>
        <v>Сергєєва Н.О.</v>
      </c>
      <c r="C215" s="12" t="s">
        <v>643</v>
      </c>
      <c r="D215" s="14" t="n">
        <f aca="false">січень!P215</f>
        <v>281.43</v>
      </c>
      <c r="E215" s="14" t="n">
        <f aca="false">січень!Q215</f>
        <v>0</v>
      </c>
      <c r="F215" s="13" t="n">
        <f aca="false">січень!F215</f>
        <v>0</v>
      </c>
      <c r="G215" s="13" t="n">
        <f aca="false">січень!G215</f>
        <v>72.1</v>
      </c>
      <c r="H215" s="13" t="n">
        <f aca="false">січень!H215</f>
        <v>0</v>
      </c>
      <c r="I215" s="13" t="n">
        <f aca="false">січень!I215</f>
        <v>4.1</v>
      </c>
      <c r="J215" s="14" t="n">
        <f aca="false">ROUND(G215*I215,2)</f>
        <v>295.61</v>
      </c>
      <c r="K215" s="14"/>
      <c r="L215" s="14"/>
      <c r="M215" s="14"/>
      <c r="N215" s="14" t="n">
        <f aca="false">ROUND((G215*I215)-K215-L215-M215,2)</f>
        <v>295.61</v>
      </c>
      <c r="O215" s="14"/>
      <c r="P215" s="14" t="n">
        <f aca="false">ROUND(IF(D215=0,IF((N215-E215-O215)&gt;0,(N215-E215-O215),0),IF((D215+N215-O215)&gt;0,(D215+N215-O215),0)),2)</f>
        <v>577.04</v>
      </c>
      <c r="Q215" s="14" t="n">
        <f aca="false">ROUND(IF(E215=0,IF((D215+N215-O215)&lt;0,ABS(D215+N215-O215),0),IF((N215-E215-O215)&lt;0,ABS(N215-E215-O215),0)),2)</f>
        <v>0</v>
      </c>
    </row>
    <row r="216" customFormat="false" ht="15" hidden="false" customHeight="true" outlineLevel="0" collapsed="false">
      <c r="A216" s="12" t="s">
        <v>644</v>
      </c>
      <c r="B216" s="12" t="str">
        <f aca="false">січень!B216</f>
        <v>Рева І.П.</v>
      </c>
      <c r="C216" s="12" t="s">
        <v>646</v>
      </c>
      <c r="D216" s="14" t="n">
        <f aca="false">січень!P216</f>
        <v>203.85</v>
      </c>
      <c r="E216" s="14" t="n">
        <f aca="false">січень!Q216</f>
        <v>0</v>
      </c>
      <c r="F216" s="13" t="n">
        <f aca="false">січень!F216</f>
        <v>0</v>
      </c>
      <c r="G216" s="13" t="n">
        <f aca="false">січень!G216</f>
        <v>49.72</v>
      </c>
      <c r="H216" s="13" t="n">
        <f aca="false">січень!H216</f>
        <v>0</v>
      </c>
      <c r="I216" s="13" t="n">
        <f aca="false">січень!I216</f>
        <v>4.1</v>
      </c>
      <c r="J216" s="14" t="n">
        <f aca="false">ROUND(G216*I216,2)</f>
        <v>203.85</v>
      </c>
      <c r="K216" s="14"/>
      <c r="L216" s="14"/>
      <c r="M216" s="14"/>
      <c r="N216" s="14" t="n">
        <f aca="false">ROUND((G216*I216)-K216-L216-M216,2)</f>
        <v>203.85</v>
      </c>
      <c r="O216" s="14"/>
      <c r="P216" s="14" t="n">
        <f aca="false">ROUND(IF(D216=0,IF((N216-E216-O216)&gt;0,(N216-E216-O216),0),IF((D216+N216-O216)&gt;0,(D216+N216-O216),0)),2)</f>
        <v>407.7</v>
      </c>
      <c r="Q216" s="14" t="n">
        <f aca="false">ROUND(IF(E216=0,IF((D216+N216-O216)&lt;0,ABS(D216+N216-O216),0),IF((N216-E216-O216)&lt;0,ABS(N216-E216-O216),0)),2)</f>
        <v>0</v>
      </c>
    </row>
    <row r="217" customFormat="false" ht="15" hidden="false" customHeight="true" outlineLevel="0" collapsed="false">
      <c r="A217" s="12" t="s">
        <v>647</v>
      </c>
      <c r="B217" s="12" t="str">
        <f aca="false">січень!B217</f>
        <v>Почапський Ю.Т.</v>
      </c>
      <c r="C217" s="12" t="s">
        <v>649</v>
      </c>
      <c r="D217" s="14" t="n">
        <f aca="false">січень!P217</f>
        <v>0</v>
      </c>
      <c r="E217" s="14" t="n">
        <f aca="false">січень!Q217</f>
        <v>285.15</v>
      </c>
      <c r="F217" s="13" t="n">
        <f aca="false">січень!F217</f>
        <v>0</v>
      </c>
      <c r="G217" s="13" t="n">
        <f aca="false">січень!G217</f>
        <v>62.39</v>
      </c>
      <c r="H217" s="13" t="n">
        <f aca="false">січень!H217</f>
        <v>0</v>
      </c>
      <c r="I217" s="13" t="n">
        <f aca="false">січень!I217</f>
        <v>4.1</v>
      </c>
      <c r="J217" s="14" t="n">
        <f aca="false">ROUND(G217*I217,2)</f>
        <v>255.8</v>
      </c>
      <c r="K217" s="14"/>
      <c r="L217" s="14"/>
      <c r="M217" s="14"/>
      <c r="N217" s="14" t="n">
        <f aca="false">ROUND((G217*I217)-K217-L217-M217,2)</f>
        <v>255.8</v>
      </c>
      <c r="O217" s="14"/>
      <c r="P217" s="14" t="n">
        <f aca="false">ROUND(IF(D217=0,IF((N217-E217-O217)&gt;0,(N217-E217-O217),0),IF((D217+N217-O217)&gt;0,(D217+N217-O217),0)),2)</f>
        <v>0</v>
      </c>
      <c r="Q217" s="14" t="n">
        <f aca="false">ROUND(IF(E217=0,IF((D217+N217-O217)&lt;0,ABS(D217+N217-O217),0),IF((N217-E217-O217)&lt;0,ABS(N217-E217-O217),0)),2)</f>
        <v>29.35</v>
      </c>
    </row>
    <row r="218" customFormat="false" ht="15" hidden="false" customHeight="true" outlineLevel="0" collapsed="false">
      <c r="A218" s="12" t="s">
        <v>650</v>
      </c>
      <c r="B218" s="12" t="str">
        <f aca="false">січень!B218</f>
        <v>Васильченко М.П.</v>
      </c>
      <c r="C218" s="12" t="s">
        <v>652</v>
      </c>
      <c r="D218" s="14" t="n">
        <f aca="false">січень!P218</f>
        <v>12782.76</v>
      </c>
      <c r="E218" s="14" t="n">
        <f aca="false">січень!Q218</f>
        <v>0</v>
      </c>
      <c r="F218" s="13" t="n">
        <f aca="false">січень!F218</f>
        <v>0</v>
      </c>
      <c r="G218" s="13" t="n">
        <f aca="false">січень!G218</f>
        <v>67.47</v>
      </c>
      <c r="H218" s="13" t="n">
        <f aca="false">січень!H218</f>
        <v>0</v>
      </c>
      <c r="I218" s="13" t="n">
        <f aca="false">січень!I218</f>
        <v>4.1</v>
      </c>
      <c r="J218" s="14" t="n">
        <f aca="false">ROUND(G218*I218,2)</f>
        <v>276.63</v>
      </c>
      <c r="K218" s="14"/>
      <c r="L218" s="14"/>
      <c r="M218" s="14"/>
      <c r="N218" s="14" t="n">
        <f aca="false">ROUND((G218*I218)-K218-L218-M218,2)</f>
        <v>276.63</v>
      </c>
      <c r="O218" s="14"/>
      <c r="P218" s="14" t="n">
        <f aca="false">ROUND(IF(D218=0,IF((N218-E218-O218)&gt;0,(N218-E218-O218),0),IF((D218+N218-O218)&gt;0,(D218+N218-O218),0)),2)</f>
        <v>13059.39</v>
      </c>
      <c r="Q218" s="14" t="n">
        <f aca="false">ROUND(IF(E218=0,IF((D218+N218-O218)&lt;0,ABS(D218+N218-O218),0),IF((N218-E218-O218)&lt;0,ABS(N218-E218-O218),0)),2)</f>
        <v>0</v>
      </c>
    </row>
    <row r="219" customFormat="false" ht="15" hidden="false" customHeight="true" outlineLevel="0" collapsed="false">
      <c r="A219" s="12" t="s">
        <v>653</v>
      </c>
      <c r="B219" s="12" t="str">
        <f aca="false">січень!B219</f>
        <v>Черненко Т.А.</v>
      </c>
      <c r="C219" s="12" t="s">
        <v>655</v>
      </c>
      <c r="D219" s="14" t="n">
        <f aca="false">січень!P219</f>
        <v>288.68</v>
      </c>
      <c r="E219" s="14" t="n">
        <f aca="false">січень!Q219</f>
        <v>0</v>
      </c>
      <c r="F219" s="13" t="n">
        <f aca="false">січень!F219</f>
        <v>0</v>
      </c>
      <c r="G219" s="13" t="n">
        <f aca="false">січень!G219</f>
        <v>70.41</v>
      </c>
      <c r="H219" s="13" t="n">
        <f aca="false">січень!H219</f>
        <v>0</v>
      </c>
      <c r="I219" s="13" t="n">
        <f aca="false">січень!I219</f>
        <v>4.1</v>
      </c>
      <c r="J219" s="14" t="n">
        <f aca="false">ROUND(G219*I219,2)</f>
        <v>288.68</v>
      </c>
      <c r="K219" s="14"/>
      <c r="L219" s="14"/>
      <c r="M219" s="14"/>
      <c r="N219" s="14" t="n">
        <f aca="false">ROUND((G219*I219)-K219-L219-M219,2)</f>
        <v>288.68</v>
      </c>
      <c r="O219" s="14"/>
      <c r="P219" s="14" t="n">
        <f aca="false">ROUND(IF(D219=0,IF((N219-E219-O219)&gt;0,(N219-E219-O219),0),IF((D219+N219-O219)&gt;0,(D219+N219-O219),0)),2)</f>
        <v>577.36</v>
      </c>
      <c r="Q219" s="14" t="n">
        <f aca="false">ROUND(IF(E219=0,IF((D219+N219-O219)&lt;0,ABS(D219+N219-O219),0),IF((N219-E219-O219)&lt;0,ABS(N219-E219-O219),0)),2)</f>
        <v>0</v>
      </c>
    </row>
    <row r="220" customFormat="false" ht="15" hidden="false" customHeight="true" outlineLevel="0" collapsed="false">
      <c r="A220" s="12" t="s">
        <v>656</v>
      </c>
      <c r="B220" s="12" t="str">
        <f aca="false">січень!B220</f>
        <v>Сиротенко Я.О.</v>
      </c>
      <c r="C220" s="12" t="s">
        <v>658</v>
      </c>
      <c r="D220" s="14" t="n">
        <f aca="false">січень!P220</f>
        <v>4248.35</v>
      </c>
      <c r="E220" s="14" t="n">
        <f aca="false">січень!Q220</f>
        <v>0</v>
      </c>
      <c r="F220" s="13" t="n">
        <f aca="false">січень!F220</f>
        <v>0</v>
      </c>
      <c r="G220" s="13" t="n">
        <f aca="false">січень!G220</f>
        <v>49.73</v>
      </c>
      <c r="H220" s="13" t="n">
        <f aca="false">січень!H220</f>
        <v>0</v>
      </c>
      <c r="I220" s="13" t="n">
        <f aca="false">січень!I220</f>
        <v>4.1</v>
      </c>
      <c r="J220" s="14" t="n">
        <f aca="false">ROUND(G220*I220,2)</f>
        <v>203.89</v>
      </c>
      <c r="K220" s="14"/>
      <c r="L220" s="14"/>
      <c r="M220" s="14"/>
      <c r="N220" s="14" t="n">
        <f aca="false">ROUND((G220*I220)-K220-L220-M220,2)</f>
        <v>203.89</v>
      </c>
      <c r="O220" s="14"/>
      <c r="P220" s="14" t="n">
        <f aca="false">ROUND(IF(D220=0,IF((N220-E220-O220)&gt;0,(N220-E220-O220),0),IF((D220+N220-O220)&gt;0,(D220+N220-O220),0)),2)</f>
        <v>4452.24</v>
      </c>
      <c r="Q220" s="14" t="n">
        <f aca="false">ROUND(IF(E220=0,IF((D220+N220-O220)&lt;0,ABS(D220+N220-O220),0),IF((N220-E220-O220)&lt;0,ABS(N220-E220-O220),0)),2)</f>
        <v>0</v>
      </c>
    </row>
    <row r="221" customFormat="false" ht="15.75" hidden="false" customHeight="true" outlineLevel="0" collapsed="false">
      <c r="A221" s="12" t="s">
        <v>659</v>
      </c>
      <c r="B221" s="12" t="str">
        <f aca="false">січень!B221</f>
        <v>Корнюшенко О.О.</v>
      </c>
      <c r="C221" s="12" t="s">
        <v>661</v>
      </c>
      <c r="D221" s="14" t="n">
        <f aca="false">січень!P221</f>
        <v>7779</v>
      </c>
      <c r="E221" s="14" t="n">
        <f aca="false">січень!Q221</f>
        <v>0</v>
      </c>
      <c r="F221" s="13" t="n">
        <f aca="false">січень!F221</f>
        <v>0</v>
      </c>
      <c r="G221" s="13" t="n">
        <f aca="false">січень!G221</f>
        <v>62</v>
      </c>
      <c r="H221" s="13" t="n">
        <f aca="false">січень!H221</f>
        <v>0</v>
      </c>
      <c r="I221" s="13" t="n">
        <f aca="false">січень!I221</f>
        <v>4.1</v>
      </c>
      <c r="J221" s="14" t="n">
        <f aca="false">ROUND(G221*I221,2)</f>
        <v>254.2</v>
      </c>
      <c r="K221" s="14"/>
      <c r="L221" s="14"/>
      <c r="M221" s="14"/>
      <c r="N221" s="14" t="n">
        <f aca="false">ROUND((G221*I221)-K221-L221-M221,2)</f>
        <v>254.2</v>
      </c>
      <c r="O221" s="14"/>
      <c r="P221" s="14" t="n">
        <f aca="false">ROUND(IF(D221=0,IF((N221-E221-O221)&gt;0,(N221-E221-O221),0),IF((D221+N221-O221)&gt;0,(D221+N221-O221),0)),2)</f>
        <v>8033.2</v>
      </c>
      <c r="Q221" s="14" t="n">
        <f aca="false">ROUND(IF(E221=0,IF((D221+N221-O221)&lt;0,ABS(D221+N221-O221),0),IF((N221-E221-O221)&lt;0,ABS(N221-E221-O221),0)),2)</f>
        <v>0</v>
      </c>
    </row>
    <row r="222" customFormat="false" ht="15" hidden="false" customHeight="true" outlineLevel="0" collapsed="false">
      <c r="A222" s="15"/>
      <c r="B222" s="15"/>
      <c r="C222" s="15"/>
      <c r="D222" s="16" t="n">
        <f aca="false">SUM(D7:D221)</f>
        <v>812245.35</v>
      </c>
      <c r="E222" s="16" t="n">
        <f aca="false">SUM(E7:E221)</f>
        <v>5240.47</v>
      </c>
      <c r="F222" s="16"/>
      <c r="G222" s="20" t="n">
        <f aca="false">SUM(G7:G221)</f>
        <v>11652.42</v>
      </c>
      <c r="H222" s="16" t="n">
        <f aca="false">SUM(H7:H221)</f>
        <v>0</v>
      </c>
      <c r="I222" s="16"/>
      <c r="J222" s="16" t="n">
        <f aca="false">SUM(J7:J221)</f>
        <v>47774.99</v>
      </c>
      <c r="K222" s="16" t="n">
        <f aca="false">SUM(K7:K221)</f>
        <v>0</v>
      </c>
      <c r="L222" s="16" t="n">
        <f aca="false">SUM(L7:L221)</f>
        <v>0</v>
      </c>
      <c r="M222" s="16" t="n">
        <f aca="false">SUM(M7:M221)</f>
        <v>0</v>
      </c>
      <c r="N222" s="16" t="n">
        <f aca="false">SUM(N7:N221)</f>
        <v>47774.99</v>
      </c>
      <c r="O222" s="16" t="n">
        <f aca="false">SUM(O7:O221)</f>
        <v>0</v>
      </c>
      <c r="P222" s="16" t="n">
        <f aca="false">SUM(P7:P221)</f>
        <v>858443.06</v>
      </c>
      <c r="Q222" s="16" t="n">
        <f aca="false">SUM(Q7:Q221)</f>
        <v>3663.19</v>
      </c>
    </row>
    <row r="223" customFormat="false" ht="15.75" hidden="false" customHeight="true" outlineLevel="0" collapsed="false">
      <c r="A223" s="15"/>
      <c r="B223" s="15"/>
      <c r="C223" s="15"/>
      <c r="D223" s="16" t="n">
        <f aca="false">D222-E222</f>
        <v>807004.88</v>
      </c>
      <c r="E223" s="16"/>
      <c r="F223" s="16"/>
      <c r="G223" s="20"/>
      <c r="H223" s="16"/>
      <c r="I223" s="16"/>
      <c r="J223" s="16"/>
      <c r="K223" s="16"/>
      <c r="L223" s="16"/>
      <c r="M223" s="16"/>
      <c r="N223" s="16"/>
      <c r="O223" s="16"/>
      <c r="P223" s="16" t="n">
        <f aca="false">P222-Q222</f>
        <v>854779.87</v>
      </c>
      <c r="Q223" s="16"/>
      <c r="V223" s="17" t="n">
        <v>0</v>
      </c>
    </row>
    <row r="224" customFormat="false" ht="15" hidden="false" customHeight="false" outlineLevel="0" collapsed="false">
      <c r="V224" s="17" t="n">
        <v>0</v>
      </c>
    </row>
    <row r="227" customFormat="false" ht="15" hidden="false" customHeight="false" outlineLevel="0" collapsed="false">
      <c r="U227" s="17"/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printOptions headings="false" gridLines="false" gridLinesSet="true" horizontalCentered="true" verticalCentered="false"/>
  <pageMargins left="0" right="0" top="0.39375" bottom="0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6"/>
  <sheetViews>
    <sheetView showFormulas="false" showGridLines="true" showRowColHeaders="true" showZeros="false" rightToLeft="false" tabSelected="false" showOutlineSymbols="true" defaultGridColor="true" view="normal" topLeftCell="A199" colorId="64" zoomScale="90" zoomScaleNormal="90" zoomScalePageLayoutView="100" workbookViewId="0">
      <selection pane="topLeft" activeCell="U226" activeCellId="0" sqref="U22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76"/>
    <col collapsed="false" customWidth="true" hidden="false" outlineLevel="0" max="2" min="2" style="1" width="23.25"/>
    <col collapsed="false" customWidth="true" hidden="false" outlineLevel="0" max="3" min="3" style="1" width="7"/>
    <col collapsed="false" customWidth="true" hidden="false" outlineLevel="0" max="4" min="4" style="1" width="9.26"/>
    <col collapsed="false" customWidth="true" hidden="false" outlineLevel="0" max="6" min="6" style="1" width="5.37"/>
    <col collapsed="false" customWidth="true" hidden="false" outlineLevel="0" max="7" min="7" style="1" width="6.88"/>
    <col collapsed="false" customWidth="true" hidden="false" outlineLevel="0" max="8" min="8" style="1" width="5.63"/>
    <col collapsed="false" customWidth="true" hidden="false" outlineLevel="0" max="9" min="9" style="1" width="6.25"/>
    <col collapsed="false" customWidth="true" hidden="false" outlineLevel="0" max="10" min="10" style="1" width="9.12"/>
    <col collapsed="false" customWidth="true" hidden="false" outlineLevel="0" max="11" min="11" style="1" width="6.63"/>
    <col collapsed="false" customWidth="true" hidden="false" outlineLevel="0" max="12" min="12" style="1" width="7.63"/>
    <col collapsed="false" customWidth="true" hidden="false" outlineLevel="0" max="14" min="14" style="1" width="9.12"/>
    <col collapsed="false" customWidth="true" hidden="false" outlineLevel="0" max="15" min="15" style="1" width="9.63"/>
    <col collapsed="false" customWidth="true" hidden="false" outlineLevel="0" max="16" min="16" style="1" width="9.26"/>
    <col collapsed="false" customWidth="true" hidden="false" outlineLevel="0" max="17" min="17" style="1" width="9.12"/>
    <col collapsed="false" customWidth="true" hidden="false" outlineLevel="0" max="21" min="21" style="1" width="11.75"/>
  </cols>
  <sheetData>
    <row r="1" customFormat="false" ht="15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2" t="s">
        <v>1</v>
      </c>
      <c r="O1" s="2"/>
      <c r="P1" s="2"/>
      <c r="Q1" s="2"/>
    </row>
    <row r="2" customFormat="false" ht="18" hidden="false" customHeight="true" outlineLevel="0" collapsed="false">
      <c r="A2" s="3"/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8.75" hidden="false" customHeight="true" outlineLevel="0" collapsed="false">
      <c r="A3" s="3"/>
      <c r="B3" s="4" t="s">
        <v>663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true" outlineLevel="0" collapsed="false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60" hidden="false" customHeight="true" outlineLevel="0" collapsed="false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7</v>
      </c>
      <c r="Q6" s="19" t="s">
        <v>8</v>
      </c>
    </row>
    <row r="7" customFormat="false" ht="15" hidden="false" customHeight="true" outlineLevel="0" collapsed="false">
      <c r="A7" s="12" t="s">
        <v>19</v>
      </c>
      <c r="B7" s="12" t="str">
        <f aca="false">лютий!B7</f>
        <v>Бережний В.М.</v>
      </c>
      <c r="C7" s="12" t="s">
        <v>21</v>
      </c>
      <c r="D7" s="14" t="n">
        <f aca="false">лютий!P7</f>
        <v>1350.09</v>
      </c>
      <c r="E7" s="14" t="n">
        <f aca="false">лютий!Q7</f>
        <v>0</v>
      </c>
      <c r="F7" s="13" t="n">
        <f aca="false">лютий!F7</f>
        <v>0</v>
      </c>
      <c r="G7" s="13" t="n">
        <f aca="false">лютий!G7</f>
        <v>64.26</v>
      </c>
      <c r="H7" s="13" t="n">
        <f aca="false">лютий!H7</f>
        <v>0</v>
      </c>
      <c r="I7" s="13" t="n">
        <f aca="false">лютий!I7</f>
        <v>4.1</v>
      </c>
      <c r="J7" s="14" t="n">
        <f aca="false">ROUND(G7*I7,2)</f>
        <v>263.47</v>
      </c>
      <c r="K7" s="14"/>
      <c r="L7" s="14"/>
      <c r="M7" s="14"/>
      <c r="N7" s="14" t="n">
        <f aca="false">ROUND((G7*I7)-K7-L7-M7,2)</f>
        <v>263.47</v>
      </c>
      <c r="O7" s="14"/>
      <c r="P7" s="14" t="n">
        <f aca="false">ROUND(IF(D7=0,IF((N7-E7-O7)&gt;0,(N7-E7-O7),0),IF((D7+N7-O7)&gt;0,(D7+N7-O7),0)),2)</f>
        <v>1613.56</v>
      </c>
      <c r="Q7" s="14" t="n">
        <f aca="false">ROUND(IF(E7=0,IF((D7+N7-O7)&lt;0,ABS(D7+N7-O7),0),IF((N7-E7-O7)&lt;0,ABS(N7-E7-O7),0)),2)</f>
        <v>0</v>
      </c>
    </row>
    <row r="8" customFormat="false" ht="15" hidden="false" customHeight="true" outlineLevel="0" collapsed="false">
      <c r="A8" s="12" t="s">
        <v>22</v>
      </c>
      <c r="B8" s="12" t="str">
        <f aca="false">лютий!B8</f>
        <v>Старикова Т.О.</v>
      </c>
      <c r="C8" s="12" t="s">
        <v>24</v>
      </c>
      <c r="D8" s="14" t="n">
        <f aca="false">лютий!P8</f>
        <v>399.42</v>
      </c>
      <c r="E8" s="14" t="n">
        <f aca="false">лютий!Q8</f>
        <v>0</v>
      </c>
      <c r="F8" s="13" t="n">
        <f aca="false">лютий!F8</f>
        <v>0</v>
      </c>
      <c r="G8" s="13" t="n">
        <f aca="false">лютий!G8</f>
        <v>48.71</v>
      </c>
      <c r="H8" s="13" t="n">
        <f aca="false">лютий!H8</f>
        <v>0</v>
      </c>
      <c r="I8" s="13" t="n">
        <f aca="false">лютий!I8</f>
        <v>4.1</v>
      </c>
      <c r="J8" s="14" t="n">
        <f aca="false">ROUND(G8*I8,2)</f>
        <v>199.71</v>
      </c>
      <c r="K8" s="14"/>
      <c r="L8" s="14"/>
      <c r="M8" s="14"/>
      <c r="N8" s="14" t="n">
        <f aca="false">ROUND((G8*I8)-K8-L8-M8,2)</f>
        <v>199.71</v>
      </c>
      <c r="O8" s="14"/>
      <c r="P8" s="14" t="n">
        <f aca="false">ROUND(IF(D8=0,IF((N8-E8-O8)&gt;0,(N8-E8-O8),0),IF((D8+N8-O8)&gt;0,(D8+N8-O8),0)),2)</f>
        <v>599.13</v>
      </c>
      <c r="Q8" s="14" t="n">
        <f aca="false">ROUND(IF(E8=0,IF((D8+N8-O8)&lt;0,ABS(D8+N8-O8),0),IF((N8-E8-O8)&lt;0,ABS(N8-E8-O8),0)),2)</f>
        <v>0</v>
      </c>
    </row>
    <row r="9" customFormat="false" ht="15" hidden="false" customHeight="true" outlineLevel="0" collapsed="false">
      <c r="A9" s="12" t="s">
        <v>25</v>
      </c>
      <c r="B9" s="12" t="str">
        <f aca="false">лютий!B9</f>
        <v>Мазур Т.В.</v>
      </c>
      <c r="C9" s="12" t="s">
        <v>27</v>
      </c>
      <c r="D9" s="14" t="n">
        <f aca="false">лютий!P9</f>
        <v>430.5</v>
      </c>
      <c r="E9" s="14" t="n">
        <f aca="false">лютий!Q9</f>
        <v>0</v>
      </c>
      <c r="F9" s="13" t="n">
        <f aca="false">лютий!F9</f>
        <v>0</v>
      </c>
      <c r="G9" s="13" t="n">
        <f aca="false">лютий!G9</f>
        <v>35</v>
      </c>
      <c r="H9" s="13" t="n">
        <f aca="false">лютий!H9</f>
        <v>0</v>
      </c>
      <c r="I9" s="13" t="n">
        <f aca="false">лютий!I9</f>
        <v>4.1</v>
      </c>
      <c r="J9" s="14" t="n">
        <f aca="false">ROUND(G9*I9,2)</f>
        <v>143.5</v>
      </c>
      <c r="K9" s="14"/>
      <c r="L9" s="14"/>
      <c r="M9" s="14"/>
      <c r="N9" s="14" t="n">
        <f aca="false">ROUND((G9*I9)-K9-L9-M9,2)</f>
        <v>143.5</v>
      </c>
      <c r="O9" s="14"/>
      <c r="P9" s="14" t="n">
        <f aca="false">ROUND(IF(D9=0,IF((N9-E9-O9)&gt;0,(N9-E9-O9),0),IF((D9+N9-O9)&gt;0,(D9+N9-O9),0)),2)</f>
        <v>574</v>
      </c>
      <c r="Q9" s="14" t="n">
        <f aca="false">ROUND(IF(E9=0,IF((D9+N9-O9)&lt;0,ABS(D9+N9-O9),0),IF((N9-E9-O9)&lt;0,ABS(N9-E9-O9),0)),2)</f>
        <v>0</v>
      </c>
    </row>
    <row r="10" customFormat="false" ht="15" hidden="false" customHeight="true" outlineLevel="0" collapsed="false">
      <c r="A10" s="12" t="s">
        <v>28</v>
      </c>
      <c r="B10" s="12" t="str">
        <f aca="false">лютий!B10</f>
        <v>Сокол О.В.</v>
      </c>
      <c r="C10" s="12" t="s">
        <v>30</v>
      </c>
      <c r="D10" s="14" t="n">
        <f aca="false">лютий!P10</f>
        <v>252.56</v>
      </c>
      <c r="E10" s="14" t="n">
        <f aca="false">лютий!Q10</f>
        <v>0</v>
      </c>
      <c r="F10" s="13" t="n">
        <f aca="false">лютий!F10</f>
        <v>0</v>
      </c>
      <c r="G10" s="13" t="n">
        <f aca="false">лютий!G10</f>
        <v>61.6</v>
      </c>
      <c r="H10" s="13" t="n">
        <f aca="false">лютий!H10</f>
        <v>0</v>
      </c>
      <c r="I10" s="13" t="n">
        <f aca="false">лютий!I10</f>
        <v>4.1</v>
      </c>
      <c r="J10" s="14" t="n">
        <f aca="false">ROUND(G10*I10,2)</f>
        <v>252.56</v>
      </c>
      <c r="K10" s="14"/>
      <c r="L10" s="14"/>
      <c r="M10" s="14"/>
      <c r="N10" s="14" t="n">
        <f aca="false">ROUND((G10*I10)-K10-L10-M10,2)</f>
        <v>252.56</v>
      </c>
      <c r="O10" s="14"/>
      <c r="P10" s="14" t="n">
        <f aca="false">ROUND(IF(D10=0,IF((N10-E10-O10)&gt;0,(N10-E10-O10),0),IF((D10+N10-O10)&gt;0,(D10+N10-O10),0)),2)</f>
        <v>505.12</v>
      </c>
      <c r="Q10" s="14" t="n">
        <f aca="false">ROUND(IF(E10=0,IF((D10+N10-O10)&lt;0,ABS(D10+N10-O10),0),IF((N10-E10-O10)&lt;0,ABS(N10-E10-O10),0)),2)</f>
        <v>0</v>
      </c>
    </row>
    <row r="11" customFormat="false" ht="15" hidden="false" customHeight="true" outlineLevel="0" collapsed="false">
      <c r="A11" s="12" t="s">
        <v>31</v>
      </c>
      <c r="B11" s="12" t="str">
        <f aca="false">лютий!B11</f>
        <v>Семко Л.І.</v>
      </c>
      <c r="C11" s="12" t="s">
        <v>33</v>
      </c>
      <c r="D11" s="14" t="n">
        <f aca="false">лютий!P11</f>
        <v>2876.25</v>
      </c>
      <c r="E11" s="14" t="n">
        <f aca="false">лютий!Q11</f>
        <v>0</v>
      </c>
      <c r="F11" s="13" t="n">
        <f aca="false">лютий!F11</f>
        <v>0</v>
      </c>
      <c r="G11" s="13" t="n">
        <f aca="false">лютий!G11</f>
        <v>28.34</v>
      </c>
      <c r="H11" s="13" t="n">
        <f aca="false">лютий!H11</f>
        <v>0</v>
      </c>
      <c r="I11" s="13" t="n">
        <f aca="false">лютий!I11</f>
        <v>4.1</v>
      </c>
      <c r="J11" s="14" t="n">
        <f aca="false">ROUND(G11*I11,2)</f>
        <v>116.19</v>
      </c>
      <c r="K11" s="14"/>
      <c r="L11" s="14"/>
      <c r="M11" s="14"/>
      <c r="N11" s="14" t="n">
        <f aca="false">ROUND((G11*I11)-K11-L11-M11,2)</f>
        <v>116.19</v>
      </c>
      <c r="O11" s="14"/>
      <c r="P11" s="14" t="n">
        <f aca="false">ROUND(IF(D11=0,IF((N11-E11-O11)&gt;0,(N11-E11-O11),0),IF((D11+N11-O11)&gt;0,(D11+N11-O11),0)),2)</f>
        <v>2992.44</v>
      </c>
      <c r="Q11" s="14" t="n">
        <f aca="false">ROUND(IF(E11=0,IF((D11+N11-O11)&lt;0,ABS(D11+N11-O11),0),IF((N11-E11-O11)&lt;0,ABS(N11-E11-O11),0)),2)</f>
        <v>0</v>
      </c>
    </row>
    <row r="12" customFormat="false" ht="15" hidden="false" customHeight="true" outlineLevel="0" collapsed="false">
      <c r="A12" s="12" t="s">
        <v>31</v>
      </c>
      <c r="B12" s="12" t="str">
        <f aca="false">лютий!B12</f>
        <v>Гаркуша Н.І.</v>
      </c>
      <c r="C12" s="12" t="s">
        <v>35</v>
      </c>
      <c r="D12" s="14" t="n">
        <f aca="false">лютий!P12</f>
        <v>1109.88</v>
      </c>
      <c r="E12" s="14" t="n">
        <f aca="false">лютий!Q12</f>
        <v>0</v>
      </c>
      <c r="F12" s="13" t="n">
        <f aca="false">лютий!F12</f>
        <v>0</v>
      </c>
      <c r="G12" s="13" t="n">
        <f aca="false">лютий!G12</f>
        <v>36.66</v>
      </c>
      <c r="H12" s="13" t="n">
        <f aca="false">лютий!H12</f>
        <v>0</v>
      </c>
      <c r="I12" s="13" t="n">
        <f aca="false">лютий!I12</f>
        <v>4.1</v>
      </c>
      <c r="J12" s="14" t="n">
        <f aca="false">ROUND(G12*I12,2)</f>
        <v>150.31</v>
      </c>
      <c r="K12" s="14"/>
      <c r="L12" s="14"/>
      <c r="M12" s="14"/>
      <c r="N12" s="14" t="n">
        <f aca="false">ROUND((G12*I12)-K12-L12-M12,2)</f>
        <v>150.31</v>
      </c>
      <c r="O12" s="14"/>
      <c r="P12" s="14" t="n">
        <f aca="false">ROUND(IF(D12=0,IF((N12-E12-O12)&gt;0,(N12-E12-O12),0),IF((D12+N12-O12)&gt;0,(D12+N12-O12),0)),2)</f>
        <v>1260.19</v>
      </c>
      <c r="Q12" s="14" t="n">
        <f aca="false">ROUND(IF(E12=0,IF((D12+N12-O12)&lt;0,ABS(D12+N12-O12),0),IF((N12-E12-O12)&lt;0,ABS(N12-E12-O12),0)),2)</f>
        <v>0</v>
      </c>
    </row>
    <row r="13" customFormat="false" ht="15" hidden="false" customHeight="true" outlineLevel="0" collapsed="false">
      <c r="A13" s="12" t="s">
        <v>36</v>
      </c>
      <c r="B13" s="12" t="str">
        <f aca="false">лютий!B13</f>
        <v>Андріяшев В.М</v>
      </c>
      <c r="C13" s="12" t="s">
        <v>38</v>
      </c>
      <c r="D13" s="14" t="n">
        <f aca="false">лютий!P13</f>
        <v>542.92</v>
      </c>
      <c r="E13" s="14" t="n">
        <f aca="false">лютий!Q13</f>
        <v>0</v>
      </c>
      <c r="F13" s="13" t="n">
        <f aca="false">лютий!F13</f>
        <v>0</v>
      </c>
      <c r="G13" s="13" t="n">
        <f aca="false">лютий!G13</f>
        <v>49.8</v>
      </c>
      <c r="H13" s="13" t="n">
        <f aca="false">лютий!H13</f>
        <v>0</v>
      </c>
      <c r="I13" s="13" t="n">
        <f aca="false">лютий!I13</f>
        <v>4.1</v>
      </c>
      <c r="J13" s="14" t="n">
        <f aca="false">ROUND(G13*I13,2)</f>
        <v>204.18</v>
      </c>
      <c r="K13" s="14"/>
      <c r="L13" s="14"/>
      <c r="M13" s="14"/>
      <c r="N13" s="14" t="n">
        <f aca="false">ROUND((G13*I13)-K13-L13-M13,2)</f>
        <v>204.18</v>
      </c>
      <c r="O13" s="14"/>
      <c r="P13" s="14" t="n">
        <f aca="false">ROUND(IF(D13=0,IF((N13-E13-O13)&gt;0,(N13-E13-O13),0),IF((D13+N13-O13)&gt;0,(D13+N13-O13),0)),2)</f>
        <v>747.1</v>
      </c>
      <c r="Q13" s="14" t="n">
        <f aca="false">ROUND(IF(E13=0,IF((D13+N13-O13)&lt;0,ABS(D13+N13-O13),0),IF((N13-E13-O13)&lt;0,ABS(N13-E13-O13),0)),2)</f>
        <v>0</v>
      </c>
    </row>
    <row r="14" customFormat="false" ht="15" hidden="false" customHeight="true" outlineLevel="0" collapsed="false">
      <c r="A14" s="12" t="s">
        <v>39</v>
      </c>
      <c r="B14" s="12" t="str">
        <f aca="false">лютий!B14</f>
        <v>Старчикова О.М.</v>
      </c>
      <c r="C14" s="12" t="s">
        <v>41</v>
      </c>
      <c r="D14" s="14" t="n">
        <f aca="false">лютий!P14</f>
        <v>426.21</v>
      </c>
      <c r="E14" s="14" t="n">
        <f aca="false">лютий!Q14</f>
        <v>0</v>
      </c>
      <c r="F14" s="13" t="n">
        <f aca="false">лютий!F14</f>
        <v>0</v>
      </c>
      <c r="G14" s="13" t="n">
        <f aca="false">лютий!G14</f>
        <v>34.65</v>
      </c>
      <c r="H14" s="13" t="n">
        <f aca="false">лютий!H14</f>
        <v>0</v>
      </c>
      <c r="I14" s="13" t="n">
        <f aca="false">лютий!I14</f>
        <v>4.1</v>
      </c>
      <c r="J14" s="14" t="n">
        <f aca="false">ROUND(G14*I14,2)</f>
        <v>142.07</v>
      </c>
      <c r="K14" s="14"/>
      <c r="L14" s="14"/>
      <c r="M14" s="14"/>
      <c r="N14" s="14" t="n">
        <f aca="false">ROUND((G14*I14)-K14-L14-M14,2)</f>
        <v>142.07</v>
      </c>
      <c r="O14" s="14"/>
      <c r="P14" s="14" t="n">
        <f aca="false">ROUND(IF(D14=0,IF((N14-E14-O14)&gt;0,(N14-E14-O14),0),IF((D14+N14-O14)&gt;0,(D14+N14-O14),0)),2)</f>
        <v>568.28</v>
      </c>
      <c r="Q14" s="14" t="n">
        <f aca="false">ROUND(IF(E14=0,IF((D14+N14-O14)&lt;0,ABS(D14+N14-O14),0),IF((N14-E14-O14)&lt;0,ABS(N14-E14-O14),0)),2)</f>
        <v>0</v>
      </c>
    </row>
    <row r="15" customFormat="false" ht="15" hidden="false" customHeight="true" outlineLevel="0" collapsed="false">
      <c r="A15" s="12" t="s">
        <v>42</v>
      </c>
      <c r="B15" s="12" t="str">
        <f aca="false">лютий!B15</f>
        <v>Безер Т.М</v>
      </c>
      <c r="C15" s="12" t="s">
        <v>44</v>
      </c>
      <c r="D15" s="14" t="n">
        <f aca="false">лютий!P15</f>
        <v>502.51</v>
      </c>
      <c r="E15" s="14" t="n">
        <f aca="false">лютий!Q15</f>
        <v>0</v>
      </c>
      <c r="F15" s="13" t="n">
        <f aca="false">лютий!F15</f>
        <v>0</v>
      </c>
      <c r="G15" s="13" t="n">
        <f aca="false">лютий!G15</f>
        <v>62.14</v>
      </c>
      <c r="H15" s="13" t="n">
        <f aca="false">лютий!H15</f>
        <v>0</v>
      </c>
      <c r="I15" s="13" t="n">
        <f aca="false">лютий!I15</f>
        <v>4.1</v>
      </c>
      <c r="J15" s="14" t="n">
        <f aca="false">ROUND(G15*I15,2)</f>
        <v>254.77</v>
      </c>
      <c r="K15" s="14"/>
      <c r="L15" s="14"/>
      <c r="M15" s="14"/>
      <c r="N15" s="14" t="n">
        <f aca="false">ROUND((G15*I15)-K15-L15-M15,2)</f>
        <v>254.77</v>
      </c>
      <c r="O15" s="14"/>
      <c r="P15" s="14" t="n">
        <f aca="false">ROUND(IF(D15=0,IF((N15-E15-O15)&gt;0,(N15-E15-O15),0),IF((D15+N15-O15)&gt;0,(D15+N15-O15),0)),2)</f>
        <v>757.28</v>
      </c>
      <c r="Q15" s="14" t="n">
        <f aca="false">ROUND(IF(E15=0,IF((D15+N15-O15)&lt;0,ABS(D15+N15-O15),0),IF((N15-E15-O15)&lt;0,ABS(N15-E15-O15),0)),2)</f>
        <v>0</v>
      </c>
    </row>
    <row r="16" customFormat="false" ht="15" hidden="false" customHeight="true" outlineLevel="0" collapsed="false">
      <c r="A16" s="12" t="s">
        <v>45</v>
      </c>
      <c r="B16" s="12" t="str">
        <f aca="false">лютий!B16</f>
        <v>Решетило М.М</v>
      </c>
      <c r="C16" s="12" t="s">
        <v>47</v>
      </c>
      <c r="D16" s="14" t="n">
        <f aca="false">лютий!P16</f>
        <v>1336.04</v>
      </c>
      <c r="E16" s="14" t="n">
        <f aca="false">лютий!Q16</f>
        <v>0</v>
      </c>
      <c r="F16" s="13" t="n">
        <f aca="false">лютий!F16</f>
        <v>0</v>
      </c>
      <c r="G16" s="13" t="n">
        <f aca="false">лютий!G16</f>
        <v>65.16</v>
      </c>
      <c r="H16" s="13" t="n">
        <f aca="false">лютий!H16</f>
        <v>0</v>
      </c>
      <c r="I16" s="13" t="n">
        <f aca="false">лютий!I16</f>
        <v>4.1</v>
      </c>
      <c r="J16" s="14" t="n">
        <f aca="false">ROUND(G16*I16,2)</f>
        <v>267.16</v>
      </c>
      <c r="K16" s="14"/>
      <c r="L16" s="14"/>
      <c r="M16" s="14"/>
      <c r="N16" s="14" t="n">
        <f aca="false">ROUND((G16*I16)-K16-L16-M16,2)</f>
        <v>267.16</v>
      </c>
      <c r="O16" s="14"/>
      <c r="P16" s="14" t="n">
        <f aca="false">ROUND(IF(D16=0,IF((N16-E16-O16)&gt;0,(N16-E16-O16),0),IF((D16+N16-O16)&gt;0,(D16+N16-O16),0)),2)</f>
        <v>1603.2</v>
      </c>
      <c r="Q16" s="14" t="n">
        <f aca="false">ROUND(IF(E16=0,IF((D16+N16-O16)&lt;0,ABS(D16+N16-O16),0),IF((N16-E16-O16)&lt;0,ABS(N16-E16-O16),0)),2)</f>
        <v>0</v>
      </c>
    </row>
    <row r="17" customFormat="false" ht="15" hidden="false" customHeight="true" outlineLevel="0" collapsed="false">
      <c r="A17" s="12" t="s">
        <v>48</v>
      </c>
      <c r="B17" s="12" t="str">
        <f aca="false">лютий!B17</f>
        <v>Фесенко О.В.</v>
      </c>
      <c r="C17" s="12" t="s">
        <v>50</v>
      </c>
      <c r="D17" s="14" t="n">
        <f aca="false">лютий!P17</f>
        <v>5287.51</v>
      </c>
      <c r="E17" s="14" t="n">
        <f aca="false">лютий!Q17</f>
        <v>0</v>
      </c>
      <c r="F17" s="13" t="n">
        <f aca="false">лютий!F17</f>
        <v>0</v>
      </c>
      <c r="G17" s="13" t="n">
        <f aca="false">лютий!G17</f>
        <v>50.1</v>
      </c>
      <c r="H17" s="13" t="n">
        <f aca="false">лютий!H17</f>
        <v>0</v>
      </c>
      <c r="I17" s="13" t="n">
        <f aca="false">лютий!I17</f>
        <v>4.1</v>
      </c>
      <c r="J17" s="14" t="n">
        <f aca="false">ROUND(G17*I17,2)</f>
        <v>205.41</v>
      </c>
      <c r="K17" s="14"/>
      <c r="L17" s="14"/>
      <c r="M17" s="14"/>
      <c r="N17" s="14" t="n">
        <f aca="false">ROUND((G17*I17)-K17-L17-M17,2)</f>
        <v>205.41</v>
      </c>
      <c r="O17" s="14"/>
      <c r="P17" s="14" t="n">
        <f aca="false">ROUND(IF(D17=0,IF((N17-E17-O17)&gt;0,(N17-E17-O17),0),IF((D17+N17-O17)&gt;0,(D17+N17-O17),0)),2)</f>
        <v>5492.92</v>
      </c>
      <c r="Q17" s="14" t="n">
        <f aca="false">ROUND(IF(E17=0,IF((D17+N17-O17)&lt;0,ABS(D17+N17-O17),0),IF((N17-E17-O17)&lt;0,ABS(N17-E17-O17),0)),2)</f>
        <v>0</v>
      </c>
    </row>
    <row r="18" customFormat="false" ht="15" hidden="false" customHeight="true" outlineLevel="0" collapsed="false">
      <c r="A18" s="12" t="s">
        <v>51</v>
      </c>
      <c r="B18" s="12" t="str">
        <f aca="false">лютий!B18</f>
        <v>Петренко О.М.</v>
      </c>
      <c r="C18" s="12" t="s">
        <v>53</v>
      </c>
      <c r="D18" s="14" t="n">
        <f aca="false">лютий!P18</f>
        <v>1836.84</v>
      </c>
      <c r="E18" s="14" t="n">
        <f aca="false">лютий!Q18</f>
        <v>0</v>
      </c>
      <c r="F18" s="13" t="n">
        <f aca="false">лютий!F18</f>
        <v>0</v>
      </c>
      <c r="G18" s="13" t="n">
        <f aca="false">лютий!G18</f>
        <v>35.2</v>
      </c>
      <c r="H18" s="13" t="n">
        <f aca="false">лютий!H18</f>
        <v>0</v>
      </c>
      <c r="I18" s="13" t="n">
        <f aca="false">лютий!I18</f>
        <v>4.1</v>
      </c>
      <c r="J18" s="14" t="n">
        <f aca="false">ROUND(G18*I18,2)</f>
        <v>144.32</v>
      </c>
      <c r="K18" s="14"/>
      <c r="L18" s="14"/>
      <c r="M18" s="14"/>
      <c r="N18" s="14" t="n">
        <f aca="false">ROUND((G18*I18)-K18-L18-M18,2)</f>
        <v>144.32</v>
      </c>
      <c r="O18" s="14"/>
      <c r="P18" s="14" t="n">
        <f aca="false">ROUND(IF(D18=0,IF((N18-E18-O18)&gt;0,(N18-E18-O18),0),IF((D18+N18-O18)&gt;0,(D18+N18-O18),0)),2)</f>
        <v>1981.16</v>
      </c>
      <c r="Q18" s="14" t="n">
        <f aca="false">ROUND(IF(E18=0,IF((D18+N18-O18)&lt;0,ABS(D18+N18-O18),0),IF((N18-E18-O18)&lt;0,ABS(N18-E18-O18),0)),2)</f>
        <v>0</v>
      </c>
    </row>
    <row r="19" customFormat="false" ht="15" hidden="false" customHeight="true" outlineLevel="0" collapsed="false">
      <c r="A19" s="12" t="s">
        <v>54</v>
      </c>
      <c r="B19" s="12" t="str">
        <f aca="false">лютий!B19</f>
        <v>Зеленюк А.Д</v>
      </c>
      <c r="C19" s="12" t="s">
        <v>56</v>
      </c>
      <c r="D19" s="14" t="n">
        <f aca="false">лютий!P19</f>
        <v>12694.41</v>
      </c>
      <c r="E19" s="14" t="n">
        <f aca="false">лютий!Q19</f>
        <v>0</v>
      </c>
      <c r="F19" s="13" t="n">
        <f aca="false">лютий!F19</f>
        <v>0</v>
      </c>
      <c r="G19" s="13" t="n">
        <f aca="false">лютий!G19</f>
        <v>62.78</v>
      </c>
      <c r="H19" s="13" t="n">
        <f aca="false">лютий!H19</f>
        <v>0</v>
      </c>
      <c r="I19" s="13" t="n">
        <f aca="false">лютий!I19</f>
        <v>4.1</v>
      </c>
      <c r="J19" s="14" t="n">
        <f aca="false">ROUND(G19*I19,2)</f>
        <v>257.4</v>
      </c>
      <c r="K19" s="14"/>
      <c r="L19" s="14"/>
      <c r="M19" s="14"/>
      <c r="N19" s="14" t="n">
        <f aca="false">ROUND((G19*I19)-K19-L19-M19,2)</f>
        <v>257.4</v>
      </c>
      <c r="O19" s="14"/>
      <c r="P19" s="14" t="n">
        <f aca="false">ROUND(IF(D19=0,IF((N19-E19-O19)&gt;0,(N19-E19-O19),0),IF((D19+N19-O19)&gt;0,(D19+N19-O19),0)),2)</f>
        <v>12951.81</v>
      </c>
      <c r="Q19" s="14" t="n">
        <f aca="false">ROUND(IF(E19=0,IF((D19+N19-O19)&lt;0,ABS(D19+N19-O19),0),IF((N19-E19-O19)&lt;0,ABS(N19-E19-O19),0)),2)</f>
        <v>0</v>
      </c>
      <c r="U19" s="21"/>
    </row>
    <row r="20" customFormat="false" ht="15" hidden="false" customHeight="true" outlineLevel="0" collapsed="false">
      <c r="A20" s="12" t="s">
        <v>57</v>
      </c>
      <c r="B20" s="12" t="str">
        <f aca="false">лютий!B20</f>
        <v>Вовк І.В</v>
      </c>
      <c r="C20" s="12" t="s">
        <v>59</v>
      </c>
      <c r="D20" s="14" t="n">
        <f aca="false">лютий!P20</f>
        <v>5430.54</v>
      </c>
      <c r="E20" s="14" t="n">
        <f aca="false">лютий!Q20</f>
        <v>0</v>
      </c>
      <c r="F20" s="13" t="n">
        <f aca="false">лютий!F20</f>
        <v>0</v>
      </c>
      <c r="G20" s="13" t="n">
        <f aca="false">лютий!G20</f>
        <v>28.23</v>
      </c>
      <c r="H20" s="13" t="n">
        <f aca="false">лютий!H20</f>
        <v>0</v>
      </c>
      <c r="I20" s="13" t="n">
        <f aca="false">лютий!I20</f>
        <v>4.1</v>
      </c>
      <c r="J20" s="14" t="n">
        <f aca="false">ROUND(G20*I20,2)</f>
        <v>115.74</v>
      </c>
      <c r="K20" s="14"/>
      <c r="L20" s="14"/>
      <c r="M20" s="14"/>
      <c r="N20" s="14" t="n">
        <f aca="false">ROUND((G20*I20)-K20-L20-M20,2)</f>
        <v>115.74</v>
      </c>
      <c r="O20" s="14"/>
      <c r="P20" s="14" t="n">
        <f aca="false">ROUND(IF(D20=0,IF((N20-E20-O20)&gt;0,(N20-E20-O20),0),IF((D20+N20-O20)&gt;0,(D20+N20-O20),0)),2)</f>
        <v>5546.28</v>
      </c>
      <c r="Q20" s="14" t="n">
        <f aca="false">ROUND(IF(E20=0,IF((D20+N20-O20)&lt;0,ABS(D20+N20-O20),0),IF((N20-E20-O20)&lt;0,ABS(N20-E20-O20),0)),2)</f>
        <v>0</v>
      </c>
    </row>
    <row r="21" customFormat="false" ht="15" hidden="false" customHeight="true" outlineLevel="0" collapsed="false">
      <c r="A21" s="12" t="s">
        <v>57</v>
      </c>
      <c r="B21" s="12" t="str">
        <f aca="false">лютий!B21</f>
        <v>Романовський В.М</v>
      </c>
      <c r="C21" s="12" t="s">
        <v>61</v>
      </c>
      <c r="D21" s="14" t="n">
        <f aca="false">лютий!P21</f>
        <v>5761.96</v>
      </c>
      <c r="E21" s="14" t="n">
        <f aca="false">лютий!Q21</f>
        <v>0</v>
      </c>
      <c r="F21" s="13" t="n">
        <f aca="false">лютий!F21</f>
        <v>0</v>
      </c>
      <c r="G21" s="13" t="n">
        <f aca="false">лютий!G21</f>
        <v>37.84</v>
      </c>
      <c r="H21" s="13" t="n">
        <f aca="false">лютий!H21</f>
        <v>0</v>
      </c>
      <c r="I21" s="13" t="n">
        <f aca="false">лютий!I21</f>
        <v>4.1</v>
      </c>
      <c r="J21" s="14" t="n">
        <f aca="false">ROUND(G21*I21,2)</f>
        <v>155.14</v>
      </c>
      <c r="K21" s="14"/>
      <c r="L21" s="14"/>
      <c r="M21" s="14"/>
      <c r="N21" s="14" t="n">
        <f aca="false">ROUND((G21*I21)-K21-L21-M21,2)</f>
        <v>155.14</v>
      </c>
      <c r="O21" s="14"/>
      <c r="P21" s="14" t="n">
        <f aca="false">ROUND(IF(D21=0,IF((N21-E21-O21)&gt;0,(N21-E21-O21),0),IF((D21+N21-O21)&gt;0,(D21+N21-O21),0)),2)</f>
        <v>5917.1</v>
      </c>
      <c r="Q21" s="14" t="n">
        <f aca="false">ROUND(IF(E21=0,IF((D21+N21-O21)&lt;0,ABS(D21+N21-O21),0),IF((N21-E21-O21)&lt;0,ABS(N21-E21-O21),0)),2)</f>
        <v>0</v>
      </c>
    </row>
    <row r="22" customFormat="false" ht="15" hidden="false" customHeight="true" outlineLevel="0" collapsed="false">
      <c r="A22" s="12" t="s">
        <v>62</v>
      </c>
      <c r="B22" s="12" t="str">
        <f aca="false">лютий!B22</f>
        <v>Ряба Л.І</v>
      </c>
      <c r="C22" s="12" t="s">
        <v>64</v>
      </c>
      <c r="D22" s="14" t="n">
        <f aca="false">лютий!P22</f>
        <v>470.32</v>
      </c>
      <c r="E22" s="14" t="n">
        <f aca="false">лютий!Q22</f>
        <v>0</v>
      </c>
      <c r="F22" s="13" t="n">
        <f aca="false">лютий!F22</f>
        <v>0</v>
      </c>
      <c r="G22" s="13" t="n">
        <f aca="false">лютий!G22</f>
        <v>49.24</v>
      </c>
      <c r="H22" s="13" t="n">
        <f aca="false">лютий!H22</f>
        <v>0</v>
      </c>
      <c r="I22" s="13" t="n">
        <f aca="false">лютий!I22</f>
        <v>4.1</v>
      </c>
      <c r="J22" s="14" t="n">
        <f aca="false">ROUND(G22*I22,2)</f>
        <v>201.88</v>
      </c>
      <c r="K22" s="14"/>
      <c r="L22" s="14"/>
      <c r="M22" s="14"/>
      <c r="N22" s="14" t="n">
        <f aca="false">ROUND((G22*I22)-K22-L22-M22,2)</f>
        <v>201.88</v>
      </c>
      <c r="O22" s="14"/>
      <c r="P22" s="14" t="n">
        <f aca="false">ROUND(IF(D22=0,IF((N22-E22-O22)&gt;0,(N22-E22-O22),0),IF((D22+N22-O22)&gt;0,(D22+N22-O22),0)),2)</f>
        <v>672.2</v>
      </c>
      <c r="Q22" s="14" t="n">
        <f aca="false">ROUND(IF(E22=0,IF((D22+N22-O22)&lt;0,ABS(D22+N22-O22),0),IF((N22-E22-O22)&lt;0,ABS(N22-E22-O22),0)),2)</f>
        <v>0</v>
      </c>
    </row>
    <row r="23" customFormat="false" ht="15" hidden="false" customHeight="true" outlineLevel="0" collapsed="false">
      <c r="A23" s="12" t="s">
        <v>65</v>
      </c>
      <c r="B23" s="12" t="str">
        <f aca="false">лютий!B23</f>
        <v>Кас'янова О.А.</v>
      </c>
      <c r="C23" s="12" t="s">
        <v>67</v>
      </c>
      <c r="D23" s="14" t="n">
        <f aca="false">лютий!P23</f>
        <v>723.62</v>
      </c>
      <c r="E23" s="14" t="n">
        <f aca="false">лютий!Q23</f>
        <v>0</v>
      </c>
      <c r="F23" s="13" t="n">
        <f aca="false">лютий!F23</f>
        <v>0</v>
      </c>
      <c r="G23" s="13" t="n">
        <f aca="false">лютий!G23</f>
        <v>35.1</v>
      </c>
      <c r="H23" s="13" t="n">
        <f aca="false">лютий!H23</f>
        <v>0</v>
      </c>
      <c r="I23" s="13" t="n">
        <f aca="false">лютий!I23</f>
        <v>4.1</v>
      </c>
      <c r="J23" s="14" t="n">
        <f aca="false">ROUND(G23*I23,2)</f>
        <v>143.91</v>
      </c>
      <c r="K23" s="14"/>
      <c r="L23" s="14"/>
      <c r="M23" s="14"/>
      <c r="N23" s="14" t="n">
        <f aca="false">ROUND((G23*I23)-K23-L23-M23,2)</f>
        <v>143.91</v>
      </c>
      <c r="O23" s="14"/>
      <c r="P23" s="14" t="n">
        <f aca="false">ROUND(IF(D23=0,IF((N23-E23-O23)&gt;0,(N23-E23-O23),0),IF((D23+N23-O23)&gt;0,(D23+N23-O23),0)),2)</f>
        <v>867.53</v>
      </c>
      <c r="Q23" s="14" t="n">
        <f aca="false">ROUND(IF(E23=0,IF((D23+N23-O23)&lt;0,ABS(D23+N23-O23),0),IF((N23-E23-O23)&lt;0,ABS(N23-E23-O23),0)),2)</f>
        <v>0</v>
      </c>
    </row>
    <row r="24" customFormat="false" ht="15" hidden="false" customHeight="true" outlineLevel="0" collapsed="false">
      <c r="A24" s="12" t="s">
        <v>68</v>
      </c>
      <c r="B24" s="12" t="str">
        <f aca="false">лютий!B24</f>
        <v>Корякіна М.В.</v>
      </c>
      <c r="C24" s="12" t="s">
        <v>70</v>
      </c>
      <c r="D24" s="14" t="n">
        <f aca="false">лютий!P24</f>
        <v>5207.58</v>
      </c>
      <c r="E24" s="14" t="n">
        <f aca="false">лютий!Q24</f>
        <v>0</v>
      </c>
      <c r="F24" s="13" t="n">
        <f aca="false">лютий!F24</f>
        <v>0</v>
      </c>
      <c r="G24" s="13" t="n">
        <f aca="false">лютий!G24</f>
        <v>61.9</v>
      </c>
      <c r="H24" s="13" t="n">
        <f aca="false">лютий!H24</f>
        <v>0</v>
      </c>
      <c r="I24" s="13" t="n">
        <f aca="false">лютий!I24</f>
        <v>4.1</v>
      </c>
      <c r="J24" s="14" t="n">
        <f aca="false">ROUND(G24*I24,2)</f>
        <v>253.79</v>
      </c>
      <c r="K24" s="14"/>
      <c r="L24" s="14"/>
      <c r="M24" s="14"/>
      <c r="N24" s="14" t="n">
        <f aca="false">ROUND((G24*I24)-K24-L24-M24,2)</f>
        <v>253.79</v>
      </c>
      <c r="O24" s="14"/>
      <c r="P24" s="14" t="n">
        <f aca="false">ROUND(IF(D24=0,IF((N24-E24-O24)&gt;0,(N24-E24-O24),0),IF((D24+N24-O24)&gt;0,(D24+N24-O24),0)),2)</f>
        <v>5461.37</v>
      </c>
      <c r="Q24" s="14" t="n">
        <f aca="false">ROUND(IF(E24=0,IF((D24+N24-O24)&lt;0,ABS(D24+N24-O24),0),IF((N24-E24-O24)&lt;0,ABS(N24-E24-O24),0)),2)</f>
        <v>0</v>
      </c>
    </row>
    <row r="25" customFormat="false" ht="15" hidden="false" customHeight="true" outlineLevel="0" collapsed="false">
      <c r="A25" s="12" t="s">
        <v>71</v>
      </c>
      <c r="B25" s="12" t="str">
        <f aca="false">лютий!B25</f>
        <v>Сокерчак А.В.</v>
      </c>
      <c r="C25" s="12" t="s">
        <v>73</v>
      </c>
      <c r="D25" s="14" t="n">
        <f aca="false">лютий!P25</f>
        <v>815.49</v>
      </c>
      <c r="E25" s="14" t="n">
        <f aca="false">лютий!Q25</f>
        <v>0</v>
      </c>
      <c r="F25" s="13" t="n">
        <f aca="false">лютий!F25</f>
        <v>0</v>
      </c>
      <c r="G25" s="13" t="n">
        <f aca="false">лютий!G25</f>
        <v>66.3</v>
      </c>
      <c r="H25" s="13" t="n">
        <f aca="false">лютий!H25</f>
        <v>0</v>
      </c>
      <c r="I25" s="13" t="n">
        <f aca="false">лютий!I25</f>
        <v>4.1</v>
      </c>
      <c r="J25" s="14" t="n">
        <f aca="false">ROUND(G25*I25,2)</f>
        <v>271.83</v>
      </c>
      <c r="K25" s="14"/>
      <c r="L25" s="14"/>
      <c r="M25" s="14"/>
      <c r="N25" s="14" t="n">
        <f aca="false">ROUND((G25*I25)-K25-L25-M25,2)</f>
        <v>271.83</v>
      </c>
      <c r="O25" s="14"/>
      <c r="P25" s="14" t="n">
        <f aca="false">ROUND(IF(D25=0,IF((N25-E25-O25)&gt;0,(N25-E25-O25),0),IF((D25+N25-O25)&gt;0,(D25+N25-O25),0)),2)</f>
        <v>1087.32</v>
      </c>
      <c r="Q25" s="14" t="n">
        <f aca="false">ROUND(IF(E25=0,IF((D25+N25-O25)&lt;0,ABS(D25+N25-O25),0),IF((N25-E25-O25)&lt;0,ABS(N25-E25-O25),0)),2)</f>
        <v>0</v>
      </c>
    </row>
    <row r="26" customFormat="false" ht="15" hidden="false" customHeight="true" outlineLevel="0" collapsed="false">
      <c r="A26" s="12" t="s">
        <v>74</v>
      </c>
      <c r="B26" s="12" t="str">
        <f aca="false">лютий!B26</f>
        <v>Кравченко В.А</v>
      </c>
      <c r="C26" s="12" t="s">
        <v>76</v>
      </c>
      <c r="D26" s="14" t="n">
        <f aca="false">лютий!P26</f>
        <v>422.14</v>
      </c>
      <c r="E26" s="14" t="n">
        <f aca="false">лютий!Q26</f>
        <v>0</v>
      </c>
      <c r="F26" s="13" t="n">
        <f aca="false">лютий!F26</f>
        <v>0</v>
      </c>
      <c r="G26" s="13" t="n">
        <f aca="false">лютий!G26</f>
        <v>51.48</v>
      </c>
      <c r="H26" s="13" t="n">
        <f aca="false">лютий!H26</f>
        <v>0</v>
      </c>
      <c r="I26" s="13" t="n">
        <f aca="false">лютий!I26</f>
        <v>4.1</v>
      </c>
      <c r="J26" s="14" t="n">
        <f aca="false">ROUND(G26*I26,2)</f>
        <v>211.07</v>
      </c>
      <c r="K26" s="14"/>
      <c r="L26" s="14"/>
      <c r="M26" s="14"/>
      <c r="N26" s="14" t="n">
        <f aca="false">ROUND((G26*I26)-K26-L26-M26,2)</f>
        <v>211.07</v>
      </c>
      <c r="O26" s="14"/>
      <c r="P26" s="14" t="n">
        <f aca="false">ROUND(IF(D26=0,IF((N26-E26-O26)&gt;0,(N26-E26-O26),0),IF((D26+N26-O26)&gt;0,(D26+N26-O26),0)),2)</f>
        <v>633.21</v>
      </c>
      <c r="Q26" s="14" t="n">
        <f aca="false">ROUND(IF(E26=0,IF((D26+N26-O26)&lt;0,ABS(D26+N26-O26),0),IF((N26-E26-O26)&lt;0,ABS(N26-E26-O26),0)),2)</f>
        <v>0</v>
      </c>
    </row>
    <row r="27" customFormat="false" ht="15" hidden="false" customHeight="true" outlineLevel="0" collapsed="false">
      <c r="A27" s="12" t="s">
        <v>77</v>
      </c>
      <c r="B27" s="12" t="str">
        <f aca="false">лютий!B27</f>
        <v>Чичикало А.С</v>
      </c>
      <c r="C27" s="12" t="s">
        <v>79</v>
      </c>
      <c r="D27" s="14" t="n">
        <f aca="false">лютий!P27</f>
        <v>0</v>
      </c>
      <c r="E27" s="14" t="n">
        <f aca="false">лютий!Q27</f>
        <v>283.04</v>
      </c>
      <c r="F27" s="13" t="n">
        <f aca="false">лютий!F27</f>
        <v>0</v>
      </c>
      <c r="G27" s="13" t="n">
        <f aca="false">лютий!G27</f>
        <v>35.1</v>
      </c>
      <c r="H27" s="13" t="n">
        <f aca="false">лютий!H27</f>
        <v>0</v>
      </c>
      <c r="I27" s="13" t="n">
        <f aca="false">лютий!I27</f>
        <v>4.1</v>
      </c>
      <c r="J27" s="14" t="n">
        <f aca="false">ROUND(G27*I27,2)</f>
        <v>143.91</v>
      </c>
      <c r="K27" s="14"/>
      <c r="L27" s="14"/>
      <c r="M27" s="14"/>
      <c r="N27" s="14" t="n">
        <f aca="false">ROUND((G27*I27)-K27-L27-M27,2)</f>
        <v>143.91</v>
      </c>
      <c r="O27" s="14"/>
      <c r="P27" s="14" t="n">
        <f aca="false">ROUND(IF(D27=0,IF((N27-E27-O27)&gt;0,(N27-E27-O27),0),IF((D27+N27-O27)&gt;0,(D27+N27-O27),0)),2)</f>
        <v>0</v>
      </c>
      <c r="Q27" s="14" t="n">
        <f aca="false">ROUND(IF(E27=0,IF((D27+N27-O27)&lt;0,ABS(D27+N27-O27),0),IF((N27-E27-O27)&lt;0,ABS(N27-E27-O27),0)),2)</f>
        <v>139.13</v>
      </c>
    </row>
    <row r="28" customFormat="false" ht="15" hidden="false" customHeight="true" outlineLevel="0" collapsed="false">
      <c r="A28" s="12" t="s">
        <v>80</v>
      </c>
      <c r="B28" s="12" t="str">
        <f aca="false">лютий!B28</f>
        <v>Сільващук А.А</v>
      </c>
      <c r="C28" s="12" t="s">
        <v>82</v>
      </c>
      <c r="D28" s="14" t="n">
        <f aca="false">лютий!P28</f>
        <v>514.14</v>
      </c>
      <c r="E28" s="14" t="n">
        <f aca="false">лютий!Q28</f>
        <v>0</v>
      </c>
      <c r="F28" s="13" t="n">
        <f aca="false">лютий!F28</f>
        <v>0</v>
      </c>
      <c r="G28" s="13" t="n">
        <f aca="false">лютий!G28</f>
        <v>62.7</v>
      </c>
      <c r="H28" s="13" t="n">
        <f aca="false">лютий!H28</f>
        <v>0</v>
      </c>
      <c r="I28" s="13" t="n">
        <f aca="false">лютий!I28</f>
        <v>4.1</v>
      </c>
      <c r="J28" s="14" t="n">
        <f aca="false">ROUND(G28*I28,2)</f>
        <v>257.07</v>
      </c>
      <c r="K28" s="14"/>
      <c r="L28" s="14"/>
      <c r="M28" s="14"/>
      <c r="N28" s="14" t="n">
        <f aca="false">ROUND((G28*I28)-K28-L28-M28,2)</f>
        <v>257.07</v>
      </c>
      <c r="O28" s="14"/>
      <c r="P28" s="14" t="n">
        <f aca="false">ROUND(IF(D28=0,IF((N28-E28-O28)&gt;0,(N28-E28-O28),0),IF((D28+N28-O28)&gt;0,(D28+N28-O28),0)),2)</f>
        <v>771.21</v>
      </c>
      <c r="Q28" s="14" t="n">
        <f aca="false">ROUND(IF(E28=0,IF((D28+N28-O28)&lt;0,ABS(D28+N28-O28),0),IF((N28-E28-O28)&lt;0,ABS(N28-E28-O28),0)),2)</f>
        <v>0</v>
      </c>
    </row>
    <row r="29" customFormat="false" ht="15" hidden="false" customHeight="true" outlineLevel="0" collapsed="false">
      <c r="A29" s="12" t="s">
        <v>83</v>
      </c>
      <c r="B29" s="12" t="str">
        <f aca="false">лютий!B29</f>
        <v>Стеценко Г.М</v>
      </c>
      <c r="C29" s="12" t="s">
        <v>85</v>
      </c>
      <c r="D29" s="14" t="n">
        <f aca="false">лютий!P29</f>
        <v>803.43</v>
      </c>
      <c r="E29" s="14" t="n">
        <f aca="false">лютий!Q29</f>
        <v>0</v>
      </c>
      <c r="F29" s="13" t="n">
        <f aca="false">лютий!F29</f>
        <v>0</v>
      </c>
      <c r="G29" s="13" t="n">
        <f aca="false">лютий!G29</f>
        <v>65.32</v>
      </c>
      <c r="H29" s="13" t="n">
        <f aca="false">лютий!H29</f>
        <v>0</v>
      </c>
      <c r="I29" s="13" t="n">
        <f aca="false">лютий!I29</f>
        <v>4.1</v>
      </c>
      <c r="J29" s="14" t="n">
        <f aca="false">ROUND(G29*I29,2)</f>
        <v>267.81</v>
      </c>
      <c r="K29" s="14"/>
      <c r="L29" s="14"/>
      <c r="M29" s="14"/>
      <c r="N29" s="14" t="n">
        <f aca="false">ROUND((G29*I29)-K29-L29-M29,2)</f>
        <v>267.81</v>
      </c>
      <c r="O29" s="14"/>
      <c r="P29" s="14" t="n">
        <f aca="false">ROUND(IF(D29=0,IF((N29-E29-O29)&gt;0,(N29-E29-O29),0),IF((D29+N29-O29)&gt;0,(D29+N29-O29),0)),2)</f>
        <v>1071.24</v>
      </c>
      <c r="Q29" s="14" t="n">
        <f aca="false">ROUND(IF(E29=0,IF((D29+N29-O29)&lt;0,ABS(D29+N29-O29),0),IF((N29-E29-O29)&lt;0,ABS(N29-E29-O29),0)),2)</f>
        <v>0</v>
      </c>
    </row>
    <row r="30" customFormat="false" ht="15" hidden="false" customHeight="true" outlineLevel="0" collapsed="false">
      <c r="A30" s="12" t="s">
        <v>86</v>
      </c>
      <c r="B30" s="12" t="str">
        <f aca="false">лютий!B30</f>
        <v>Кирдячкіна П.А</v>
      </c>
      <c r="C30" s="12" t="s">
        <v>88</v>
      </c>
      <c r="D30" s="14" t="n">
        <f aca="false">лютий!P30</f>
        <v>357.02</v>
      </c>
      <c r="E30" s="14" t="n">
        <f aca="false">лютий!Q30</f>
        <v>0</v>
      </c>
      <c r="F30" s="13" t="n">
        <f aca="false">лютий!F30</f>
        <v>0</v>
      </c>
      <c r="G30" s="13" t="n">
        <f aca="false">лютий!G30</f>
        <v>49.7</v>
      </c>
      <c r="H30" s="13" t="n">
        <f aca="false">лютий!H30</f>
        <v>0</v>
      </c>
      <c r="I30" s="13" t="n">
        <f aca="false">лютий!I30</f>
        <v>4.1</v>
      </c>
      <c r="J30" s="14" t="n">
        <f aca="false">ROUND(G30*I30,2)</f>
        <v>203.77</v>
      </c>
      <c r="K30" s="14"/>
      <c r="L30" s="14"/>
      <c r="M30" s="14"/>
      <c r="N30" s="14" t="n">
        <f aca="false">ROUND((G30*I30)-K30-L30-M30,2)</f>
        <v>203.77</v>
      </c>
      <c r="O30" s="14"/>
      <c r="P30" s="14" t="n">
        <f aca="false">ROUND(IF(D30=0,IF((N30-E30-O30)&gt;0,(N30-E30-O30),0),IF((D30+N30-O30)&gt;0,(D30+N30-O30),0)),2)</f>
        <v>560.79</v>
      </c>
      <c r="Q30" s="14" t="n">
        <f aca="false">ROUND(IF(E30=0,IF((D30+N30-O30)&lt;0,ABS(D30+N30-O30),0),IF((N30-E30-O30)&lt;0,ABS(N30-E30-O30),0)),2)</f>
        <v>0</v>
      </c>
    </row>
    <row r="31" customFormat="false" ht="15" hidden="false" customHeight="true" outlineLevel="0" collapsed="false">
      <c r="A31" s="12" t="s">
        <v>89</v>
      </c>
      <c r="B31" s="12" t="str">
        <f aca="false">лютий!B31</f>
        <v>Фоміченко Л.А</v>
      </c>
      <c r="C31" s="12" t="s">
        <v>91</v>
      </c>
      <c r="D31" s="14" t="n">
        <f aca="false">лютий!P31</f>
        <v>3968.58</v>
      </c>
      <c r="E31" s="14" t="n">
        <f aca="false">лютий!Q31</f>
        <v>0</v>
      </c>
      <c r="F31" s="13" t="n">
        <f aca="false">лютий!F31</f>
        <v>0</v>
      </c>
      <c r="G31" s="13" t="n">
        <f aca="false">лютий!G31</f>
        <v>35.1</v>
      </c>
      <c r="H31" s="13" t="n">
        <f aca="false">лютий!H31</f>
        <v>0</v>
      </c>
      <c r="I31" s="13" t="n">
        <f aca="false">лютий!I31</f>
        <v>4.1</v>
      </c>
      <c r="J31" s="14" t="n">
        <f aca="false">ROUND(G31*I31,2)</f>
        <v>143.91</v>
      </c>
      <c r="K31" s="14"/>
      <c r="L31" s="14"/>
      <c r="M31" s="14"/>
      <c r="N31" s="14" t="n">
        <f aca="false">ROUND((G31*I31)-K31-L31-M31,2)</f>
        <v>143.91</v>
      </c>
      <c r="O31" s="14"/>
      <c r="P31" s="14" t="n">
        <f aca="false">ROUND(IF(D31=0,IF((N31-E31-O31)&gt;0,(N31-E31-O31),0),IF((D31+N31-O31)&gt;0,(D31+N31-O31),0)),2)</f>
        <v>4112.49</v>
      </c>
      <c r="Q31" s="14" t="n">
        <f aca="false">ROUND(IF(E31=0,IF((D31+N31-O31)&lt;0,ABS(D31+N31-O31),0),IF((N31-E31-O31)&lt;0,ABS(N31-E31-O31),0)),2)</f>
        <v>0</v>
      </c>
    </row>
    <row r="32" customFormat="false" ht="15" hidden="false" customHeight="true" outlineLevel="0" collapsed="false">
      <c r="A32" s="12" t="s">
        <v>92</v>
      </c>
      <c r="B32" s="12" t="str">
        <f aca="false">лютий!B32</f>
        <v>Сердюк А.Г</v>
      </c>
      <c r="C32" s="12" t="s">
        <v>94</v>
      </c>
      <c r="D32" s="14" t="n">
        <f aca="false">лютий!P32</f>
        <v>766.36</v>
      </c>
      <c r="E32" s="14" t="n">
        <f aca="false">лютий!Q32</f>
        <v>0</v>
      </c>
      <c r="F32" s="13" t="n">
        <f aca="false">лютий!F32</f>
        <v>0</v>
      </c>
      <c r="G32" s="13" t="n">
        <f aca="false">лютий!G32</f>
        <v>62.31</v>
      </c>
      <c r="H32" s="13" t="n">
        <f aca="false">лютий!H32</f>
        <v>0</v>
      </c>
      <c r="I32" s="13" t="n">
        <f aca="false">лютий!I32</f>
        <v>4.1</v>
      </c>
      <c r="J32" s="14" t="n">
        <f aca="false">ROUND(G32*I32,2)</f>
        <v>255.47</v>
      </c>
      <c r="K32" s="14"/>
      <c r="L32" s="14"/>
      <c r="M32" s="14"/>
      <c r="N32" s="14" t="n">
        <f aca="false">ROUND((G32*I32)-K32-L32-M32,2)</f>
        <v>255.47</v>
      </c>
      <c r="O32" s="14"/>
      <c r="P32" s="14" t="n">
        <f aca="false">ROUND(IF(D32=0,IF((N32-E32-O32)&gt;0,(N32-E32-O32),0),IF((D32+N32-O32)&gt;0,(D32+N32-O32),0)),2)</f>
        <v>1021.83</v>
      </c>
      <c r="Q32" s="14" t="n">
        <f aca="false">ROUND(IF(E32=0,IF((D32+N32-O32)&lt;0,ABS(D32+N32-O32),0),IF((N32-E32-O32)&lt;0,ABS(N32-E32-O32),0)),2)</f>
        <v>0</v>
      </c>
    </row>
    <row r="33" customFormat="false" ht="15" hidden="false" customHeight="true" outlineLevel="0" collapsed="false">
      <c r="A33" s="12" t="s">
        <v>95</v>
      </c>
      <c r="B33" s="12" t="str">
        <f aca="false">лютий!B33</f>
        <v>Михальченко Г.М</v>
      </c>
      <c r="C33" s="12" t="s">
        <v>97</v>
      </c>
      <c r="D33" s="14" t="n">
        <f aca="false">лютий!P33</f>
        <v>12920.56</v>
      </c>
      <c r="E33" s="14" t="n">
        <f aca="false">лютий!Q33</f>
        <v>0</v>
      </c>
      <c r="F33" s="13" t="n">
        <f aca="false">лютий!F33</f>
        <v>0</v>
      </c>
      <c r="G33" s="13" t="n">
        <f aca="false">лютий!G33</f>
        <v>65.04</v>
      </c>
      <c r="H33" s="13" t="n">
        <f aca="false">лютий!H33</f>
        <v>0</v>
      </c>
      <c r="I33" s="13" t="n">
        <f aca="false">лютий!I33</f>
        <v>4.1</v>
      </c>
      <c r="J33" s="14" t="n">
        <f aca="false">ROUND(G33*I33,2)</f>
        <v>266.66</v>
      </c>
      <c r="K33" s="14"/>
      <c r="L33" s="14"/>
      <c r="M33" s="14"/>
      <c r="N33" s="14" t="n">
        <f aca="false">ROUND((G33*I33)-K33-L33-M33,2)</f>
        <v>266.66</v>
      </c>
      <c r="O33" s="14"/>
      <c r="P33" s="14" t="n">
        <f aca="false">ROUND(IF(D33=0,IF((N33-E33-O33)&gt;0,(N33-E33-O33),0),IF((D33+N33-O33)&gt;0,(D33+N33-O33),0)),2)</f>
        <v>13187.22</v>
      </c>
      <c r="Q33" s="14" t="n">
        <f aca="false">ROUND(IF(E33=0,IF((D33+N33-O33)&lt;0,ABS(D33+N33-O33),0),IF((N33-E33-O33)&lt;0,ABS(N33-E33-O33),0)),2)</f>
        <v>0</v>
      </c>
    </row>
    <row r="34" customFormat="false" ht="15" hidden="false" customHeight="true" outlineLevel="0" collapsed="false">
      <c r="A34" s="12" t="s">
        <v>98</v>
      </c>
      <c r="B34" s="12" t="str">
        <f aca="false">лютий!B34</f>
        <v>Замуховська Я.С</v>
      </c>
      <c r="C34" s="12" t="s">
        <v>100</v>
      </c>
      <c r="D34" s="14" t="n">
        <f aca="false">лютий!P34</f>
        <v>816.72</v>
      </c>
      <c r="E34" s="14" t="n">
        <f aca="false">лютий!Q34</f>
        <v>0</v>
      </c>
      <c r="F34" s="13" t="n">
        <f aca="false">лютий!F34</f>
        <v>0</v>
      </c>
      <c r="G34" s="13" t="n">
        <f aca="false">лютий!G34</f>
        <v>49.8</v>
      </c>
      <c r="H34" s="13" t="n">
        <f aca="false">лютий!H34</f>
        <v>0</v>
      </c>
      <c r="I34" s="13" t="n">
        <f aca="false">лютий!I34</f>
        <v>4.1</v>
      </c>
      <c r="J34" s="14" t="n">
        <f aca="false">ROUND(G34*I34,2)</f>
        <v>204.18</v>
      </c>
      <c r="K34" s="14"/>
      <c r="L34" s="14"/>
      <c r="M34" s="14"/>
      <c r="N34" s="14" t="n">
        <f aca="false">ROUND((G34*I34)-K34-L34-M34,2)</f>
        <v>204.18</v>
      </c>
      <c r="O34" s="14"/>
      <c r="P34" s="14" t="n">
        <f aca="false">ROUND(IF(D34=0,IF((N34-E34-O34)&gt;0,(N34-E34-O34),0),IF((D34+N34-O34)&gt;0,(D34+N34-O34),0)),2)</f>
        <v>1020.9</v>
      </c>
      <c r="Q34" s="14" t="n">
        <f aca="false">ROUND(IF(E34=0,IF((D34+N34-O34)&lt;0,ABS(D34+N34-O34),0),IF((N34-E34-O34)&lt;0,ABS(N34-E34-O34),0)),2)</f>
        <v>0</v>
      </c>
    </row>
    <row r="35" customFormat="false" ht="15" hidden="false" customHeight="true" outlineLevel="0" collapsed="false">
      <c r="A35" s="12" t="s">
        <v>101</v>
      </c>
      <c r="B35" s="12" t="str">
        <f aca="false">лютий!B35</f>
        <v>Мержиєвська Г.К</v>
      </c>
      <c r="C35" s="12" t="s">
        <v>103</v>
      </c>
      <c r="D35" s="14" t="n">
        <f aca="false">лютий!P35</f>
        <v>576.8</v>
      </c>
      <c r="E35" s="14" t="n">
        <f aca="false">лютий!Q35</f>
        <v>0</v>
      </c>
      <c r="F35" s="13" t="n">
        <f aca="false">лютий!F35</f>
        <v>0</v>
      </c>
      <c r="G35" s="13" t="n">
        <f aca="false">лютий!G35</f>
        <v>35.17</v>
      </c>
      <c r="H35" s="13" t="n">
        <f aca="false">лютий!H35</f>
        <v>0</v>
      </c>
      <c r="I35" s="13" t="n">
        <f aca="false">лютий!I35</f>
        <v>4.1</v>
      </c>
      <c r="J35" s="14" t="n">
        <f aca="false">ROUND(G35*I35,2)</f>
        <v>144.2</v>
      </c>
      <c r="K35" s="14"/>
      <c r="L35" s="14"/>
      <c r="M35" s="14"/>
      <c r="N35" s="14" t="n">
        <f aca="false">ROUND((G35*I35)-K35-L35-M35,2)</f>
        <v>144.2</v>
      </c>
      <c r="O35" s="14"/>
      <c r="P35" s="14" t="n">
        <f aca="false">ROUND(IF(D35=0,IF((N35-E35-O35)&gt;0,(N35-E35-O35),0),IF((D35+N35-O35)&gt;0,(D35+N35-O35),0)),2)</f>
        <v>721</v>
      </c>
      <c r="Q35" s="14" t="n">
        <f aca="false">ROUND(IF(E35=0,IF((D35+N35-O35)&lt;0,ABS(D35+N35-O35),0),IF((N35-E35-O35)&lt;0,ABS(N35-E35-O35),0)),2)</f>
        <v>0</v>
      </c>
    </row>
    <row r="36" customFormat="false" ht="15" hidden="false" customHeight="true" outlineLevel="0" collapsed="false">
      <c r="A36" s="12" t="s">
        <v>104</v>
      </c>
      <c r="B36" s="12" t="str">
        <f aca="false">лютий!B36</f>
        <v>Кулакова Л.В.</v>
      </c>
      <c r="C36" s="12" t="s">
        <v>106</v>
      </c>
      <c r="D36" s="14" t="n">
        <f aca="false">лютий!P36</f>
        <v>512.26</v>
      </c>
      <c r="E36" s="14" t="n">
        <f aca="false">лютий!Q36</f>
        <v>0</v>
      </c>
      <c r="F36" s="13" t="n">
        <f aca="false">лютий!F36</f>
        <v>0</v>
      </c>
      <c r="G36" s="13" t="n">
        <f aca="false">лютий!G36</f>
        <v>62.47</v>
      </c>
      <c r="H36" s="13" t="n">
        <f aca="false">лютий!H36</f>
        <v>0</v>
      </c>
      <c r="I36" s="13" t="n">
        <f aca="false">лютий!I36</f>
        <v>4.1</v>
      </c>
      <c r="J36" s="14" t="n">
        <f aca="false">ROUND(G36*I36,2)</f>
        <v>256.13</v>
      </c>
      <c r="K36" s="14"/>
      <c r="L36" s="14"/>
      <c r="M36" s="14"/>
      <c r="N36" s="14" t="n">
        <f aca="false">ROUND((G36*I36)-K36-L36-M36,2)</f>
        <v>256.13</v>
      </c>
      <c r="O36" s="14"/>
      <c r="P36" s="14" t="n">
        <f aca="false">ROUND(IF(D36=0,IF((N36-E36-O36)&gt;0,(N36-E36-O36),0),IF((D36+N36-O36)&gt;0,(D36+N36-O36),0)),2)</f>
        <v>768.39</v>
      </c>
      <c r="Q36" s="14" t="n">
        <f aca="false">ROUND(IF(E36=0,IF((D36+N36-O36)&lt;0,ABS(D36+N36-O36),0),IF((N36-E36-O36)&lt;0,ABS(N36-E36-O36),0)),2)</f>
        <v>0</v>
      </c>
    </row>
    <row r="37" customFormat="false" ht="15" hidden="false" customHeight="true" outlineLevel="0" collapsed="false">
      <c r="A37" s="12" t="s">
        <v>107</v>
      </c>
      <c r="B37" s="12" t="str">
        <f aca="false">лютий!B37</f>
        <v>Бочаров В.Л.</v>
      </c>
      <c r="C37" s="12" t="s">
        <v>109</v>
      </c>
      <c r="D37" s="14" t="n">
        <f aca="false">лютий!P37</f>
        <v>7522.68</v>
      </c>
      <c r="E37" s="14" t="n">
        <f aca="false">лютий!Q37</f>
        <v>0</v>
      </c>
      <c r="F37" s="13" t="n">
        <f aca="false">лютий!F37</f>
        <v>0</v>
      </c>
      <c r="G37" s="13" t="n">
        <f aca="false">лютий!G37</f>
        <v>65.75</v>
      </c>
      <c r="H37" s="13" t="n">
        <f aca="false">лютий!H37</f>
        <v>0</v>
      </c>
      <c r="I37" s="13" t="n">
        <f aca="false">лютий!I37</f>
        <v>4.1</v>
      </c>
      <c r="J37" s="14" t="n">
        <f aca="false">ROUND(G37*I37,2)</f>
        <v>269.58</v>
      </c>
      <c r="K37" s="14"/>
      <c r="L37" s="14"/>
      <c r="M37" s="14"/>
      <c r="N37" s="14" t="n">
        <f aca="false">ROUND((G37*I37)-K37-L37-M37,2)</f>
        <v>269.58</v>
      </c>
      <c r="O37" s="14"/>
      <c r="P37" s="14" t="n">
        <f aca="false">ROUND(IF(D37=0,IF((N37-E37-O37)&gt;0,(N37-E37-O37),0),IF((D37+N37-O37)&gt;0,(D37+N37-O37),0)),2)</f>
        <v>7792.26</v>
      </c>
      <c r="Q37" s="14" t="n">
        <f aca="false">ROUND(IF(E37=0,IF((D37+N37-O37)&lt;0,ABS(D37+N37-O37),0),IF((N37-E37-O37)&lt;0,ABS(N37-E37-O37),0)),2)</f>
        <v>0</v>
      </c>
    </row>
    <row r="38" customFormat="false" ht="15" hidden="false" customHeight="true" outlineLevel="0" collapsed="false">
      <c r="A38" s="12" t="s">
        <v>110</v>
      </c>
      <c r="B38" s="12" t="str">
        <f aca="false">лютий!B38</f>
        <v>Лучков В.Л.</v>
      </c>
      <c r="C38" s="12" t="s">
        <v>112</v>
      </c>
      <c r="D38" s="14" t="n">
        <f aca="false">лютий!P38</f>
        <v>9976.09</v>
      </c>
      <c r="E38" s="14" t="n">
        <f aca="false">лютий!Q38</f>
        <v>0</v>
      </c>
      <c r="F38" s="13" t="n">
        <f aca="false">лютий!F38</f>
        <v>0</v>
      </c>
      <c r="G38" s="13" t="n">
        <f aca="false">лютий!G38</f>
        <v>49.7</v>
      </c>
      <c r="H38" s="13" t="n">
        <f aca="false">лютий!H38</f>
        <v>0</v>
      </c>
      <c r="I38" s="13" t="n">
        <f aca="false">лютий!I38</f>
        <v>4.1</v>
      </c>
      <c r="J38" s="14" t="n">
        <f aca="false">ROUND(G38*I38,2)</f>
        <v>203.77</v>
      </c>
      <c r="K38" s="14"/>
      <c r="L38" s="14"/>
      <c r="M38" s="14"/>
      <c r="N38" s="14" t="n">
        <f aca="false">ROUND((G38*I38)-K38-L38-M38,2)</f>
        <v>203.77</v>
      </c>
      <c r="O38" s="14"/>
      <c r="P38" s="14" t="n">
        <f aca="false">ROUND(IF(D38=0,IF((N38-E38-O38)&gt;0,(N38-E38-O38),0),IF((D38+N38-O38)&gt;0,(D38+N38-O38),0)),2)</f>
        <v>10179.86</v>
      </c>
      <c r="Q38" s="14" t="n">
        <f aca="false">ROUND(IF(E38=0,IF((D38+N38-O38)&lt;0,ABS(D38+N38-O38),0),IF((N38-E38-O38)&lt;0,ABS(N38-E38-O38),0)),2)</f>
        <v>0</v>
      </c>
    </row>
    <row r="39" customFormat="false" ht="15" hidden="false" customHeight="true" outlineLevel="0" collapsed="false">
      <c r="A39" s="12" t="s">
        <v>113</v>
      </c>
      <c r="B39" s="12" t="str">
        <f aca="false">лютий!B39</f>
        <v>Кашкар Т.М.</v>
      </c>
      <c r="C39" s="12" t="s">
        <v>115</v>
      </c>
      <c r="D39" s="14" t="n">
        <f aca="false">лютий!P39</f>
        <v>287.82</v>
      </c>
      <c r="E39" s="14" t="n">
        <f aca="false">лютий!Q39</f>
        <v>0</v>
      </c>
      <c r="F39" s="13" t="n">
        <f aca="false">лютий!F39</f>
        <v>0</v>
      </c>
      <c r="G39" s="13" t="n">
        <f aca="false">лютий!G39</f>
        <v>35.1</v>
      </c>
      <c r="H39" s="13" t="n">
        <f aca="false">лютий!H39</f>
        <v>0</v>
      </c>
      <c r="I39" s="13" t="n">
        <f aca="false">лютий!I39</f>
        <v>4.1</v>
      </c>
      <c r="J39" s="14" t="n">
        <f aca="false">ROUND(G39*I39,2)</f>
        <v>143.91</v>
      </c>
      <c r="K39" s="14"/>
      <c r="L39" s="14"/>
      <c r="M39" s="14"/>
      <c r="N39" s="14" t="n">
        <f aca="false">ROUND((G39*I39)-K39-L39-M39,2)</f>
        <v>143.91</v>
      </c>
      <c r="O39" s="14"/>
      <c r="P39" s="14" t="n">
        <f aca="false">ROUND(IF(D39=0,IF((N39-E39-O39)&gt;0,(N39-E39-O39),0),IF((D39+N39-O39)&gt;0,(D39+N39-O39),0)),2)</f>
        <v>431.73</v>
      </c>
      <c r="Q39" s="14" t="n">
        <f aca="false">ROUND(IF(E39=0,IF((D39+N39-O39)&lt;0,ABS(D39+N39-O39),0),IF((N39-E39-O39)&lt;0,ABS(N39-E39-O39),0)),2)</f>
        <v>0</v>
      </c>
    </row>
    <row r="40" customFormat="false" ht="15" hidden="false" customHeight="true" outlineLevel="0" collapsed="false">
      <c r="A40" s="12" t="s">
        <v>116</v>
      </c>
      <c r="B40" s="12" t="str">
        <f aca="false">лютий!B40</f>
        <v>Стецюк Н.П.</v>
      </c>
      <c r="C40" s="12" t="s">
        <v>118</v>
      </c>
      <c r="D40" s="14" t="n">
        <f aca="false">лютий!P40</f>
        <v>1425.69</v>
      </c>
      <c r="E40" s="14" t="n">
        <f aca="false">лютий!Q40</f>
        <v>0</v>
      </c>
      <c r="F40" s="13" t="n">
        <f aca="false">лютий!F40</f>
        <v>0</v>
      </c>
      <c r="G40" s="13" t="n">
        <f aca="false">лютий!G40</f>
        <v>61.9</v>
      </c>
      <c r="H40" s="13" t="n">
        <f aca="false">лютий!H40</f>
        <v>0</v>
      </c>
      <c r="I40" s="13" t="n">
        <f aca="false">лютий!I40</f>
        <v>4.1</v>
      </c>
      <c r="J40" s="14" t="n">
        <f aca="false">ROUND(G40*I40,2)</f>
        <v>253.79</v>
      </c>
      <c r="K40" s="14"/>
      <c r="L40" s="14"/>
      <c r="M40" s="14"/>
      <c r="N40" s="14" t="n">
        <f aca="false">ROUND((G40*I40)-K40-L40-M40,2)</f>
        <v>253.79</v>
      </c>
      <c r="O40" s="14"/>
      <c r="P40" s="14" t="n">
        <f aca="false">ROUND(IF(D40=0,IF((N40-E40-O40)&gt;0,(N40-E40-O40),0),IF((D40+N40-O40)&gt;0,(D40+N40-O40),0)),2)</f>
        <v>1679.48</v>
      </c>
      <c r="Q40" s="14" t="n">
        <f aca="false">ROUND(IF(E40=0,IF((D40+N40-O40)&lt;0,ABS(D40+N40-O40),0),IF((N40-E40-O40)&lt;0,ABS(N40-E40-O40),0)),2)</f>
        <v>0</v>
      </c>
    </row>
    <row r="41" customFormat="false" ht="15" hidden="false" customHeight="true" outlineLevel="0" collapsed="false">
      <c r="A41" s="12" t="s">
        <v>119</v>
      </c>
      <c r="B41" s="12" t="str">
        <f aca="false">лютий!B41</f>
        <v>Маханько В.О.</v>
      </c>
      <c r="C41" s="12" t="s">
        <v>121</v>
      </c>
      <c r="D41" s="14" t="n">
        <f aca="false">лютий!P41</f>
        <v>10098.75</v>
      </c>
      <c r="E41" s="14" t="n">
        <f aca="false">лютий!Q41</f>
        <v>0</v>
      </c>
      <c r="F41" s="13" t="n">
        <f aca="false">лютий!F41</f>
        <v>0</v>
      </c>
      <c r="G41" s="13" t="n">
        <f aca="false">лютий!G41</f>
        <v>65.53</v>
      </c>
      <c r="H41" s="13" t="n">
        <f aca="false">лютий!H41</f>
        <v>0</v>
      </c>
      <c r="I41" s="13" t="n">
        <f aca="false">лютий!I41</f>
        <v>4.1</v>
      </c>
      <c r="J41" s="14" t="n">
        <f aca="false">ROUND(G41*I41,2)</f>
        <v>268.67</v>
      </c>
      <c r="K41" s="14"/>
      <c r="L41" s="14"/>
      <c r="M41" s="14"/>
      <c r="N41" s="14" t="n">
        <f aca="false">ROUND((G41*I41)-K41-L41-M41,2)</f>
        <v>268.67</v>
      </c>
      <c r="O41" s="14"/>
      <c r="P41" s="14" t="n">
        <f aca="false">ROUND(IF(D41=0,IF((N41-E41-O41)&gt;0,(N41-E41-O41),0),IF((D41+N41-O41)&gt;0,(D41+N41-O41),0)),2)</f>
        <v>10367.42</v>
      </c>
      <c r="Q41" s="14" t="n">
        <f aca="false">ROUND(IF(E41=0,IF((D41+N41-O41)&lt;0,ABS(D41+N41-O41),0),IF((N41-E41-O41)&lt;0,ABS(N41-E41-O41),0)),2)</f>
        <v>0</v>
      </c>
    </row>
    <row r="42" customFormat="false" ht="15" hidden="false" customHeight="true" outlineLevel="0" collapsed="false">
      <c r="A42" s="12" t="s">
        <v>122</v>
      </c>
      <c r="B42" s="12" t="str">
        <f aca="false">лютий!B42</f>
        <v>Реуцька Р.С.</v>
      </c>
      <c r="C42" s="12" t="s">
        <v>124</v>
      </c>
      <c r="D42" s="14" t="n">
        <f aca="false">лютий!P42</f>
        <v>8669</v>
      </c>
      <c r="E42" s="14" t="n">
        <f aca="false">лютий!Q42</f>
        <v>0</v>
      </c>
      <c r="F42" s="13" t="n">
        <f aca="false">лютий!F42</f>
        <v>0</v>
      </c>
      <c r="G42" s="13" t="n">
        <f aca="false">лютий!G42</f>
        <v>49.7</v>
      </c>
      <c r="H42" s="13" t="n">
        <f aca="false">лютий!H42</f>
        <v>0</v>
      </c>
      <c r="I42" s="13" t="n">
        <f aca="false">лютий!I42</f>
        <v>4.1</v>
      </c>
      <c r="J42" s="14" t="n">
        <f aca="false">ROUND(G42*I42,2)</f>
        <v>203.77</v>
      </c>
      <c r="K42" s="14"/>
      <c r="L42" s="14"/>
      <c r="M42" s="14"/>
      <c r="N42" s="14" t="n">
        <f aca="false">ROUND((G42*I42)-K42-L42-M42,2)</f>
        <v>203.77</v>
      </c>
      <c r="O42" s="14"/>
      <c r="P42" s="14" t="n">
        <f aca="false">ROUND(IF(D42=0,IF((N42-E42-O42)&gt;0,(N42-E42-O42),0),IF((D42+N42-O42)&gt;0,(D42+N42-O42),0)),2)</f>
        <v>8872.77</v>
      </c>
      <c r="Q42" s="14" t="n">
        <f aca="false">ROUND(IF(E42=0,IF((D42+N42-O42)&lt;0,ABS(D42+N42-O42),0),IF((N42-E42-O42)&lt;0,ABS(N42-E42-O42),0)),2)</f>
        <v>0</v>
      </c>
    </row>
    <row r="43" customFormat="false" ht="15" hidden="false" customHeight="true" outlineLevel="0" collapsed="false">
      <c r="A43" s="12" t="s">
        <v>125</v>
      </c>
      <c r="B43" s="12" t="str">
        <f aca="false">лютий!B43</f>
        <v>Колесникова Р.Г.</v>
      </c>
      <c r="C43" s="12" t="s">
        <v>127</v>
      </c>
      <c r="D43" s="14" t="n">
        <f aca="false">лютий!P43</f>
        <v>2164.38</v>
      </c>
      <c r="E43" s="14" t="n">
        <f aca="false">лютий!Q43</f>
        <v>0</v>
      </c>
      <c r="F43" s="13" t="n">
        <f aca="false">лютий!F43</f>
        <v>0</v>
      </c>
      <c r="G43" s="13" t="n">
        <f aca="false">лютий!G43</f>
        <v>35.1</v>
      </c>
      <c r="H43" s="13" t="n">
        <f aca="false">лютий!H43</f>
        <v>0</v>
      </c>
      <c r="I43" s="13" t="n">
        <f aca="false">лютий!I43</f>
        <v>4.1</v>
      </c>
      <c r="J43" s="14" t="n">
        <f aca="false">ROUND(G43*I43,2)</f>
        <v>143.91</v>
      </c>
      <c r="K43" s="14"/>
      <c r="L43" s="14"/>
      <c r="M43" s="14"/>
      <c r="N43" s="14" t="n">
        <f aca="false">ROUND((G43*I43)-K43-L43-M43,2)</f>
        <v>143.91</v>
      </c>
      <c r="O43" s="14"/>
      <c r="P43" s="14" t="n">
        <f aca="false">ROUND(IF(D43=0,IF((N43-E43-O43)&gt;0,(N43-E43-O43),0),IF((D43+N43-O43)&gt;0,(D43+N43-O43),0)),2)</f>
        <v>2308.29</v>
      </c>
      <c r="Q43" s="14" t="n">
        <f aca="false">ROUND(IF(E43=0,IF((D43+N43-O43)&lt;0,ABS(D43+N43-O43),0),IF((N43-E43-O43)&lt;0,ABS(N43-E43-O43),0)),2)</f>
        <v>0</v>
      </c>
    </row>
    <row r="44" customFormat="false" ht="15" hidden="false" customHeight="true" outlineLevel="0" collapsed="false">
      <c r="A44" s="12" t="s">
        <v>128</v>
      </c>
      <c r="B44" s="12" t="str">
        <f aca="false">лютий!B44</f>
        <v>Кучеренко М.М.</v>
      </c>
      <c r="C44" s="12" t="s">
        <v>130</v>
      </c>
      <c r="D44" s="14" t="n">
        <f aca="false">лютий!P44</f>
        <v>11728.81</v>
      </c>
      <c r="E44" s="14" t="n">
        <f aca="false">лютий!Q44</f>
        <v>0</v>
      </c>
      <c r="F44" s="13" t="n">
        <f aca="false">лютий!F44</f>
        <v>0</v>
      </c>
      <c r="G44" s="13" t="n">
        <f aca="false">лютий!G44</f>
        <v>61.88</v>
      </c>
      <c r="H44" s="13" t="n">
        <f aca="false">лютий!H44</f>
        <v>0</v>
      </c>
      <c r="I44" s="13" t="n">
        <f aca="false">лютий!I44</f>
        <v>4.1</v>
      </c>
      <c r="J44" s="14" t="n">
        <f aca="false">ROUND(G44*I44,2)</f>
        <v>253.71</v>
      </c>
      <c r="K44" s="14"/>
      <c r="L44" s="14"/>
      <c r="M44" s="14"/>
      <c r="N44" s="14" t="n">
        <f aca="false">ROUND((G44*I44)-K44-L44-M44,2)</f>
        <v>253.71</v>
      </c>
      <c r="O44" s="14"/>
      <c r="P44" s="14" t="n">
        <f aca="false">ROUND(IF(D44=0,IF((N44-E44-O44)&gt;0,(N44-E44-O44),0),IF((D44+N44-O44)&gt;0,(D44+N44-O44),0)),2)</f>
        <v>11982.52</v>
      </c>
      <c r="Q44" s="14" t="n">
        <f aca="false">ROUND(IF(E44=0,IF((D44+N44-O44)&lt;0,ABS(D44+N44-O44),0),IF((N44-E44-O44)&lt;0,ABS(N44-E44-O44),0)),2)</f>
        <v>0</v>
      </c>
    </row>
    <row r="45" customFormat="false" ht="15" hidden="false" customHeight="true" outlineLevel="0" collapsed="false">
      <c r="A45" s="12" t="s">
        <v>131</v>
      </c>
      <c r="B45" s="12" t="str">
        <f aca="false">лютий!B45</f>
        <v>Гурова О.М.</v>
      </c>
      <c r="C45" s="12" t="s">
        <v>133</v>
      </c>
      <c r="D45" s="14" t="n">
        <f aca="false">лютий!P45</f>
        <v>193.67</v>
      </c>
      <c r="E45" s="14" t="n">
        <f aca="false">лютий!Q45</f>
        <v>0</v>
      </c>
      <c r="F45" s="13" t="n">
        <f aca="false">лютий!F45</f>
        <v>0</v>
      </c>
      <c r="G45" s="13" t="n">
        <f aca="false">лютий!G45</f>
        <v>62.2</v>
      </c>
      <c r="H45" s="13" t="n">
        <f aca="false">лютий!H45</f>
        <v>0</v>
      </c>
      <c r="I45" s="13" t="n">
        <f aca="false">лютий!I45</f>
        <v>4.1</v>
      </c>
      <c r="J45" s="14" t="n">
        <f aca="false">ROUND(G45*I45,2)</f>
        <v>255.02</v>
      </c>
      <c r="K45" s="14"/>
      <c r="L45" s="14"/>
      <c r="M45" s="14"/>
      <c r="N45" s="14" t="n">
        <f aca="false">ROUND((G45*I45)-K45-L45-M45,2)</f>
        <v>255.02</v>
      </c>
      <c r="O45" s="14"/>
      <c r="P45" s="14" t="n">
        <f aca="false">ROUND(IF(D45=0,IF((N45-E45-O45)&gt;0,(N45-E45-O45),0),IF((D45+N45-O45)&gt;0,(D45+N45-O45),0)),2)</f>
        <v>448.69</v>
      </c>
      <c r="Q45" s="14" t="n">
        <f aca="false">ROUND(IF(E45=0,IF((D45+N45-O45)&lt;0,ABS(D45+N45-O45),0),IF((N45-E45-O45)&lt;0,ABS(N45-E45-O45),0)),2)</f>
        <v>0</v>
      </c>
    </row>
    <row r="46" customFormat="false" ht="15" hidden="false" customHeight="true" outlineLevel="0" collapsed="false">
      <c r="A46" s="12" t="s">
        <v>134</v>
      </c>
      <c r="B46" s="12" t="str">
        <f aca="false">лютий!B46</f>
        <v>Федорова В.І.</v>
      </c>
      <c r="C46" s="12" t="s">
        <v>136</v>
      </c>
      <c r="D46" s="14" t="n">
        <f aca="false">лютий!P46</f>
        <v>0</v>
      </c>
      <c r="E46" s="14" t="n">
        <f aca="false">лютий!Q46</f>
        <v>70.73</v>
      </c>
      <c r="F46" s="13" t="n">
        <f aca="false">лютий!F46</f>
        <v>0</v>
      </c>
      <c r="G46" s="13" t="n">
        <f aca="false">лютий!G46</f>
        <v>34.9</v>
      </c>
      <c r="H46" s="13" t="n">
        <f aca="false">лютий!H46</f>
        <v>0</v>
      </c>
      <c r="I46" s="13" t="n">
        <f aca="false">лютий!I46</f>
        <v>4.1</v>
      </c>
      <c r="J46" s="14" t="n">
        <f aca="false">ROUND(G46*I46,2)</f>
        <v>143.09</v>
      </c>
      <c r="K46" s="14"/>
      <c r="L46" s="14"/>
      <c r="M46" s="14"/>
      <c r="N46" s="14" t="n">
        <f aca="false">ROUND((G46*I46)-K46-L46-M46,2)</f>
        <v>143.09</v>
      </c>
      <c r="O46" s="14"/>
      <c r="P46" s="14" t="n">
        <f aca="false">ROUND(IF(D46=0,IF((N46-E46-O46)&gt;0,(N46-E46-O46),0),IF((D46+N46-O46)&gt;0,(D46+N46-O46),0)),2)</f>
        <v>72.36</v>
      </c>
      <c r="Q46" s="14" t="n">
        <f aca="false">ROUND(IF(E46=0,IF((D46+N46-O46)&lt;0,ABS(D46+N46-O46),0),IF((N46-E46-O46)&lt;0,ABS(N46-E46-O46),0)),2)</f>
        <v>0</v>
      </c>
    </row>
    <row r="47" customFormat="false" ht="15" hidden="false" customHeight="true" outlineLevel="0" collapsed="false">
      <c r="A47" s="12" t="s">
        <v>137</v>
      </c>
      <c r="B47" s="12" t="str">
        <f aca="false">лютий!B47</f>
        <v>Лаптєв В.І.</v>
      </c>
      <c r="C47" s="12" t="s">
        <v>139</v>
      </c>
      <c r="D47" s="14" t="n">
        <f aca="false">лютий!P47</f>
        <v>400.16</v>
      </c>
      <c r="E47" s="14" t="n">
        <f aca="false">лютий!Q47</f>
        <v>0</v>
      </c>
      <c r="F47" s="13" t="n">
        <f aca="false">лютий!F47</f>
        <v>0</v>
      </c>
      <c r="G47" s="13" t="n">
        <f aca="false">лютий!G47</f>
        <v>48.8</v>
      </c>
      <c r="H47" s="13" t="n">
        <f aca="false">лютий!H47</f>
        <v>0</v>
      </c>
      <c r="I47" s="13" t="n">
        <f aca="false">лютий!I47</f>
        <v>4.1</v>
      </c>
      <c r="J47" s="14" t="n">
        <f aca="false">ROUND(G47*I47,2)</f>
        <v>200.08</v>
      </c>
      <c r="K47" s="14"/>
      <c r="L47" s="14"/>
      <c r="M47" s="14"/>
      <c r="N47" s="14" t="n">
        <f aca="false">ROUND((G47*I47)-K47-L47-M47,2)</f>
        <v>200.08</v>
      </c>
      <c r="O47" s="14"/>
      <c r="P47" s="14" t="n">
        <f aca="false">ROUND(IF(D47=0,IF((N47-E47-O47)&gt;0,(N47-E47-O47),0),IF((D47+N47-O47)&gt;0,(D47+N47-O47),0)),2)</f>
        <v>600.24</v>
      </c>
      <c r="Q47" s="14" t="n">
        <f aca="false">ROUND(IF(E47=0,IF((D47+N47-O47)&lt;0,ABS(D47+N47-O47),0),IF((N47-E47-O47)&lt;0,ABS(N47-E47-O47),0)),2)</f>
        <v>0</v>
      </c>
    </row>
    <row r="48" customFormat="false" ht="15" hidden="false" customHeight="true" outlineLevel="0" collapsed="false">
      <c r="A48" s="12" t="s">
        <v>140</v>
      </c>
      <c r="B48" s="12" t="str">
        <f aca="false">лютий!B48</f>
        <v>Тимощук О.Є.</v>
      </c>
      <c r="C48" s="12" t="s">
        <v>142</v>
      </c>
      <c r="D48" s="14" t="n">
        <f aca="false">лютий!P48</f>
        <v>469.86</v>
      </c>
      <c r="E48" s="14" t="n">
        <f aca="false">лютий!Q48</f>
        <v>0</v>
      </c>
      <c r="F48" s="13" t="n">
        <f aca="false">лютий!F48</f>
        <v>0</v>
      </c>
      <c r="G48" s="13" t="n">
        <f aca="false">лютий!G48</f>
        <v>57.3</v>
      </c>
      <c r="H48" s="13" t="n">
        <f aca="false">лютий!H48</f>
        <v>0</v>
      </c>
      <c r="I48" s="13" t="n">
        <f aca="false">лютий!I48</f>
        <v>4.1</v>
      </c>
      <c r="J48" s="14" t="n">
        <f aca="false">ROUND(G48*I48,2)</f>
        <v>234.93</v>
      </c>
      <c r="K48" s="14"/>
      <c r="L48" s="14"/>
      <c r="M48" s="14"/>
      <c r="N48" s="14" t="n">
        <f aca="false">ROUND((G48*I48)-K48-L48-M48,2)</f>
        <v>234.93</v>
      </c>
      <c r="O48" s="14"/>
      <c r="P48" s="14" t="n">
        <f aca="false">ROUND(IF(D48=0,IF((N48-E48-O48)&gt;0,(N48-E48-O48),0),IF((D48+N48-O48)&gt;0,(D48+N48-O48),0)),2)</f>
        <v>704.79</v>
      </c>
      <c r="Q48" s="14" t="n">
        <f aca="false">ROUND(IF(E48=0,IF((D48+N48-O48)&lt;0,ABS(D48+N48-O48),0),IF((N48-E48-O48)&lt;0,ABS(N48-E48-O48),0)),2)</f>
        <v>0</v>
      </c>
    </row>
    <row r="49" customFormat="false" ht="15" hidden="false" customHeight="true" outlineLevel="0" collapsed="false">
      <c r="A49" s="12" t="s">
        <v>143</v>
      </c>
      <c r="B49" s="12" t="str">
        <f aca="false">лютий!B49</f>
        <v>Котяш О.В.</v>
      </c>
      <c r="C49" s="12" t="s">
        <v>145</v>
      </c>
      <c r="D49" s="14" t="n">
        <f aca="false">лютий!P49</f>
        <v>3631.71</v>
      </c>
      <c r="E49" s="14" t="n">
        <f aca="false">лютий!Q49</f>
        <v>0</v>
      </c>
      <c r="F49" s="13" t="n">
        <f aca="false">лютий!F49</f>
        <v>0</v>
      </c>
      <c r="G49" s="13" t="n">
        <f aca="false">лютий!G49</f>
        <v>63.3</v>
      </c>
      <c r="H49" s="13" t="n">
        <f aca="false">лютий!H49</f>
        <v>0</v>
      </c>
      <c r="I49" s="13" t="n">
        <f aca="false">лютий!I49</f>
        <v>4.1</v>
      </c>
      <c r="J49" s="14" t="n">
        <f aca="false">ROUND(G49*I49,2)</f>
        <v>259.53</v>
      </c>
      <c r="K49" s="14"/>
      <c r="L49" s="14"/>
      <c r="M49" s="14"/>
      <c r="N49" s="14" t="n">
        <f aca="false">ROUND((G49*I49)-K49-L49-M49,2)</f>
        <v>259.53</v>
      </c>
      <c r="O49" s="14"/>
      <c r="P49" s="14" t="n">
        <f aca="false">ROUND(IF(D49=0,IF((N49-E49-O49)&gt;0,(N49-E49-O49),0),IF((D49+N49-O49)&gt;0,(D49+N49-O49),0)),2)</f>
        <v>3891.24</v>
      </c>
      <c r="Q49" s="14" t="n">
        <f aca="false">ROUND(IF(E49=0,IF((D49+N49-O49)&lt;0,ABS(D49+N49-O49),0),IF((N49-E49-O49)&lt;0,ABS(N49-E49-O49),0)),2)</f>
        <v>0</v>
      </c>
    </row>
    <row r="50" customFormat="false" ht="15" hidden="false" customHeight="true" outlineLevel="0" collapsed="false">
      <c r="A50" s="12" t="s">
        <v>146</v>
      </c>
      <c r="B50" s="12" t="str">
        <f aca="false">лютий!B50</f>
        <v>Токовило-Паращенко Л.П.</v>
      </c>
      <c r="C50" s="12" t="s">
        <v>148</v>
      </c>
      <c r="D50" s="14" t="n">
        <f aca="false">лютий!P50</f>
        <v>292.58</v>
      </c>
      <c r="E50" s="14" t="n">
        <f aca="false">лютий!Q50</f>
        <v>0</v>
      </c>
      <c r="F50" s="13" t="n">
        <f aca="false">лютий!F50</f>
        <v>0</v>
      </c>
      <c r="G50" s="13" t="n">
        <f aca="false">лютий!G50</f>
        <v>35.68</v>
      </c>
      <c r="H50" s="13" t="n">
        <f aca="false">лютий!H50</f>
        <v>0</v>
      </c>
      <c r="I50" s="13" t="n">
        <f aca="false">лютий!I50</f>
        <v>4.1</v>
      </c>
      <c r="J50" s="14" t="n">
        <f aca="false">ROUND(G50*I50,2)</f>
        <v>146.29</v>
      </c>
      <c r="K50" s="14"/>
      <c r="L50" s="14"/>
      <c r="M50" s="14"/>
      <c r="N50" s="14" t="n">
        <f aca="false">ROUND((G50*I50)-K50-L50-M50,2)</f>
        <v>146.29</v>
      </c>
      <c r="O50" s="14"/>
      <c r="P50" s="14" t="n">
        <f aca="false">ROUND(IF(D50=0,IF((N50-E50-O50)&gt;0,(N50-E50-O50),0),IF((D50+N50-O50)&gt;0,(D50+N50-O50),0)),2)</f>
        <v>438.87</v>
      </c>
      <c r="Q50" s="14" t="n">
        <f aca="false">ROUND(IF(E50=0,IF((D50+N50-O50)&lt;0,ABS(D50+N50-O50),0),IF((N50-E50-O50)&lt;0,ABS(N50-E50-O50),0)),2)</f>
        <v>0</v>
      </c>
    </row>
    <row r="51" customFormat="false" ht="15" hidden="false" customHeight="true" outlineLevel="0" collapsed="false">
      <c r="A51" s="12" t="s">
        <v>149</v>
      </c>
      <c r="B51" s="12" t="str">
        <f aca="false">лютий!B51</f>
        <v>Бєлая К.В.</v>
      </c>
      <c r="C51" s="12" t="s">
        <v>151</v>
      </c>
      <c r="D51" s="14" t="n">
        <f aca="false">лютий!P51</f>
        <v>3228.76</v>
      </c>
      <c r="E51" s="14" t="n">
        <f aca="false">лютий!Q51</f>
        <v>0</v>
      </c>
      <c r="F51" s="13" t="n">
        <f aca="false">лютий!F51</f>
        <v>0</v>
      </c>
      <c r="G51" s="13" t="n">
        <f aca="false">лютий!G51</f>
        <v>49.8</v>
      </c>
      <c r="H51" s="13" t="n">
        <f aca="false">лютий!H51</f>
        <v>0</v>
      </c>
      <c r="I51" s="13" t="n">
        <f aca="false">лютий!I51</f>
        <v>4.1</v>
      </c>
      <c r="J51" s="14" t="n">
        <f aca="false">ROUND(G51*I51,2)</f>
        <v>204.18</v>
      </c>
      <c r="K51" s="14"/>
      <c r="L51" s="14"/>
      <c r="M51" s="14"/>
      <c r="N51" s="14" t="n">
        <f aca="false">ROUND((G51*I51)-K51-L51-M51,2)</f>
        <v>204.18</v>
      </c>
      <c r="O51" s="14"/>
      <c r="P51" s="14" t="n">
        <f aca="false">ROUND(IF(D51=0,IF((N51-E51-O51)&gt;0,(N51-E51-O51),0),IF((D51+N51-O51)&gt;0,(D51+N51-O51),0)),2)</f>
        <v>3432.94</v>
      </c>
      <c r="Q51" s="14" t="n">
        <f aca="false">ROUND(IF(E51=0,IF((D51+N51-O51)&lt;0,ABS(D51+N51-O51),0),IF((N51-E51-O51)&lt;0,ABS(N51-E51-O51),0)),2)</f>
        <v>0</v>
      </c>
    </row>
    <row r="52" customFormat="false" ht="15" hidden="false" customHeight="true" outlineLevel="0" collapsed="false">
      <c r="A52" s="12" t="s">
        <v>152</v>
      </c>
      <c r="B52" s="12" t="str">
        <f aca="false">лютий!B52</f>
        <v>Стадник О.Ф.</v>
      </c>
      <c r="C52" s="12" t="s">
        <v>154</v>
      </c>
      <c r="D52" s="14" t="n">
        <f aca="false">лютий!P52</f>
        <v>6265.85</v>
      </c>
      <c r="E52" s="14" t="n">
        <f aca="false">лютий!Q52</f>
        <v>0</v>
      </c>
      <c r="F52" s="13" t="n">
        <f aca="false">лютий!F52</f>
        <v>0</v>
      </c>
      <c r="G52" s="13" t="n">
        <f aca="false">лютий!G52</f>
        <v>65.9</v>
      </c>
      <c r="H52" s="13" t="n">
        <f aca="false">лютий!H52</f>
        <v>0</v>
      </c>
      <c r="I52" s="13" t="n">
        <f aca="false">лютий!I52</f>
        <v>4.1</v>
      </c>
      <c r="J52" s="14" t="n">
        <f aca="false">ROUND(G52*I52,2)</f>
        <v>270.19</v>
      </c>
      <c r="K52" s="14"/>
      <c r="L52" s="14"/>
      <c r="M52" s="14"/>
      <c r="N52" s="14" t="n">
        <f aca="false">ROUND((G52*I52)-K52-L52-M52,2)</f>
        <v>270.19</v>
      </c>
      <c r="O52" s="14"/>
      <c r="P52" s="14" t="n">
        <f aca="false">ROUND(IF(D52=0,IF((N52-E52-O52)&gt;0,(N52-E52-O52),0),IF((D52+N52-O52)&gt;0,(D52+N52-O52),0)),2)</f>
        <v>6536.04</v>
      </c>
      <c r="Q52" s="14" t="n">
        <f aca="false">ROUND(IF(E52=0,IF((D52+N52-O52)&lt;0,ABS(D52+N52-O52),0),IF((N52-E52-O52)&lt;0,ABS(N52-E52-O52),0)),2)</f>
        <v>0</v>
      </c>
    </row>
    <row r="53" customFormat="false" ht="15" hidden="false" customHeight="true" outlineLevel="0" collapsed="false">
      <c r="A53" s="12" t="s">
        <v>155</v>
      </c>
      <c r="B53" s="12" t="str">
        <f aca="false">лютий!B53</f>
        <v>Ляшенко В.М.</v>
      </c>
      <c r="C53" s="12" t="s">
        <v>157</v>
      </c>
      <c r="D53" s="14" t="n">
        <f aca="false">лютий!P53</f>
        <v>508.4</v>
      </c>
      <c r="E53" s="14" t="n">
        <f aca="false">лютий!Q53</f>
        <v>0</v>
      </c>
      <c r="F53" s="13" t="n">
        <f aca="false">лютий!F53</f>
        <v>0</v>
      </c>
      <c r="G53" s="13" t="n">
        <f aca="false">лютий!G53</f>
        <v>62</v>
      </c>
      <c r="H53" s="13" t="n">
        <f aca="false">лютий!H53</f>
        <v>0</v>
      </c>
      <c r="I53" s="13" t="n">
        <f aca="false">лютий!I53</f>
        <v>4.1</v>
      </c>
      <c r="J53" s="14" t="n">
        <f aca="false">ROUND(G53*I53,2)</f>
        <v>254.2</v>
      </c>
      <c r="K53" s="14"/>
      <c r="L53" s="14"/>
      <c r="M53" s="14"/>
      <c r="N53" s="14" t="n">
        <f aca="false">ROUND((G53*I53)-K53-L53-M53,2)</f>
        <v>254.2</v>
      </c>
      <c r="O53" s="14"/>
      <c r="P53" s="14" t="n">
        <f aca="false">ROUND(IF(D53=0,IF((N53-E53-O53)&gt;0,(N53-E53-O53),0),IF((D53+N53-O53)&gt;0,(D53+N53-O53),0)),2)</f>
        <v>762.6</v>
      </c>
      <c r="Q53" s="14" t="n">
        <f aca="false">ROUND(IF(E53=0,IF((D53+N53-O53)&lt;0,ABS(D53+N53-O53),0),IF((N53-E53-O53)&lt;0,ABS(N53-E53-O53),0)),2)</f>
        <v>0</v>
      </c>
    </row>
    <row r="54" customFormat="false" ht="15" hidden="false" customHeight="true" outlineLevel="0" collapsed="false">
      <c r="A54" s="12" t="s">
        <v>158</v>
      </c>
      <c r="B54" s="12" t="str">
        <f aca="false">лютий!B54</f>
        <v>Смоленська Т.О.</v>
      </c>
      <c r="C54" s="12" t="s">
        <v>160</v>
      </c>
      <c r="D54" s="14" t="n">
        <f aca="false">лютий!P54</f>
        <v>287.82</v>
      </c>
      <c r="E54" s="14" t="n">
        <f aca="false">лютий!Q54</f>
        <v>0</v>
      </c>
      <c r="F54" s="13" t="n">
        <f aca="false">лютий!F54</f>
        <v>0</v>
      </c>
      <c r="G54" s="13" t="n">
        <f aca="false">лютий!G54</f>
        <v>35.1</v>
      </c>
      <c r="H54" s="13" t="n">
        <f aca="false">лютий!H54</f>
        <v>0</v>
      </c>
      <c r="I54" s="13" t="n">
        <f aca="false">лютий!I54</f>
        <v>4.1</v>
      </c>
      <c r="J54" s="14" t="n">
        <f aca="false">ROUND(G54*I54,2)</f>
        <v>143.91</v>
      </c>
      <c r="K54" s="14"/>
      <c r="L54" s="14"/>
      <c r="M54" s="14"/>
      <c r="N54" s="14" t="n">
        <f aca="false">ROUND((G54*I54)-K54-L54-M54,2)</f>
        <v>143.91</v>
      </c>
      <c r="O54" s="14"/>
      <c r="P54" s="14" t="n">
        <f aca="false">ROUND(IF(D54=0,IF((N54-E54-O54)&gt;0,(N54-E54-O54),0),IF((D54+N54-O54)&gt;0,(D54+N54-O54),0)),2)</f>
        <v>431.73</v>
      </c>
      <c r="Q54" s="14" t="n">
        <f aca="false">ROUND(IF(E54=0,IF((D54+N54-O54)&lt;0,ABS(D54+N54-O54),0),IF((N54-E54-O54)&lt;0,ABS(N54-E54-O54),0)),2)</f>
        <v>0</v>
      </c>
    </row>
    <row r="55" customFormat="false" ht="15" hidden="false" customHeight="true" outlineLevel="0" collapsed="false">
      <c r="A55" s="12" t="s">
        <v>161</v>
      </c>
      <c r="B55" s="12" t="str">
        <f aca="false">лютий!B55</f>
        <v>Дудка І.В.</v>
      </c>
      <c r="C55" s="12" t="s">
        <v>163</v>
      </c>
      <c r="D55" s="14" t="n">
        <f aca="false">лютий!P55</f>
        <v>406.72</v>
      </c>
      <c r="E55" s="14" t="n">
        <f aca="false">лютий!Q55</f>
        <v>0</v>
      </c>
      <c r="F55" s="13" t="n">
        <f aca="false">лютий!F55</f>
        <v>0</v>
      </c>
      <c r="G55" s="13" t="n">
        <f aca="false">лютий!G55</f>
        <v>49.6</v>
      </c>
      <c r="H55" s="13" t="n">
        <f aca="false">лютий!H55</f>
        <v>0</v>
      </c>
      <c r="I55" s="13" t="n">
        <f aca="false">лютий!I55</f>
        <v>4.1</v>
      </c>
      <c r="J55" s="14" t="n">
        <f aca="false">ROUND(G55*I55,2)</f>
        <v>203.36</v>
      </c>
      <c r="K55" s="14"/>
      <c r="L55" s="14"/>
      <c r="M55" s="14"/>
      <c r="N55" s="14" t="n">
        <f aca="false">ROUND((G55*I55)-K55-L55-M55,2)</f>
        <v>203.36</v>
      </c>
      <c r="O55" s="14"/>
      <c r="P55" s="14" t="n">
        <f aca="false">ROUND(IF(D55=0,IF((N55-E55-O55)&gt;0,(N55-E55-O55),0),IF((D55+N55-O55)&gt;0,(D55+N55-O55),0)),2)</f>
        <v>610.08</v>
      </c>
      <c r="Q55" s="14" t="n">
        <f aca="false">ROUND(IF(E55=0,IF((D55+N55-O55)&lt;0,ABS(D55+N55-O55),0),IF((N55-E55-O55)&lt;0,ABS(N55-E55-O55),0)),2)</f>
        <v>0</v>
      </c>
    </row>
    <row r="56" customFormat="false" ht="15" hidden="false" customHeight="true" outlineLevel="0" collapsed="false">
      <c r="A56" s="12" t="s">
        <v>164</v>
      </c>
      <c r="B56" s="12" t="str">
        <f aca="false">лютий!B56</f>
        <v>Буланова Л.І.</v>
      </c>
      <c r="C56" s="12" t="s">
        <v>166</v>
      </c>
      <c r="D56" s="14" t="n">
        <f aca="false">лютий!P56</f>
        <v>544.8</v>
      </c>
      <c r="E56" s="14" t="n">
        <f aca="false">лютий!Q56</f>
        <v>0</v>
      </c>
      <c r="F56" s="13" t="n">
        <f aca="false">лютий!F56</f>
        <v>0</v>
      </c>
      <c r="G56" s="13" t="n">
        <f aca="false">лютий!G56</f>
        <v>66.44</v>
      </c>
      <c r="H56" s="13" t="n">
        <f aca="false">лютий!H56</f>
        <v>0</v>
      </c>
      <c r="I56" s="13" t="n">
        <f aca="false">лютий!I56</f>
        <v>4.1</v>
      </c>
      <c r="J56" s="14" t="n">
        <f aca="false">ROUND(G56*I56,2)</f>
        <v>272.4</v>
      </c>
      <c r="K56" s="14"/>
      <c r="L56" s="14"/>
      <c r="M56" s="14"/>
      <c r="N56" s="14" t="n">
        <f aca="false">ROUND((G56*I56)-K56-L56-M56,2)</f>
        <v>272.4</v>
      </c>
      <c r="O56" s="14"/>
      <c r="P56" s="14" t="n">
        <f aca="false">ROUND(IF(D56=0,IF((N56-E56-O56)&gt;0,(N56-E56-O56),0),IF((D56+N56-O56)&gt;0,(D56+N56-O56),0)),2)</f>
        <v>817.2</v>
      </c>
      <c r="Q56" s="14" t="n">
        <f aca="false">ROUND(IF(E56=0,IF((D56+N56-O56)&lt;0,ABS(D56+N56-O56),0),IF((N56-E56-O56)&lt;0,ABS(N56-E56-O56),0)),2)</f>
        <v>0</v>
      </c>
    </row>
    <row r="57" customFormat="false" ht="15" hidden="false" customHeight="true" outlineLevel="0" collapsed="false">
      <c r="A57" s="12" t="s">
        <v>167</v>
      </c>
      <c r="B57" s="12" t="str">
        <f aca="false">лютий!B57</f>
        <v>Шалімова О.О.</v>
      </c>
      <c r="C57" s="12" t="s">
        <v>169</v>
      </c>
      <c r="D57" s="14" t="n">
        <f aca="false">лютий!P57</f>
        <v>935.45</v>
      </c>
      <c r="E57" s="14" t="n">
        <f aca="false">лютий!Q57</f>
        <v>0</v>
      </c>
      <c r="F57" s="13" t="n">
        <f aca="false">лютий!F57</f>
        <v>0</v>
      </c>
      <c r="G57" s="13" t="n">
        <f aca="false">лютий!G57</f>
        <v>62.1</v>
      </c>
      <c r="H57" s="13" t="n">
        <f aca="false">лютий!H57</f>
        <v>0</v>
      </c>
      <c r="I57" s="13" t="n">
        <f aca="false">лютий!I57</f>
        <v>4.1</v>
      </c>
      <c r="J57" s="14" t="n">
        <f aca="false">ROUND(G57*I57,2)</f>
        <v>254.61</v>
      </c>
      <c r="K57" s="14"/>
      <c r="L57" s="14"/>
      <c r="M57" s="14"/>
      <c r="N57" s="14" t="n">
        <f aca="false">ROUND((G57*I57)-K57-L57-M57,2)</f>
        <v>254.61</v>
      </c>
      <c r="O57" s="14"/>
      <c r="P57" s="14" t="n">
        <f aca="false">ROUND(IF(D57=0,IF((N57-E57-O57)&gt;0,(N57-E57-O57),0),IF((D57+N57-O57)&gt;0,(D57+N57-O57),0)),2)</f>
        <v>1190.06</v>
      </c>
      <c r="Q57" s="14" t="n">
        <f aca="false">ROUND(IF(E57=0,IF((D57+N57-O57)&lt;0,ABS(D57+N57-O57),0),IF((N57-E57-O57)&lt;0,ABS(N57-E57-O57),0)),2)</f>
        <v>0</v>
      </c>
    </row>
    <row r="58" customFormat="false" ht="15" hidden="false" customHeight="true" outlineLevel="0" collapsed="false">
      <c r="A58" s="12" t="s">
        <v>170</v>
      </c>
      <c r="B58" s="12" t="str">
        <f aca="false">лютий!B58</f>
        <v>Андросик О.О.</v>
      </c>
      <c r="C58" s="12" t="s">
        <v>172</v>
      </c>
      <c r="D58" s="14" t="n">
        <f aca="false">лютий!P58</f>
        <v>1499.18</v>
      </c>
      <c r="E58" s="14" t="n">
        <f aca="false">лютий!Q58</f>
        <v>0</v>
      </c>
      <c r="F58" s="13" t="n">
        <f aca="false">лютий!F58</f>
        <v>0</v>
      </c>
      <c r="G58" s="13" t="n">
        <f aca="false">лютий!G58</f>
        <v>34.9</v>
      </c>
      <c r="H58" s="13" t="n">
        <f aca="false">лютий!H58</f>
        <v>0</v>
      </c>
      <c r="I58" s="13" t="n">
        <f aca="false">лютий!I58</f>
        <v>4.1</v>
      </c>
      <c r="J58" s="14" t="n">
        <f aca="false">ROUND(G58*I58,2)</f>
        <v>143.09</v>
      </c>
      <c r="K58" s="14"/>
      <c r="L58" s="14"/>
      <c r="M58" s="14"/>
      <c r="N58" s="14" t="n">
        <f aca="false">ROUND((G58*I58)-K58-L58-M58,2)</f>
        <v>143.09</v>
      </c>
      <c r="O58" s="14"/>
      <c r="P58" s="14" t="n">
        <f aca="false">ROUND(IF(D58=0,IF((N58-E58-O58)&gt;0,(N58-E58-O58),0),IF((D58+N58-O58)&gt;0,(D58+N58-O58),0)),2)</f>
        <v>1642.27</v>
      </c>
      <c r="Q58" s="14" t="n">
        <f aca="false">ROUND(IF(E58=0,IF((D58+N58-O58)&lt;0,ABS(D58+N58-O58),0),IF((N58-E58-O58)&lt;0,ABS(N58-E58-O58),0)),2)</f>
        <v>0</v>
      </c>
    </row>
    <row r="59" customFormat="false" ht="15" hidden="false" customHeight="true" outlineLevel="0" collapsed="false">
      <c r="A59" s="12" t="s">
        <v>173</v>
      </c>
      <c r="B59" s="12" t="str">
        <f aca="false">лютий!B59</f>
        <v>Токар Є.А.</v>
      </c>
      <c r="C59" s="12" t="s">
        <v>175</v>
      </c>
      <c r="D59" s="14" t="n">
        <f aca="false">лютий!P59</f>
        <v>3743.35</v>
      </c>
      <c r="E59" s="14" t="n">
        <f aca="false">лютий!Q59</f>
        <v>0</v>
      </c>
      <c r="F59" s="13" t="n">
        <f aca="false">лютий!F59</f>
        <v>0</v>
      </c>
      <c r="G59" s="13" t="n">
        <f aca="false">лютий!G59</f>
        <v>49.22</v>
      </c>
      <c r="H59" s="13" t="n">
        <f aca="false">лютий!H59</f>
        <v>0</v>
      </c>
      <c r="I59" s="13" t="n">
        <f aca="false">лютий!I59</f>
        <v>4.1</v>
      </c>
      <c r="J59" s="14" t="n">
        <f aca="false">ROUND(G59*I59,2)</f>
        <v>201.8</v>
      </c>
      <c r="K59" s="14"/>
      <c r="L59" s="14"/>
      <c r="M59" s="14"/>
      <c r="N59" s="14" t="n">
        <f aca="false">ROUND((G59*I59)-K59-L59-M59,2)</f>
        <v>201.8</v>
      </c>
      <c r="O59" s="14"/>
      <c r="P59" s="14" t="n">
        <f aca="false">ROUND(IF(D59=0,IF((N59-E59-O59)&gt;0,(N59-E59-O59),0),IF((D59+N59-O59)&gt;0,(D59+N59-O59),0)),2)</f>
        <v>3945.15</v>
      </c>
      <c r="Q59" s="14" t="n">
        <f aca="false">ROUND(IF(E59=0,IF((D59+N59-O59)&lt;0,ABS(D59+N59-O59),0),IF((N59-E59-O59)&lt;0,ABS(N59-E59-O59),0)),2)</f>
        <v>0</v>
      </c>
    </row>
    <row r="60" customFormat="false" ht="15" hidden="false" customHeight="true" outlineLevel="0" collapsed="false">
      <c r="A60" s="12" t="s">
        <v>176</v>
      </c>
      <c r="B60" s="12" t="str">
        <f aca="false">лютий!B60</f>
        <v>Констанчук І.В.</v>
      </c>
      <c r="C60" s="12" t="s">
        <v>178</v>
      </c>
      <c r="D60" s="14" t="n">
        <f aca="false">лютий!P60</f>
        <v>9406.21</v>
      </c>
      <c r="E60" s="14" t="n">
        <f aca="false">лютий!Q60</f>
        <v>0</v>
      </c>
      <c r="F60" s="13" t="n">
        <f aca="false">лютий!F60</f>
        <v>0</v>
      </c>
      <c r="G60" s="13" t="n">
        <f aca="false">лютий!G60</f>
        <v>65.5</v>
      </c>
      <c r="H60" s="13" t="n">
        <f aca="false">лютий!H60</f>
        <v>0</v>
      </c>
      <c r="I60" s="13" t="n">
        <f aca="false">лютий!I60</f>
        <v>4.1</v>
      </c>
      <c r="J60" s="14" t="n">
        <f aca="false">ROUND(G60*I60,2)</f>
        <v>268.55</v>
      </c>
      <c r="K60" s="14"/>
      <c r="L60" s="14"/>
      <c r="M60" s="14"/>
      <c r="N60" s="14" t="n">
        <f aca="false">ROUND((G60*I60)-K60-L60-M60,2)</f>
        <v>268.55</v>
      </c>
      <c r="O60" s="14"/>
      <c r="P60" s="14" t="n">
        <f aca="false">ROUND(IF(D60=0,IF((N60-E60-O60)&gt;0,(N60-E60-O60),0),IF((D60+N60-O60)&gt;0,(D60+N60-O60),0)),2)</f>
        <v>9674.76</v>
      </c>
      <c r="Q60" s="14" t="n">
        <f aca="false">ROUND(IF(E60=0,IF((D60+N60-O60)&lt;0,ABS(D60+N60-O60),0),IF((N60-E60-O60)&lt;0,ABS(N60-E60-O60),0)),2)</f>
        <v>0</v>
      </c>
    </row>
    <row r="61" customFormat="false" ht="15" hidden="false" customHeight="true" outlineLevel="0" collapsed="false">
      <c r="A61" s="12" t="s">
        <v>179</v>
      </c>
      <c r="B61" s="12" t="str">
        <f aca="false">лютий!B61</f>
        <v>Гончаров В.В.</v>
      </c>
      <c r="C61" s="12" t="s">
        <v>181</v>
      </c>
      <c r="D61" s="14" t="n">
        <f aca="false">лютий!P61</f>
        <v>0</v>
      </c>
      <c r="E61" s="14" t="n">
        <f aca="false">лютий!Q61</f>
        <v>132.36</v>
      </c>
      <c r="F61" s="13" t="n">
        <f aca="false">лютий!F61</f>
        <v>0</v>
      </c>
      <c r="G61" s="13" t="n">
        <f aca="false">лютий!G61</f>
        <v>62.64</v>
      </c>
      <c r="H61" s="13" t="n">
        <f aca="false">лютий!H61</f>
        <v>0</v>
      </c>
      <c r="I61" s="13" t="n">
        <f aca="false">лютий!I61</f>
        <v>4.1</v>
      </c>
      <c r="J61" s="14" t="n">
        <f aca="false">ROUND(G61*I61,2)</f>
        <v>256.82</v>
      </c>
      <c r="K61" s="14"/>
      <c r="L61" s="14"/>
      <c r="M61" s="14"/>
      <c r="N61" s="14" t="n">
        <f aca="false">ROUND((G61*I61)-K61-L61-M61,2)</f>
        <v>256.82</v>
      </c>
      <c r="O61" s="14"/>
      <c r="P61" s="14" t="n">
        <f aca="false">ROUND(IF(D61=0,IF((N61-E61-O61)&gt;0,(N61-E61-O61),0),IF((D61+N61-O61)&gt;0,(D61+N61-O61),0)),2)</f>
        <v>124.46</v>
      </c>
      <c r="Q61" s="14" t="n">
        <f aca="false">ROUND(IF(E61=0,IF((D61+N61-O61)&lt;0,ABS(D61+N61-O61),0),IF((N61-E61-O61)&lt;0,ABS(N61-E61-O61),0)),2)</f>
        <v>0</v>
      </c>
    </row>
    <row r="62" customFormat="false" ht="15" hidden="false" customHeight="true" outlineLevel="0" collapsed="false">
      <c r="A62" s="12" t="s">
        <v>182</v>
      </c>
      <c r="B62" s="12" t="str">
        <f aca="false">лютий!B62</f>
        <v>Ляхомський В.О.</v>
      </c>
      <c r="C62" s="12" t="s">
        <v>184</v>
      </c>
      <c r="D62" s="14" t="n">
        <f aca="false">лютий!P62</f>
        <v>1298.81</v>
      </c>
      <c r="E62" s="14" t="n">
        <f aca="false">лютий!Q62</f>
        <v>0</v>
      </c>
      <c r="F62" s="13" t="n">
        <f aca="false">лютий!F62</f>
        <v>0</v>
      </c>
      <c r="G62" s="13" t="n">
        <f aca="false">лютий!G62</f>
        <v>34.9</v>
      </c>
      <c r="H62" s="13" t="n">
        <f aca="false">лютий!H62</f>
        <v>0</v>
      </c>
      <c r="I62" s="13" t="n">
        <f aca="false">лютий!I62</f>
        <v>4.1</v>
      </c>
      <c r="J62" s="14" t="n">
        <f aca="false">ROUND(G62*I62,2)</f>
        <v>143.09</v>
      </c>
      <c r="K62" s="14"/>
      <c r="L62" s="14"/>
      <c r="M62" s="14"/>
      <c r="N62" s="14" t="n">
        <f aca="false">ROUND((G62*I62)-K62-L62-M62,2)</f>
        <v>143.09</v>
      </c>
      <c r="O62" s="14"/>
      <c r="P62" s="14" t="n">
        <f aca="false">ROUND(IF(D62=0,IF((N62-E62-O62)&gt;0,(N62-E62-O62),0),IF((D62+N62-O62)&gt;0,(D62+N62-O62),0)),2)</f>
        <v>1441.9</v>
      </c>
      <c r="Q62" s="14" t="n">
        <f aca="false">ROUND(IF(E62=0,IF((D62+N62-O62)&lt;0,ABS(D62+N62-O62),0),IF((N62-E62-O62)&lt;0,ABS(N62-E62-O62),0)),2)</f>
        <v>0</v>
      </c>
    </row>
    <row r="63" customFormat="false" ht="15" hidden="false" customHeight="true" outlineLevel="0" collapsed="false">
      <c r="A63" s="12" t="s">
        <v>185</v>
      </c>
      <c r="B63" s="12" t="str">
        <f aca="false">лютий!B63</f>
        <v>Крамаренко В.П.</v>
      </c>
      <c r="C63" s="12" t="s">
        <v>187</v>
      </c>
      <c r="D63" s="14" t="n">
        <f aca="false">лютий!P63</f>
        <v>1224.84</v>
      </c>
      <c r="E63" s="14" t="n">
        <f aca="false">лютий!Q63</f>
        <v>0</v>
      </c>
      <c r="F63" s="13" t="n">
        <f aca="false">лютий!F63</f>
        <v>0</v>
      </c>
      <c r="G63" s="13" t="n">
        <f aca="false">лютий!G63</f>
        <v>49.79</v>
      </c>
      <c r="H63" s="13" t="n">
        <f aca="false">лютий!H63</f>
        <v>0</v>
      </c>
      <c r="I63" s="13" t="n">
        <f aca="false">лютий!I63</f>
        <v>4.1</v>
      </c>
      <c r="J63" s="14" t="n">
        <f aca="false">ROUND(G63*I63,2)</f>
        <v>204.14</v>
      </c>
      <c r="K63" s="14"/>
      <c r="L63" s="14"/>
      <c r="M63" s="14"/>
      <c r="N63" s="14" t="n">
        <f aca="false">ROUND((G63*I63)-K63-L63-M63,2)</f>
        <v>204.14</v>
      </c>
      <c r="O63" s="14"/>
      <c r="P63" s="14" t="n">
        <f aca="false">ROUND(IF(D63=0,IF((N63-E63-O63)&gt;0,(N63-E63-O63),0),IF((D63+N63-O63)&gt;0,(D63+N63-O63),0)),2)</f>
        <v>1428.98</v>
      </c>
      <c r="Q63" s="14" t="n">
        <f aca="false">ROUND(IF(E63=0,IF((D63+N63-O63)&lt;0,ABS(D63+N63-O63),0),IF((N63-E63-O63)&lt;0,ABS(N63-E63-O63),0)),2)</f>
        <v>0</v>
      </c>
    </row>
    <row r="64" customFormat="false" ht="15" hidden="false" customHeight="true" outlineLevel="0" collapsed="false">
      <c r="A64" s="12" t="s">
        <v>188</v>
      </c>
      <c r="B64" s="12" t="str">
        <f aca="false">лютий!B64</f>
        <v>Родзик С.Г.</v>
      </c>
      <c r="C64" s="12" t="s">
        <v>190</v>
      </c>
      <c r="D64" s="14" t="n">
        <f aca="false">лютий!P64</f>
        <v>4009.8</v>
      </c>
      <c r="E64" s="14" t="n">
        <f aca="false">лютий!Q64</f>
        <v>0</v>
      </c>
      <c r="F64" s="13" t="n">
        <f aca="false">лютий!F64</f>
        <v>0</v>
      </c>
      <c r="G64" s="13" t="n">
        <f aca="false">лютий!G64</f>
        <v>65.2</v>
      </c>
      <c r="H64" s="13" t="n">
        <f aca="false">лютий!H64</f>
        <v>0</v>
      </c>
      <c r="I64" s="13" t="n">
        <f aca="false">лютий!I64</f>
        <v>4.1</v>
      </c>
      <c r="J64" s="14" t="n">
        <f aca="false">ROUND(G64*I64,2)</f>
        <v>267.32</v>
      </c>
      <c r="K64" s="14"/>
      <c r="L64" s="14"/>
      <c r="M64" s="14"/>
      <c r="N64" s="14" t="n">
        <f aca="false">ROUND((G64*I64)-K64-L64-M64,2)</f>
        <v>267.32</v>
      </c>
      <c r="O64" s="14"/>
      <c r="P64" s="14" t="n">
        <f aca="false">ROUND(IF(D64=0,IF((N64-E64-O64)&gt;0,(N64-E64-O64),0),IF((D64+N64-O64)&gt;0,(D64+N64-O64),0)),2)</f>
        <v>4277.12</v>
      </c>
      <c r="Q64" s="14" t="n">
        <f aca="false">ROUND(IF(E64=0,IF((D64+N64-O64)&lt;0,ABS(D64+N64-O64),0),IF((N64-E64-O64)&lt;0,ABS(N64-E64-O64),0)),2)</f>
        <v>0</v>
      </c>
    </row>
    <row r="65" customFormat="false" ht="15" hidden="false" customHeight="true" outlineLevel="0" collapsed="false">
      <c r="A65" s="12" t="s">
        <v>191</v>
      </c>
      <c r="B65" s="12" t="str">
        <f aca="false">лютий!B65</f>
        <v>Никоненко Н.С.</v>
      </c>
      <c r="C65" s="12" t="s">
        <v>193</v>
      </c>
      <c r="D65" s="14" t="n">
        <f aca="false">лютий!P65</f>
        <v>10550.44</v>
      </c>
      <c r="E65" s="14" t="n">
        <f aca="false">лютий!Q65</f>
        <v>0</v>
      </c>
      <c r="F65" s="13" t="n">
        <f aca="false">лютий!F65</f>
        <v>0</v>
      </c>
      <c r="G65" s="13" t="n">
        <f aca="false">лютий!G65</f>
        <v>61.88</v>
      </c>
      <c r="H65" s="13" t="n">
        <f aca="false">лютий!H65</f>
        <v>0</v>
      </c>
      <c r="I65" s="13" t="n">
        <f aca="false">лютий!I65</f>
        <v>4.1</v>
      </c>
      <c r="J65" s="14" t="n">
        <f aca="false">ROUND(G65*I65,2)</f>
        <v>253.71</v>
      </c>
      <c r="K65" s="14"/>
      <c r="L65" s="14"/>
      <c r="M65" s="14"/>
      <c r="N65" s="14" t="n">
        <f aca="false">ROUND((G65*I65)-K65-L65-M65,2)</f>
        <v>253.71</v>
      </c>
      <c r="O65" s="14"/>
      <c r="P65" s="14" t="n">
        <f aca="false">ROUND(IF(D65=0,IF((N65-E65-O65)&gt;0,(N65-E65-O65),0),IF((D65+N65-O65)&gt;0,(D65+N65-O65),0)),2)</f>
        <v>10804.15</v>
      </c>
      <c r="Q65" s="14" t="n">
        <f aca="false">ROUND(IF(E65=0,IF((D65+N65-O65)&lt;0,ABS(D65+N65-O65),0),IF((N65-E65-O65)&lt;0,ABS(N65-E65-O65),0)),2)</f>
        <v>0</v>
      </c>
    </row>
    <row r="66" customFormat="false" ht="15" hidden="false" customHeight="true" outlineLevel="0" collapsed="false">
      <c r="A66" s="12" t="s">
        <v>194</v>
      </c>
      <c r="B66" s="12" t="str">
        <f aca="false">лютий!B66</f>
        <v>Чепок О.В.</v>
      </c>
      <c r="C66" s="12" t="s">
        <v>196</v>
      </c>
      <c r="D66" s="14" t="n">
        <f aca="false">лютий!P66</f>
        <v>5870.91</v>
      </c>
      <c r="E66" s="14" t="n">
        <f aca="false">лютий!Q66</f>
        <v>0</v>
      </c>
      <c r="F66" s="13" t="n">
        <f aca="false">лютий!F66</f>
        <v>0</v>
      </c>
      <c r="G66" s="13" t="n">
        <f aca="false">лютий!G66</f>
        <v>35</v>
      </c>
      <c r="H66" s="13" t="n">
        <f aca="false">лютий!H66</f>
        <v>0</v>
      </c>
      <c r="I66" s="13" t="n">
        <f aca="false">лютий!I66</f>
        <v>4.1</v>
      </c>
      <c r="J66" s="14" t="n">
        <f aca="false">ROUND(G66*I66,2)</f>
        <v>143.5</v>
      </c>
      <c r="K66" s="14"/>
      <c r="L66" s="14"/>
      <c r="M66" s="14"/>
      <c r="N66" s="14" t="n">
        <f aca="false">ROUND((G66*I66)-K66-L66-M66,2)</f>
        <v>143.5</v>
      </c>
      <c r="O66" s="14"/>
      <c r="P66" s="14" t="n">
        <f aca="false">ROUND(IF(D66=0,IF((N66-E66-O66)&gt;0,(N66-E66-O66),0),IF((D66+N66-O66)&gt;0,(D66+N66-O66),0)),2)</f>
        <v>6014.41</v>
      </c>
      <c r="Q66" s="14" t="n">
        <f aca="false">ROUND(IF(E66=0,IF((D66+N66-O66)&lt;0,ABS(D66+N66-O66),0),IF((N66-E66-O66)&lt;0,ABS(N66-E66-O66),0)),2)</f>
        <v>0</v>
      </c>
    </row>
    <row r="67" customFormat="false" ht="15" hidden="false" customHeight="true" outlineLevel="0" collapsed="false">
      <c r="A67" s="12" t="s">
        <v>197</v>
      </c>
      <c r="B67" s="12" t="str">
        <f aca="false">лютий!B67</f>
        <v>Горошенко Л.С.</v>
      </c>
      <c r="C67" s="12" t="s">
        <v>199</v>
      </c>
      <c r="D67" s="14" t="n">
        <f aca="false">лютий!P67</f>
        <v>2425.56</v>
      </c>
      <c r="E67" s="14" t="n">
        <f aca="false">лютий!Q67</f>
        <v>0</v>
      </c>
      <c r="F67" s="13" t="n">
        <f aca="false">лютий!F67</f>
        <v>0</v>
      </c>
      <c r="G67" s="13" t="n">
        <f aca="false">лютий!G67</f>
        <v>49.3</v>
      </c>
      <c r="H67" s="13" t="n">
        <f aca="false">лютий!H67</f>
        <v>0</v>
      </c>
      <c r="I67" s="13" t="n">
        <f aca="false">лютий!I67</f>
        <v>4.1</v>
      </c>
      <c r="J67" s="14" t="n">
        <f aca="false">ROUND(G67*I67,2)</f>
        <v>202.13</v>
      </c>
      <c r="K67" s="14"/>
      <c r="L67" s="14"/>
      <c r="M67" s="14"/>
      <c r="N67" s="14" t="n">
        <f aca="false">ROUND((G67*I67)-K67-L67-M67,2)</f>
        <v>202.13</v>
      </c>
      <c r="O67" s="14"/>
      <c r="P67" s="14" t="n">
        <f aca="false">ROUND(IF(D67=0,IF((N67-E67-O67)&gt;0,(N67-E67-O67),0),IF((D67+N67-O67)&gt;0,(D67+N67-O67),0)),2)</f>
        <v>2627.69</v>
      </c>
      <c r="Q67" s="14" t="n">
        <f aca="false">ROUND(IF(E67=0,IF((D67+N67-O67)&lt;0,ABS(D67+N67-O67),0),IF((N67-E67-O67)&lt;0,ABS(N67-E67-O67),0)),2)</f>
        <v>0</v>
      </c>
    </row>
    <row r="68" customFormat="false" ht="15" hidden="false" customHeight="true" outlineLevel="0" collapsed="false">
      <c r="A68" s="12" t="s">
        <v>200</v>
      </c>
      <c r="B68" s="12" t="str">
        <f aca="false">лютий!B68</f>
        <v>Неграчева Л.Г.</v>
      </c>
      <c r="C68" s="12" t="s">
        <v>202</v>
      </c>
      <c r="D68" s="14" t="n">
        <f aca="false">лютий!P68</f>
        <v>546.12</v>
      </c>
      <c r="E68" s="14" t="n">
        <f aca="false">лютий!Q68</f>
        <v>0</v>
      </c>
      <c r="F68" s="13" t="n">
        <f aca="false">лютий!F68</f>
        <v>0</v>
      </c>
      <c r="G68" s="13" t="n">
        <f aca="false">лютий!G68</f>
        <v>66.6</v>
      </c>
      <c r="H68" s="13" t="n">
        <f aca="false">лютий!H68</f>
        <v>0</v>
      </c>
      <c r="I68" s="13" t="n">
        <f aca="false">лютий!I68</f>
        <v>4.1</v>
      </c>
      <c r="J68" s="14" t="n">
        <f aca="false">ROUND(G68*I68,2)</f>
        <v>273.06</v>
      </c>
      <c r="K68" s="14"/>
      <c r="L68" s="14"/>
      <c r="M68" s="14"/>
      <c r="N68" s="14" t="n">
        <f aca="false">ROUND((G68*I68)-K68-L68-M68,2)</f>
        <v>273.06</v>
      </c>
      <c r="O68" s="14"/>
      <c r="P68" s="14" t="n">
        <f aca="false">ROUND(IF(D68=0,IF((N68-E68-O68)&gt;0,(N68-E68-O68),0),IF((D68+N68-O68)&gt;0,(D68+N68-O68),0)),2)</f>
        <v>819.18</v>
      </c>
      <c r="Q68" s="14" t="n">
        <f aca="false">ROUND(IF(E68=0,IF((D68+N68-O68)&lt;0,ABS(D68+N68-O68),0),IF((N68-E68-O68)&lt;0,ABS(N68-E68-O68),0)),2)</f>
        <v>0</v>
      </c>
    </row>
    <row r="69" customFormat="false" ht="15" hidden="false" customHeight="true" outlineLevel="0" collapsed="false">
      <c r="A69" s="12" t="s">
        <v>203</v>
      </c>
      <c r="B69" s="12" t="str">
        <f aca="false">лютий!B69</f>
        <v>Брежнєв О.В.</v>
      </c>
      <c r="C69" s="12" t="s">
        <v>205</v>
      </c>
      <c r="D69" s="14" t="n">
        <f aca="false">лютий!P69</f>
        <v>1921.66</v>
      </c>
      <c r="E69" s="14" t="n">
        <f aca="false">лютий!Q69</f>
        <v>0</v>
      </c>
      <c r="F69" s="13" t="n">
        <f aca="false">лютий!F69</f>
        <v>0</v>
      </c>
      <c r="G69" s="13" t="n">
        <f aca="false">лютий!G69</f>
        <v>61.88</v>
      </c>
      <c r="H69" s="13" t="n">
        <f aca="false">лютий!H69</f>
        <v>0</v>
      </c>
      <c r="I69" s="13" t="n">
        <f aca="false">лютий!I69</f>
        <v>4.1</v>
      </c>
      <c r="J69" s="14" t="n">
        <f aca="false">ROUND(G69*I69,2)</f>
        <v>253.71</v>
      </c>
      <c r="K69" s="14"/>
      <c r="L69" s="14"/>
      <c r="M69" s="14"/>
      <c r="N69" s="14" t="n">
        <f aca="false">ROUND((G69*I69)-K69-L69-M69,2)</f>
        <v>253.71</v>
      </c>
      <c r="O69" s="14"/>
      <c r="P69" s="14" t="n">
        <f aca="false">ROUND(IF(D69=0,IF((N69-E69-O69)&gt;0,(N69-E69-O69),0),IF((D69+N69-O69)&gt;0,(D69+N69-O69),0)),2)</f>
        <v>2175.37</v>
      </c>
      <c r="Q69" s="14" t="n">
        <f aca="false">ROUND(IF(E69=0,IF((D69+N69-O69)&lt;0,ABS(D69+N69-O69),0),IF((N69-E69-O69)&lt;0,ABS(N69-E69-O69),0)),2)</f>
        <v>0</v>
      </c>
    </row>
    <row r="70" customFormat="false" ht="15" hidden="false" customHeight="true" outlineLevel="0" collapsed="false">
      <c r="A70" s="12" t="s">
        <v>206</v>
      </c>
      <c r="B70" s="12" t="str">
        <f aca="false">лютий!B70</f>
        <v>Горбатюк К.О.</v>
      </c>
      <c r="C70" s="12" t="s">
        <v>208</v>
      </c>
      <c r="D70" s="14" t="n">
        <f aca="false">лютий!P70</f>
        <v>1290.06</v>
      </c>
      <c r="E70" s="14" t="n">
        <f aca="false">лютий!Q70</f>
        <v>0</v>
      </c>
      <c r="F70" s="13" t="n">
        <f aca="false">лютий!F70</f>
        <v>0</v>
      </c>
      <c r="G70" s="13" t="n">
        <f aca="false">лютий!G70</f>
        <v>34.96</v>
      </c>
      <c r="H70" s="13" t="n">
        <f aca="false">лютий!H70</f>
        <v>0</v>
      </c>
      <c r="I70" s="13" t="n">
        <f aca="false">лютий!I70</f>
        <v>4.1</v>
      </c>
      <c r="J70" s="14" t="n">
        <f aca="false">ROUND(G70*I70,2)</f>
        <v>143.34</v>
      </c>
      <c r="K70" s="14"/>
      <c r="L70" s="14"/>
      <c r="M70" s="14"/>
      <c r="N70" s="14" t="n">
        <f aca="false">ROUND((G70*I70)-K70-L70-M70,2)</f>
        <v>143.34</v>
      </c>
      <c r="O70" s="14"/>
      <c r="P70" s="14" t="n">
        <f aca="false">ROUND(IF(D70=0,IF((N70-E70-O70)&gt;0,(N70-E70-O70),0),IF((D70+N70-O70)&gt;0,(D70+N70-O70),0)),2)</f>
        <v>1433.4</v>
      </c>
      <c r="Q70" s="14" t="n">
        <f aca="false">ROUND(IF(E70=0,IF((D70+N70-O70)&lt;0,ABS(D70+N70-O70),0),IF((N70-E70-O70)&lt;0,ABS(N70-E70-O70),0)),2)</f>
        <v>0</v>
      </c>
    </row>
    <row r="71" customFormat="false" ht="15" hidden="false" customHeight="true" outlineLevel="0" collapsed="false">
      <c r="A71" s="12" t="s">
        <v>209</v>
      </c>
      <c r="B71" s="12" t="str">
        <f aca="false">лютий!B71</f>
        <v>Божик М.О.</v>
      </c>
      <c r="C71" s="12" t="s">
        <v>211</v>
      </c>
      <c r="D71" s="14" t="n">
        <f aca="false">лютий!P71</f>
        <v>205.12</v>
      </c>
      <c r="E71" s="14" t="n">
        <f aca="false">лютий!Q71</f>
        <v>0</v>
      </c>
      <c r="F71" s="13" t="n">
        <f aca="false">лютий!F71</f>
        <v>0</v>
      </c>
      <c r="G71" s="13" t="n">
        <f aca="false">лютий!G71</f>
        <v>50.03</v>
      </c>
      <c r="H71" s="13" t="n">
        <f aca="false">лютий!H71</f>
        <v>0</v>
      </c>
      <c r="I71" s="13" t="n">
        <f aca="false">лютий!I71</f>
        <v>4.1</v>
      </c>
      <c r="J71" s="14" t="n">
        <f aca="false">ROUND(G71*I71,2)</f>
        <v>205.12</v>
      </c>
      <c r="K71" s="14"/>
      <c r="L71" s="14"/>
      <c r="M71" s="14"/>
      <c r="N71" s="14" t="n">
        <f aca="false">ROUND((G71*I71)-K71-L71-M71,2)</f>
        <v>205.12</v>
      </c>
      <c r="O71" s="14"/>
      <c r="P71" s="14" t="n">
        <f aca="false">ROUND(IF(D71=0,IF((N71-E71-O71)&gt;0,(N71-E71-O71),0),IF((D71+N71-O71)&gt;0,(D71+N71-O71),0)),2)</f>
        <v>410.24</v>
      </c>
      <c r="Q71" s="14" t="n">
        <f aca="false">ROUND(IF(E71=0,IF((D71+N71-O71)&lt;0,ABS(D71+N71-O71),0),IF((N71-E71-O71)&lt;0,ABS(N71-E71-O71),0)),2)</f>
        <v>0</v>
      </c>
    </row>
    <row r="72" customFormat="false" ht="15" hidden="false" customHeight="true" outlineLevel="0" collapsed="false">
      <c r="A72" s="12" t="s">
        <v>212</v>
      </c>
      <c r="B72" s="12" t="str">
        <f aca="false">лютий!B72</f>
        <v>Зайченко С.Л</v>
      </c>
      <c r="C72" s="12" t="s">
        <v>214</v>
      </c>
      <c r="D72" s="14" t="n">
        <f aca="false">лютий!P72</f>
        <v>13059.21</v>
      </c>
      <c r="E72" s="14" t="n">
        <f aca="false">лютий!Q72</f>
        <v>0</v>
      </c>
      <c r="F72" s="13" t="n">
        <f aca="false">лютий!F72</f>
        <v>0</v>
      </c>
      <c r="G72" s="13" t="n">
        <f aca="false">лютий!G72</f>
        <v>65.15</v>
      </c>
      <c r="H72" s="13" t="n">
        <f aca="false">лютий!H72</f>
        <v>0</v>
      </c>
      <c r="I72" s="13" t="n">
        <f aca="false">лютий!I72</f>
        <v>4.1</v>
      </c>
      <c r="J72" s="14" t="n">
        <f aca="false">ROUND(G72*I72,2)</f>
        <v>267.12</v>
      </c>
      <c r="K72" s="14"/>
      <c r="L72" s="14"/>
      <c r="M72" s="14"/>
      <c r="N72" s="14" t="n">
        <f aca="false">ROUND((G72*I72)-K72-L72-M72,2)</f>
        <v>267.12</v>
      </c>
      <c r="O72" s="14"/>
      <c r="P72" s="14" t="n">
        <f aca="false">ROUND(IF(D72=0,IF((N72-E72-O72)&gt;0,(N72-E72-O72),0),IF((D72+N72-O72)&gt;0,(D72+N72-O72),0)),2)</f>
        <v>13326.33</v>
      </c>
      <c r="Q72" s="14" t="n">
        <f aca="false">ROUND(IF(E72=0,IF((D72+N72-O72)&lt;0,ABS(D72+N72-O72),0),IF((N72-E72-O72)&lt;0,ABS(N72-E72-O72),0)),2)</f>
        <v>0</v>
      </c>
    </row>
    <row r="73" customFormat="false" ht="15" hidden="false" customHeight="true" outlineLevel="0" collapsed="false">
      <c r="A73" s="12" t="s">
        <v>215</v>
      </c>
      <c r="B73" s="12" t="str">
        <f aca="false">лютий!B73</f>
        <v>Бессараб Н.Г.</v>
      </c>
      <c r="C73" s="12" t="s">
        <v>217</v>
      </c>
      <c r="D73" s="14" t="n">
        <f aca="false">лютий!P73</f>
        <v>2067.93</v>
      </c>
      <c r="E73" s="14" t="n">
        <f aca="false">лютий!Q73</f>
        <v>0</v>
      </c>
      <c r="F73" s="13" t="n">
        <f aca="false">лютий!F73</f>
        <v>0</v>
      </c>
      <c r="G73" s="13" t="n">
        <f aca="false">лютий!G73</f>
        <v>63.41</v>
      </c>
      <c r="H73" s="13" t="n">
        <f aca="false">лютий!H73</f>
        <v>0</v>
      </c>
      <c r="I73" s="13" t="n">
        <f aca="false">лютий!I73</f>
        <v>4.1</v>
      </c>
      <c r="J73" s="14" t="n">
        <f aca="false">ROUND(G73*I73,2)</f>
        <v>259.98</v>
      </c>
      <c r="K73" s="14"/>
      <c r="L73" s="14"/>
      <c r="M73" s="14"/>
      <c r="N73" s="14" t="n">
        <f aca="false">ROUND((G73*I73)-K73-L73-M73,2)</f>
        <v>259.98</v>
      </c>
      <c r="O73" s="14"/>
      <c r="P73" s="14" t="n">
        <f aca="false">ROUND(IF(D73=0,IF((N73-E73-O73)&gt;0,(N73-E73-O73),0),IF((D73+N73-O73)&gt;0,(D73+N73-O73),0)),2)</f>
        <v>2327.91</v>
      </c>
      <c r="Q73" s="14" t="n">
        <f aca="false">ROUND(IF(E73=0,IF((D73+N73-O73)&lt;0,ABS(D73+N73-O73),0),IF((N73-E73-O73)&lt;0,ABS(N73-E73-O73),0)),2)</f>
        <v>0</v>
      </c>
    </row>
    <row r="74" customFormat="false" ht="15" hidden="false" customHeight="true" outlineLevel="0" collapsed="false">
      <c r="A74" s="12" t="s">
        <v>218</v>
      </c>
      <c r="B74" s="12" t="str">
        <f aca="false">лютий!B74</f>
        <v>Прохорова С.І.</v>
      </c>
      <c r="C74" s="12" t="s">
        <v>220</v>
      </c>
      <c r="D74" s="14" t="n">
        <f aca="false">лютий!P74</f>
        <v>242.8</v>
      </c>
      <c r="E74" s="14" t="n">
        <f aca="false">лютий!Q74</f>
        <v>0</v>
      </c>
      <c r="F74" s="13" t="n">
        <f aca="false">лютий!F74</f>
        <v>0</v>
      </c>
      <c r="G74" s="13" t="n">
        <f aca="false">лютий!G74</f>
        <v>35.19</v>
      </c>
      <c r="H74" s="13" t="n">
        <f aca="false">лютий!H74</f>
        <v>0</v>
      </c>
      <c r="I74" s="13" t="n">
        <f aca="false">лютий!I74</f>
        <v>4.1</v>
      </c>
      <c r="J74" s="14" t="n">
        <f aca="false">ROUND(G74*I74,2)</f>
        <v>144.28</v>
      </c>
      <c r="K74" s="14"/>
      <c r="L74" s="14"/>
      <c r="M74" s="14"/>
      <c r="N74" s="14" t="n">
        <f aca="false">ROUND((G74*I74)-K74-L74-M74,2)</f>
        <v>144.28</v>
      </c>
      <c r="O74" s="14"/>
      <c r="P74" s="14" t="n">
        <f aca="false">ROUND(IF(D74=0,IF((N74-E74-O74)&gt;0,(N74-E74-O74),0),IF((D74+N74-O74)&gt;0,(D74+N74-O74),0)),2)</f>
        <v>387.08</v>
      </c>
      <c r="Q74" s="14" t="n">
        <f aca="false">ROUND(IF(E74=0,IF((D74+N74-O74)&lt;0,ABS(D74+N74-O74),0),IF((N74-E74-O74)&lt;0,ABS(N74-E74-O74),0)),2)</f>
        <v>0</v>
      </c>
    </row>
    <row r="75" customFormat="false" ht="15" hidden="false" customHeight="true" outlineLevel="0" collapsed="false">
      <c r="A75" s="12" t="s">
        <v>221</v>
      </c>
      <c r="B75" s="12" t="str">
        <f aca="false">лютий!B75</f>
        <v>Браташ А.Ф.</v>
      </c>
      <c r="C75" s="12" t="s">
        <v>223</v>
      </c>
      <c r="D75" s="14" t="n">
        <f aca="false">лютий!P75</f>
        <v>10290.17</v>
      </c>
      <c r="E75" s="14" t="n">
        <f aca="false">лютий!Q75</f>
        <v>0</v>
      </c>
      <c r="F75" s="13" t="n">
        <f aca="false">лютий!F75</f>
        <v>0</v>
      </c>
      <c r="G75" s="13" t="n">
        <f aca="false">лютий!G75</f>
        <v>49.89</v>
      </c>
      <c r="H75" s="13" t="n">
        <f aca="false">лютий!H75</f>
        <v>0</v>
      </c>
      <c r="I75" s="13" t="n">
        <f aca="false">лютий!I75</f>
        <v>4.1</v>
      </c>
      <c r="J75" s="14" t="n">
        <f aca="false">ROUND(G75*I75,2)</f>
        <v>204.55</v>
      </c>
      <c r="K75" s="14"/>
      <c r="L75" s="14"/>
      <c r="M75" s="14"/>
      <c r="N75" s="14" t="n">
        <f aca="false">ROUND((G75*I75)-K75-L75-M75,2)</f>
        <v>204.55</v>
      </c>
      <c r="O75" s="14"/>
      <c r="P75" s="14" t="n">
        <f aca="false">ROUND(IF(D75=0,IF((N75-E75-O75)&gt;0,(N75-E75-O75),0),IF((D75+N75-O75)&gt;0,(D75+N75-O75),0)),2)</f>
        <v>10494.72</v>
      </c>
      <c r="Q75" s="14" t="n">
        <f aca="false">ROUND(IF(E75=0,IF((D75+N75-O75)&lt;0,ABS(D75+N75-O75),0),IF((N75-E75-O75)&lt;0,ABS(N75-E75-O75),0)),2)</f>
        <v>0</v>
      </c>
    </row>
    <row r="76" customFormat="false" ht="15" hidden="false" customHeight="true" outlineLevel="0" collapsed="false">
      <c r="A76" s="12" t="s">
        <v>224</v>
      </c>
      <c r="B76" s="12" t="str">
        <f aca="false">лютий!B76</f>
        <v>Кудас Д.О.</v>
      </c>
      <c r="C76" s="12" t="s">
        <v>226</v>
      </c>
      <c r="D76" s="14" t="n">
        <f aca="false">лютий!P76</f>
        <v>1599.72</v>
      </c>
      <c r="E76" s="14" t="n">
        <f aca="false">лютий!Q76</f>
        <v>0</v>
      </c>
      <c r="F76" s="13" t="n">
        <f aca="false">лютий!F76</f>
        <v>0</v>
      </c>
      <c r="G76" s="13" t="n">
        <f aca="false">лютий!G76</f>
        <v>65.03</v>
      </c>
      <c r="H76" s="13" t="n">
        <f aca="false">лютий!H76</f>
        <v>0</v>
      </c>
      <c r="I76" s="13" t="n">
        <f aca="false">лютий!I76</f>
        <v>4.1</v>
      </c>
      <c r="J76" s="14" t="n">
        <f aca="false">ROUND(G76*I76,2)</f>
        <v>266.62</v>
      </c>
      <c r="K76" s="14"/>
      <c r="L76" s="14"/>
      <c r="M76" s="14"/>
      <c r="N76" s="14" t="n">
        <f aca="false">ROUND((G76*I76)-K76-L76-M76,2)</f>
        <v>266.62</v>
      </c>
      <c r="O76" s="14"/>
      <c r="P76" s="14" t="n">
        <f aca="false">ROUND(IF(D76=0,IF((N76-E76-O76)&gt;0,(N76-E76-O76),0),IF((D76+N76-O76)&gt;0,(D76+N76-O76),0)),2)</f>
        <v>1866.34</v>
      </c>
      <c r="Q76" s="14" t="n">
        <f aca="false">ROUND(IF(E76=0,IF((D76+N76-O76)&lt;0,ABS(D76+N76-O76),0),IF((N76-E76-O76)&lt;0,ABS(N76-E76-O76),0)),2)</f>
        <v>0</v>
      </c>
    </row>
    <row r="77" customFormat="false" ht="15" hidden="false" customHeight="true" outlineLevel="0" collapsed="false">
      <c r="A77" s="12" t="s">
        <v>227</v>
      </c>
      <c r="B77" s="12" t="str">
        <f aca="false">лютий!B77</f>
        <v>Шушлєбін Б.В.</v>
      </c>
      <c r="C77" s="12" t="s">
        <v>229</v>
      </c>
      <c r="D77" s="14" t="n">
        <f aca="false">лютий!P77</f>
        <v>338.6</v>
      </c>
      <c r="E77" s="14" t="n">
        <f aca="false">лютий!Q77</f>
        <v>0</v>
      </c>
      <c r="F77" s="13" t="n">
        <f aca="false">лютий!F77</f>
        <v>0</v>
      </c>
      <c r="G77" s="13" t="n">
        <f aca="false">лютий!G77</f>
        <v>62.11</v>
      </c>
      <c r="H77" s="13" t="n">
        <f aca="false">лютий!H77</f>
        <v>0</v>
      </c>
      <c r="I77" s="13" t="n">
        <f aca="false">лютий!I77</f>
        <v>4.1</v>
      </c>
      <c r="J77" s="14" t="n">
        <f aca="false">ROUND(G77*I77,2)</f>
        <v>254.65</v>
      </c>
      <c r="K77" s="14"/>
      <c r="L77" s="14"/>
      <c r="M77" s="14"/>
      <c r="N77" s="14" t="n">
        <f aca="false">ROUND((G77*I77)-K77-L77-M77,2)</f>
        <v>254.65</v>
      </c>
      <c r="O77" s="14"/>
      <c r="P77" s="14" t="n">
        <f aca="false">ROUND(IF(D77=0,IF((N77-E77-O77)&gt;0,(N77-E77-O77),0),IF((D77+N77-O77)&gt;0,(D77+N77-O77),0)),2)</f>
        <v>593.25</v>
      </c>
      <c r="Q77" s="14" t="n">
        <f aca="false">ROUND(IF(E77=0,IF((D77+N77-O77)&lt;0,ABS(D77+N77-O77),0),IF((N77-E77-O77)&lt;0,ABS(N77-E77-O77),0)),2)</f>
        <v>0</v>
      </c>
    </row>
    <row r="78" customFormat="false" ht="15" hidden="false" customHeight="true" outlineLevel="0" collapsed="false">
      <c r="A78" s="12" t="s">
        <v>230</v>
      </c>
      <c r="B78" s="12" t="str">
        <f aca="false">лютий!B78</f>
        <v>Бородіна І.О.</v>
      </c>
      <c r="C78" s="12" t="s">
        <v>232</v>
      </c>
      <c r="D78" s="14" t="n">
        <f aca="false">лютий!P78</f>
        <v>6476.17</v>
      </c>
      <c r="E78" s="14" t="n">
        <f aca="false">лютий!Q78</f>
        <v>0</v>
      </c>
      <c r="F78" s="13" t="n">
        <f aca="false">лютий!F78</f>
        <v>0</v>
      </c>
      <c r="G78" s="13" t="n">
        <f aca="false">лютий!G78</f>
        <v>34.9</v>
      </c>
      <c r="H78" s="13" t="n">
        <f aca="false">лютий!H78</f>
        <v>0</v>
      </c>
      <c r="I78" s="13" t="n">
        <f aca="false">лютий!I78</f>
        <v>4.1</v>
      </c>
      <c r="J78" s="14" t="n">
        <f aca="false">ROUND(G78*I78,2)</f>
        <v>143.09</v>
      </c>
      <c r="K78" s="14"/>
      <c r="L78" s="14"/>
      <c r="M78" s="14"/>
      <c r="N78" s="14" t="n">
        <f aca="false">ROUND((G78*I78)-K78-L78-M78,2)</f>
        <v>143.09</v>
      </c>
      <c r="O78" s="14"/>
      <c r="P78" s="14" t="n">
        <f aca="false">ROUND(IF(D78=0,IF((N78-E78-O78)&gt;0,(N78-E78-O78),0),IF((D78+N78-O78)&gt;0,(D78+N78-O78),0)),2)</f>
        <v>6619.26</v>
      </c>
      <c r="Q78" s="14" t="n">
        <f aca="false">ROUND(IF(E78=0,IF((D78+N78-O78)&lt;0,ABS(D78+N78-O78),0),IF((N78-E78-O78)&lt;0,ABS(N78-E78-O78),0)),2)</f>
        <v>0</v>
      </c>
    </row>
    <row r="79" customFormat="false" ht="15" hidden="false" customHeight="true" outlineLevel="0" collapsed="false">
      <c r="A79" s="12" t="s">
        <v>233</v>
      </c>
      <c r="B79" s="12" t="str">
        <f aca="false">лютий!B79</f>
        <v>Котурга Л.Й.</v>
      </c>
      <c r="C79" s="12" t="s">
        <v>235</v>
      </c>
      <c r="D79" s="14" t="n">
        <f aca="false">лютий!P79</f>
        <v>403.44</v>
      </c>
      <c r="E79" s="14" t="n">
        <f aca="false">лютий!Q79</f>
        <v>0</v>
      </c>
      <c r="F79" s="13" t="n">
        <f aca="false">лютий!F79</f>
        <v>0</v>
      </c>
      <c r="G79" s="13" t="n">
        <f aca="false">лютий!G79</f>
        <v>49.2</v>
      </c>
      <c r="H79" s="13" t="n">
        <f aca="false">лютий!H79</f>
        <v>0</v>
      </c>
      <c r="I79" s="13" t="n">
        <f aca="false">лютий!I79</f>
        <v>4.1</v>
      </c>
      <c r="J79" s="14" t="n">
        <f aca="false">ROUND(G79*I79,2)</f>
        <v>201.72</v>
      </c>
      <c r="K79" s="14"/>
      <c r="L79" s="14"/>
      <c r="M79" s="14"/>
      <c r="N79" s="14" t="n">
        <f aca="false">ROUND((G79*I79)-K79-L79-M79,2)</f>
        <v>201.72</v>
      </c>
      <c r="O79" s="14"/>
      <c r="P79" s="14" t="n">
        <f aca="false">ROUND(IF(D79=0,IF((N79-E79-O79)&gt;0,(N79-E79-O79),0),IF((D79+N79-O79)&gt;0,(D79+N79-O79),0)),2)</f>
        <v>605.16</v>
      </c>
      <c r="Q79" s="14" t="n">
        <f aca="false">ROUND(IF(E79=0,IF((D79+N79-O79)&lt;0,ABS(D79+N79-O79),0),IF((N79-E79-O79)&lt;0,ABS(N79-E79-O79),0)),2)</f>
        <v>0</v>
      </c>
    </row>
    <row r="80" customFormat="false" ht="15" hidden="false" customHeight="true" outlineLevel="0" collapsed="false">
      <c r="A80" s="12" t="s">
        <v>236</v>
      </c>
      <c r="B80" s="12" t="str">
        <f aca="false">лютий!B80</f>
        <v>Горова О.І.</v>
      </c>
      <c r="C80" s="12" t="s">
        <v>238</v>
      </c>
      <c r="D80" s="14" t="n">
        <f aca="false">лютий!P80</f>
        <v>804.78</v>
      </c>
      <c r="E80" s="14" t="n">
        <f aca="false">лютий!Q80</f>
        <v>0</v>
      </c>
      <c r="F80" s="13" t="n">
        <f aca="false">лютий!F80</f>
        <v>0</v>
      </c>
      <c r="G80" s="13" t="n">
        <f aca="false">лютий!G80</f>
        <v>65.43</v>
      </c>
      <c r="H80" s="13" t="n">
        <f aca="false">лютий!H80</f>
        <v>0</v>
      </c>
      <c r="I80" s="13" t="n">
        <f aca="false">лютий!I80</f>
        <v>4.1</v>
      </c>
      <c r="J80" s="14" t="n">
        <f aca="false">ROUND(G80*I80,2)</f>
        <v>268.26</v>
      </c>
      <c r="K80" s="14"/>
      <c r="L80" s="14"/>
      <c r="M80" s="14"/>
      <c r="N80" s="14" t="n">
        <f aca="false">ROUND((G80*I80)-K80-L80-M80,2)</f>
        <v>268.26</v>
      </c>
      <c r="O80" s="14"/>
      <c r="P80" s="14" t="n">
        <f aca="false">ROUND(IF(D80=0,IF((N80-E80-O80)&gt;0,(N80-E80-O80),0),IF((D80+N80-O80)&gt;0,(D80+N80-O80),0)),2)</f>
        <v>1073.04</v>
      </c>
      <c r="Q80" s="14" t="n">
        <f aca="false">ROUND(IF(E80=0,IF((D80+N80-O80)&lt;0,ABS(D80+N80-O80),0),IF((N80-E80-O80)&lt;0,ABS(N80-E80-O80),0)),2)</f>
        <v>0</v>
      </c>
    </row>
    <row r="81" customFormat="false" ht="15" hidden="false" customHeight="true" outlineLevel="0" collapsed="false">
      <c r="A81" s="12" t="s">
        <v>239</v>
      </c>
      <c r="B81" s="12" t="str">
        <f aca="false">лютий!B81</f>
        <v>Рибакевич М.П.</v>
      </c>
      <c r="C81" s="12" t="s">
        <v>241</v>
      </c>
      <c r="D81" s="14" t="n">
        <f aca="false">лютий!P81</f>
        <v>1541.2</v>
      </c>
      <c r="E81" s="14" t="n">
        <f aca="false">лютий!Q81</f>
        <v>0</v>
      </c>
      <c r="F81" s="13" t="n">
        <f aca="false">лютий!F81</f>
        <v>0</v>
      </c>
      <c r="G81" s="13" t="n">
        <f aca="false">лютий!G81</f>
        <v>64.5</v>
      </c>
      <c r="H81" s="13" t="n">
        <f aca="false">лютий!H81</f>
        <v>0</v>
      </c>
      <c r="I81" s="13" t="n">
        <f aca="false">лютий!I81</f>
        <v>4.1</v>
      </c>
      <c r="J81" s="14" t="n">
        <f aca="false">ROUND(G81*I81,2)</f>
        <v>264.45</v>
      </c>
      <c r="K81" s="14"/>
      <c r="L81" s="14"/>
      <c r="M81" s="14"/>
      <c r="N81" s="14" t="n">
        <f aca="false">ROUND((G81*I81)-K81-L81-M81,2)</f>
        <v>264.45</v>
      </c>
      <c r="O81" s="14"/>
      <c r="P81" s="14" t="n">
        <f aca="false">ROUND(IF(D81=0,IF((N81-E81-O81)&gt;0,(N81-E81-O81),0),IF((D81+N81-O81)&gt;0,(D81+N81-O81),0)),2)</f>
        <v>1805.65</v>
      </c>
      <c r="Q81" s="14" t="n">
        <f aca="false">ROUND(IF(E81=0,IF((D81+N81-O81)&lt;0,ABS(D81+N81-O81),0),IF((N81-E81-O81)&lt;0,ABS(N81-E81-O81),0)),2)</f>
        <v>0</v>
      </c>
    </row>
    <row r="82" customFormat="false" ht="15" hidden="false" customHeight="true" outlineLevel="0" collapsed="false">
      <c r="A82" s="12" t="s">
        <v>242</v>
      </c>
      <c r="B82" s="12" t="str">
        <f aca="false">лютий!B82</f>
        <v>Башкалов В.В.</v>
      </c>
      <c r="C82" s="12" t="s">
        <v>244</v>
      </c>
      <c r="D82" s="14" t="n">
        <f aca="false">лютий!P82</f>
        <v>413.64</v>
      </c>
      <c r="E82" s="14" t="n">
        <f aca="false">лютий!Q82</f>
        <v>0</v>
      </c>
      <c r="F82" s="13" t="n">
        <f aca="false">лютий!F82</f>
        <v>0</v>
      </c>
      <c r="G82" s="13" t="n">
        <f aca="false">лютий!G82</f>
        <v>50.8</v>
      </c>
      <c r="H82" s="13" t="n">
        <f aca="false">лютий!H82</f>
        <v>0</v>
      </c>
      <c r="I82" s="13" t="n">
        <f aca="false">лютий!I82</f>
        <v>4.1</v>
      </c>
      <c r="J82" s="14" t="n">
        <f aca="false">ROUND(G82*I82,2)</f>
        <v>208.28</v>
      </c>
      <c r="K82" s="14"/>
      <c r="L82" s="14"/>
      <c r="M82" s="14"/>
      <c r="N82" s="14" t="n">
        <f aca="false">ROUND((G82*I82)-K82-L82-M82,2)</f>
        <v>208.28</v>
      </c>
      <c r="O82" s="14"/>
      <c r="P82" s="14" t="n">
        <f aca="false">ROUND(IF(D82=0,IF((N82-E82-O82)&gt;0,(N82-E82-O82),0),IF((D82+N82-O82)&gt;0,(D82+N82-O82),0)),2)</f>
        <v>621.92</v>
      </c>
      <c r="Q82" s="14" t="n">
        <f aca="false">ROUND(IF(E82=0,IF((D82+N82-O82)&lt;0,ABS(D82+N82-O82),0),IF((N82-E82-O82)&lt;0,ABS(N82-E82-O82),0)),2)</f>
        <v>0</v>
      </c>
    </row>
    <row r="83" customFormat="false" ht="15" hidden="false" customHeight="true" outlineLevel="0" collapsed="false">
      <c r="A83" s="12" t="s">
        <v>245</v>
      </c>
      <c r="B83" s="12" t="str">
        <f aca="false">лютий!B83</f>
        <v>Тіхенко Г.Д.</v>
      </c>
      <c r="C83" s="12" t="s">
        <v>247</v>
      </c>
      <c r="D83" s="14" t="n">
        <f aca="false">лютий!P83</f>
        <v>4003.69</v>
      </c>
      <c r="E83" s="14" t="n">
        <f aca="false">лютий!Q83</f>
        <v>0</v>
      </c>
      <c r="F83" s="13" t="n">
        <f aca="false">лютий!F83</f>
        <v>0</v>
      </c>
      <c r="G83" s="13" t="n">
        <f aca="false">лютий!G83</f>
        <v>34.9</v>
      </c>
      <c r="H83" s="13" t="n">
        <f aca="false">лютий!H83</f>
        <v>0</v>
      </c>
      <c r="I83" s="13" t="n">
        <f aca="false">лютий!I83</f>
        <v>4.1</v>
      </c>
      <c r="J83" s="14" t="n">
        <f aca="false">ROUND(G83*I83,2)</f>
        <v>143.09</v>
      </c>
      <c r="K83" s="14"/>
      <c r="L83" s="14"/>
      <c r="M83" s="14"/>
      <c r="N83" s="14" t="n">
        <f aca="false">ROUND((G83*I83)-K83-L83-M83,2)</f>
        <v>143.09</v>
      </c>
      <c r="O83" s="14"/>
      <c r="P83" s="14" t="n">
        <f aca="false">ROUND(IF(D83=0,IF((N83-E83-O83)&gt;0,(N83-E83-O83),0),IF((D83+N83-O83)&gt;0,(D83+N83-O83),0)),2)</f>
        <v>4146.78</v>
      </c>
      <c r="Q83" s="14" t="n">
        <f aca="false">ROUND(IF(E83=0,IF((D83+N83-O83)&lt;0,ABS(D83+N83-O83),0),IF((N83-E83-O83)&lt;0,ABS(N83-E83-O83),0)),2)</f>
        <v>0</v>
      </c>
    </row>
    <row r="84" customFormat="false" ht="15" hidden="false" customHeight="true" outlineLevel="0" collapsed="false">
      <c r="A84" s="12" t="s">
        <v>248</v>
      </c>
      <c r="B84" s="12" t="str">
        <f aca="false">лютий!B84</f>
        <v>Головченко В.Г.</v>
      </c>
      <c r="C84" s="12" t="s">
        <v>250</v>
      </c>
      <c r="D84" s="14" t="n">
        <f aca="false">лютий!P84</f>
        <v>500.3</v>
      </c>
      <c r="E84" s="14" t="n">
        <f aca="false">лютий!Q84</f>
        <v>0</v>
      </c>
      <c r="F84" s="13" t="n">
        <f aca="false">лютий!F84</f>
        <v>0</v>
      </c>
      <c r="G84" s="13" t="n">
        <f aca="false">лютий!G84</f>
        <v>61</v>
      </c>
      <c r="H84" s="13" t="n">
        <f aca="false">лютий!H84</f>
        <v>0</v>
      </c>
      <c r="I84" s="13" t="n">
        <f aca="false">лютий!I84</f>
        <v>4.1</v>
      </c>
      <c r="J84" s="14" t="n">
        <f aca="false">ROUND(G84*I84,2)</f>
        <v>250.1</v>
      </c>
      <c r="K84" s="14"/>
      <c r="L84" s="14"/>
      <c r="M84" s="14"/>
      <c r="N84" s="14" t="n">
        <f aca="false">ROUND((G84*I84)-K84-L84-M84,2)</f>
        <v>250.1</v>
      </c>
      <c r="O84" s="14"/>
      <c r="P84" s="14" t="n">
        <f aca="false">ROUND(IF(D84=0,IF((N84-E84-O84)&gt;0,(N84-E84-O84),0),IF((D84+N84-O84)&gt;0,(D84+N84-O84),0)),2)</f>
        <v>750.4</v>
      </c>
      <c r="Q84" s="14" t="n">
        <f aca="false">ROUND(IF(E84=0,IF((D84+N84-O84)&lt;0,ABS(D84+N84-O84),0),IF((N84-E84-O84)&lt;0,ABS(N84-E84-O84),0)),2)</f>
        <v>0</v>
      </c>
    </row>
    <row r="85" customFormat="false" ht="15" hidden="false" customHeight="true" outlineLevel="0" collapsed="false">
      <c r="A85" s="12" t="s">
        <v>251</v>
      </c>
      <c r="B85" s="12" t="str">
        <f aca="false">лютий!B85</f>
        <v>Семанішина Є.С.</v>
      </c>
      <c r="C85" s="12" t="s">
        <v>253</v>
      </c>
      <c r="D85" s="14" t="n">
        <f aca="false">лютий!P85</f>
        <v>930.05</v>
      </c>
      <c r="E85" s="14" t="n">
        <f aca="false">лютий!Q85</f>
        <v>0</v>
      </c>
      <c r="F85" s="13" t="n">
        <f aca="false">лютий!F85</f>
        <v>0</v>
      </c>
      <c r="G85" s="13" t="n">
        <f aca="false">лютий!G85</f>
        <v>64.5</v>
      </c>
      <c r="H85" s="13" t="n">
        <f aca="false">лютий!H85</f>
        <v>0</v>
      </c>
      <c r="I85" s="13" t="n">
        <f aca="false">лютий!I85</f>
        <v>4.1</v>
      </c>
      <c r="J85" s="14" t="n">
        <f aca="false">ROUND(G85*I85,2)</f>
        <v>264.45</v>
      </c>
      <c r="K85" s="14"/>
      <c r="L85" s="14"/>
      <c r="M85" s="14"/>
      <c r="N85" s="14" t="n">
        <f aca="false">ROUND((G85*I85)-K85-L85-M85,2)</f>
        <v>264.45</v>
      </c>
      <c r="O85" s="14"/>
      <c r="P85" s="14" t="n">
        <f aca="false">ROUND(IF(D85=0,IF((N85-E85-O85)&gt;0,(N85-E85-O85),0),IF((D85+N85-O85)&gt;0,(D85+N85-O85),0)),2)</f>
        <v>1194.5</v>
      </c>
      <c r="Q85" s="14" t="n">
        <f aca="false">ROUND(IF(E85=0,IF((D85+N85-O85)&lt;0,ABS(D85+N85-O85),0),IF((N85-E85-O85)&lt;0,ABS(N85-E85-O85),0)),2)</f>
        <v>0</v>
      </c>
    </row>
    <row r="86" customFormat="false" ht="15" hidden="false" customHeight="true" outlineLevel="0" collapsed="false">
      <c r="A86" s="12" t="s">
        <v>254</v>
      </c>
      <c r="B86" s="12" t="str">
        <f aca="false">лютий!B86</f>
        <v>Зінченко Ю.В.</v>
      </c>
      <c r="C86" s="12" t="s">
        <v>256</v>
      </c>
      <c r="D86" s="14" t="n">
        <f aca="false">лютий!P86</f>
        <v>388.52</v>
      </c>
      <c r="E86" s="14" t="n">
        <f aca="false">лютий!Q86</f>
        <v>0</v>
      </c>
      <c r="F86" s="13" t="n">
        <f aca="false">лютий!F86</f>
        <v>0</v>
      </c>
      <c r="G86" s="13" t="n">
        <f aca="false">лютий!G86</f>
        <v>49.3</v>
      </c>
      <c r="H86" s="13" t="n">
        <f aca="false">лютий!H86</f>
        <v>0</v>
      </c>
      <c r="I86" s="13" t="n">
        <f aca="false">лютий!I86</f>
        <v>4.1</v>
      </c>
      <c r="J86" s="14" t="n">
        <f aca="false">ROUND(G86*I86,2)</f>
        <v>202.13</v>
      </c>
      <c r="K86" s="14"/>
      <c r="L86" s="14"/>
      <c r="M86" s="14"/>
      <c r="N86" s="14" t="n">
        <f aca="false">ROUND((G86*I86)-K86-L86-M86,2)</f>
        <v>202.13</v>
      </c>
      <c r="O86" s="14"/>
      <c r="P86" s="14" t="n">
        <f aca="false">ROUND(IF(D86=0,IF((N86-E86-O86)&gt;0,(N86-E86-O86),0),IF((D86+N86-O86)&gt;0,(D86+N86-O86),0)),2)</f>
        <v>590.65</v>
      </c>
      <c r="Q86" s="14" t="n">
        <f aca="false">ROUND(IF(E86=0,IF((D86+N86-O86)&lt;0,ABS(D86+N86-O86),0),IF((N86-E86-O86)&lt;0,ABS(N86-E86-O86),0)),2)</f>
        <v>0</v>
      </c>
    </row>
    <row r="87" customFormat="false" ht="15" hidden="false" customHeight="true" outlineLevel="0" collapsed="false">
      <c r="A87" s="12" t="s">
        <v>257</v>
      </c>
      <c r="B87" s="12" t="str">
        <f aca="false">лютий!B87</f>
        <v>Рилова Г.П.</v>
      </c>
      <c r="C87" s="12" t="s">
        <v>259</v>
      </c>
      <c r="D87" s="14" t="n">
        <f aca="false">лютий!P87</f>
        <v>430.5</v>
      </c>
      <c r="E87" s="14" t="n">
        <f aca="false">лютий!Q87</f>
        <v>0</v>
      </c>
      <c r="F87" s="13" t="n">
        <f aca="false">лютий!F87</f>
        <v>0</v>
      </c>
      <c r="G87" s="13" t="n">
        <f aca="false">лютий!G87</f>
        <v>35</v>
      </c>
      <c r="H87" s="13" t="n">
        <f aca="false">лютий!H87</f>
        <v>0</v>
      </c>
      <c r="I87" s="13" t="n">
        <f aca="false">лютий!I87</f>
        <v>4.1</v>
      </c>
      <c r="J87" s="14" t="n">
        <f aca="false">ROUND(G87*I87,2)</f>
        <v>143.5</v>
      </c>
      <c r="K87" s="14"/>
      <c r="L87" s="14"/>
      <c r="M87" s="14"/>
      <c r="N87" s="14" t="n">
        <f aca="false">ROUND((G87*I87)-K87-L87-M87,2)</f>
        <v>143.5</v>
      </c>
      <c r="O87" s="14"/>
      <c r="P87" s="14" t="n">
        <f aca="false">ROUND(IF(D87=0,IF((N87-E87-O87)&gt;0,(N87-E87-O87),0),IF((D87+N87-O87)&gt;0,(D87+N87-O87),0)),2)</f>
        <v>574</v>
      </c>
      <c r="Q87" s="14" t="n">
        <f aca="false">ROUND(IF(E87=0,IF((D87+N87-O87)&lt;0,ABS(D87+N87-O87),0),IF((N87-E87-O87)&lt;0,ABS(N87-E87-O87),0)),2)</f>
        <v>0</v>
      </c>
    </row>
    <row r="88" customFormat="false" ht="15" hidden="false" customHeight="true" outlineLevel="0" collapsed="false">
      <c r="A88" s="12" t="s">
        <v>260</v>
      </c>
      <c r="B88" s="12" t="str">
        <f aca="false">лютий!B88</f>
        <v>Ленський І.О.</v>
      </c>
      <c r="C88" s="12" t="s">
        <v>262</v>
      </c>
      <c r="D88" s="14" t="n">
        <f aca="false">лютий!P88</f>
        <v>760.14</v>
      </c>
      <c r="E88" s="14" t="n">
        <f aca="false">лютий!Q88</f>
        <v>0</v>
      </c>
      <c r="F88" s="13" t="n">
        <f aca="false">лютий!F88</f>
        <v>0</v>
      </c>
      <c r="G88" s="13" t="n">
        <f aca="false">лютий!G88</f>
        <v>61.8</v>
      </c>
      <c r="H88" s="13" t="n">
        <f aca="false">лютий!H88</f>
        <v>0</v>
      </c>
      <c r="I88" s="13" t="n">
        <f aca="false">лютий!I88</f>
        <v>4.1</v>
      </c>
      <c r="J88" s="14" t="n">
        <f aca="false">ROUND(G88*I88,2)</f>
        <v>253.38</v>
      </c>
      <c r="K88" s="14"/>
      <c r="L88" s="14"/>
      <c r="M88" s="14"/>
      <c r="N88" s="14" t="n">
        <f aca="false">ROUND((G88*I88)-K88-L88-M88,2)</f>
        <v>253.38</v>
      </c>
      <c r="O88" s="14"/>
      <c r="P88" s="14" t="n">
        <f aca="false">ROUND(IF(D88=0,IF((N88-E88-O88)&gt;0,(N88-E88-O88),0),IF((D88+N88-O88)&gt;0,(D88+N88-O88),0)),2)</f>
        <v>1013.52</v>
      </c>
      <c r="Q88" s="14" t="n">
        <f aca="false">ROUND(IF(E88=0,IF((D88+N88-O88)&lt;0,ABS(D88+N88-O88),0),IF((N88-E88-O88)&lt;0,ABS(N88-E88-O88),0)),2)</f>
        <v>0</v>
      </c>
    </row>
    <row r="89" customFormat="false" ht="15" hidden="false" customHeight="true" outlineLevel="0" collapsed="false">
      <c r="A89" s="12" t="s">
        <v>263</v>
      </c>
      <c r="B89" s="12" t="str">
        <f aca="false">лютий!B89</f>
        <v>Слюсар О.О.</v>
      </c>
      <c r="C89" s="12" t="s">
        <v>265</v>
      </c>
      <c r="D89" s="14" t="n">
        <f aca="false">лютий!P89</f>
        <v>13086.71</v>
      </c>
      <c r="E89" s="14" t="n">
        <f aca="false">лютий!Q89</f>
        <v>0</v>
      </c>
      <c r="F89" s="13" t="n">
        <f aca="false">лютий!F89</f>
        <v>0</v>
      </c>
      <c r="G89" s="13" t="n">
        <f aca="false">лютий!G89</f>
        <v>65.81</v>
      </c>
      <c r="H89" s="13" t="n">
        <f aca="false">лютий!H89</f>
        <v>0</v>
      </c>
      <c r="I89" s="13" t="n">
        <f aca="false">лютий!I89</f>
        <v>4.1</v>
      </c>
      <c r="J89" s="14" t="n">
        <f aca="false">ROUND(G89*I89,2)</f>
        <v>269.82</v>
      </c>
      <c r="K89" s="14"/>
      <c r="L89" s="14"/>
      <c r="M89" s="14"/>
      <c r="N89" s="14" t="n">
        <f aca="false">ROUND((G89*I89)-K89-L89-M89,2)</f>
        <v>269.82</v>
      </c>
      <c r="O89" s="14"/>
      <c r="P89" s="14" t="n">
        <f aca="false">ROUND(IF(D89=0,IF((N89-E89-O89)&gt;0,(N89-E89-O89),0),IF((D89+N89-O89)&gt;0,(D89+N89-O89),0)),2)</f>
        <v>13356.53</v>
      </c>
      <c r="Q89" s="14" t="n">
        <f aca="false">ROUND(IF(E89=0,IF((D89+N89-O89)&lt;0,ABS(D89+N89-O89),0),IF((N89-E89-O89)&lt;0,ABS(N89-E89-O89),0)),2)</f>
        <v>0</v>
      </c>
    </row>
    <row r="90" customFormat="false" ht="15" hidden="false" customHeight="true" outlineLevel="0" collapsed="false">
      <c r="A90" s="12" t="s">
        <v>266</v>
      </c>
      <c r="B90" s="12" t="str">
        <f aca="false">лютий!B90</f>
        <v>Кісельов Г.О.</v>
      </c>
      <c r="C90" s="12" t="s">
        <v>268</v>
      </c>
      <c r="D90" s="14" t="n">
        <f aca="false">лютий!P90</f>
        <v>0</v>
      </c>
      <c r="E90" s="14" t="n">
        <f aca="false">лютий!Q90</f>
        <v>205.15</v>
      </c>
      <c r="F90" s="13" t="n">
        <f aca="false">лютий!F90</f>
        <v>0</v>
      </c>
      <c r="G90" s="13" t="n">
        <f aca="false">лютий!G90</f>
        <v>49.7</v>
      </c>
      <c r="H90" s="13" t="n">
        <f aca="false">лютий!H90</f>
        <v>0</v>
      </c>
      <c r="I90" s="13" t="n">
        <f aca="false">лютий!I90</f>
        <v>4.1</v>
      </c>
      <c r="J90" s="14" t="n">
        <f aca="false">ROUND(G90*I90,2)</f>
        <v>203.77</v>
      </c>
      <c r="K90" s="14"/>
      <c r="L90" s="14"/>
      <c r="M90" s="14"/>
      <c r="N90" s="14" t="n">
        <f aca="false">ROUND((G90*I90)-K90-L90-M90,2)</f>
        <v>203.77</v>
      </c>
      <c r="O90" s="14"/>
      <c r="P90" s="14" t="n">
        <f aca="false">ROUND(IF(D90=0,IF((N90-E90-O90)&gt;0,(N90-E90-O90),0),IF((D90+N90-O90)&gt;0,(D90+N90-O90),0)),2)</f>
        <v>0</v>
      </c>
      <c r="Q90" s="14" t="n">
        <f aca="false">ROUND(IF(E90=0,IF((D90+N90-O90)&lt;0,ABS(D90+N90-O90),0),IF((N90-E90-O90)&lt;0,ABS(N90-E90-O90),0)),2)</f>
        <v>1.38</v>
      </c>
    </row>
    <row r="91" customFormat="false" ht="15" hidden="false" customHeight="true" outlineLevel="0" collapsed="false">
      <c r="A91" s="12" t="s">
        <v>269</v>
      </c>
      <c r="B91" s="12" t="str">
        <f aca="false">лютий!B91</f>
        <v>Губанова Н.С.</v>
      </c>
      <c r="C91" s="12" t="s">
        <v>271</v>
      </c>
      <c r="D91" s="14" t="n">
        <f aca="false">лютий!P91</f>
        <v>6082.35</v>
      </c>
      <c r="E91" s="14" t="n">
        <f aca="false">лютий!Q91</f>
        <v>0</v>
      </c>
      <c r="F91" s="13" t="n">
        <f aca="false">лютий!F91</f>
        <v>0</v>
      </c>
      <c r="G91" s="13" t="n">
        <f aca="false">лютий!G91</f>
        <v>34.5</v>
      </c>
      <c r="H91" s="13" t="n">
        <f aca="false">лютий!H91</f>
        <v>0</v>
      </c>
      <c r="I91" s="13" t="n">
        <f aca="false">лютий!I91</f>
        <v>4.1</v>
      </c>
      <c r="J91" s="14" t="n">
        <f aca="false">ROUND(G91*I91,2)</f>
        <v>141.45</v>
      </c>
      <c r="K91" s="14"/>
      <c r="L91" s="14"/>
      <c r="M91" s="14"/>
      <c r="N91" s="14" t="n">
        <f aca="false">ROUND((G91*I91)-K91-L91-M91,2)</f>
        <v>141.45</v>
      </c>
      <c r="O91" s="14"/>
      <c r="P91" s="14" t="n">
        <f aca="false">ROUND(IF(D91=0,IF((N91-E91-O91)&gt;0,(N91-E91-O91),0),IF((D91+N91-O91)&gt;0,(D91+N91-O91),0)),2)</f>
        <v>6223.8</v>
      </c>
      <c r="Q91" s="14" t="n">
        <f aca="false">ROUND(IF(E91=0,IF((D91+N91-O91)&lt;0,ABS(D91+N91-O91),0),IF((N91-E91-O91)&lt;0,ABS(N91-E91-O91),0)),2)</f>
        <v>0</v>
      </c>
    </row>
    <row r="92" customFormat="false" ht="15" hidden="false" customHeight="true" outlineLevel="0" collapsed="false">
      <c r="A92" s="12" t="s">
        <v>272</v>
      </c>
      <c r="B92" s="12" t="str">
        <f aca="false">лютий!B92</f>
        <v>Попова А.В.</v>
      </c>
      <c r="C92" s="12" t="s">
        <v>274</v>
      </c>
      <c r="D92" s="14" t="n">
        <f aca="false">лютий!P92</f>
        <v>4268.11</v>
      </c>
      <c r="E92" s="14" t="n">
        <f aca="false">лютий!Q92</f>
        <v>0</v>
      </c>
      <c r="F92" s="13" t="n">
        <f aca="false">лютий!F92</f>
        <v>0</v>
      </c>
      <c r="G92" s="13" t="n">
        <f aca="false">лютий!G92</f>
        <v>62.4</v>
      </c>
      <c r="H92" s="13" t="n">
        <f aca="false">лютий!H92</f>
        <v>0</v>
      </c>
      <c r="I92" s="13" t="n">
        <f aca="false">лютий!I92</f>
        <v>4.1</v>
      </c>
      <c r="J92" s="14" t="n">
        <f aca="false">ROUND(G92*I92,2)</f>
        <v>255.84</v>
      </c>
      <c r="K92" s="14"/>
      <c r="L92" s="14"/>
      <c r="M92" s="14"/>
      <c r="N92" s="14" t="n">
        <f aca="false">ROUND((G92*I92)-K92-L92-M92,2)</f>
        <v>255.84</v>
      </c>
      <c r="O92" s="14"/>
      <c r="P92" s="14" t="n">
        <f aca="false">ROUND(IF(D92=0,IF((N92-E92-O92)&gt;0,(N92-E92-O92),0),IF((D92+N92-O92)&gt;0,(D92+N92-O92),0)),2)</f>
        <v>4523.95</v>
      </c>
      <c r="Q92" s="14" t="n">
        <f aca="false">ROUND(IF(E92=0,IF((D92+N92-O92)&lt;0,ABS(D92+N92-O92),0),IF((N92-E92-O92)&lt;0,ABS(N92-E92-O92),0)),2)</f>
        <v>0</v>
      </c>
    </row>
    <row r="93" customFormat="false" ht="15" hidden="false" customHeight="true" outlineLevel="0" collapsed="false">
      <c r="A93" s="12" t="s">
        <v>275</v>
      </c>
      <c r="B93" s="12" t="str">
        <f aca="false">лютий!B93</f>
        <v>Стародубець О.К.</v>
      </c>
      <c r="C93" s="12" t="s">
        <v>277</v>
      </c>
      <c r="D93" s="14" t="n">
        <f aca="false">лютий!P93</f>
        <v>817.47</v>
      </c>
      <c r="E93" s="14" t="n">
        <f aca="false">лютий!Q93</f>
        <v>0</v>
      </c>
      <c r="F93" s="13" t="n">
        <f aca="false">лютий!F93</f>
        <v>0</v>
      </c>
      <c r="G93" s="13" t="n">
        <f aca="false">лютий!G93</f>
        <v>66.46</v>
      </c>
      <c r="H93" s="13" t="n">
        <f aca="false">лютий!H93</f>
        <v>0</v>
      </c>
      <c r="I93" s="13" t="n">
        <f aca="false">лютий!I93</f>
        <v>4.1</v>
      </c>
      <c r="J93" s="14" t="n">
        <f aca="false">ROUND(G93*I93,2)</f>
        <v>272.49</v>
      </c>
      <c r="K93" s="14"/>
      <c r="L93" s="14"/>
      <c r="M93" s="14"/>
      <c r="N93" s="14" t="n">
        <f aca="false">ROUND((G93*I93)-K93-L93-M93,2)</f>
        <v>272.49</v>
      </c>
      <c r="O93" s="14"/>
      <c r="P93" s="14" t="n">
        <f aca="false">ROUND(IF(D93=0,IF((N93-E93-O93)&gt;0,(N93-E93-O93),0),IF((D93+N93-O93)&gt;0,(D93+N93-O93),0)),2)</f>
        <v>1089.96</v>
      </c>
      <c r="Q93" s="14" t="n">
        <f aca="false">ROUND(IF(E93=0,IF((D93+N93-O93)&lt;0,ABS(D93+N93-O93),0),IF((N93-E93-O93)&lt;0,ABS(N93-E93-O93),0)),2)</f>
        <v>0</v>
      </c>
    </row>
    <row r="94" customFormat="false" ht="15" hidden="false" customHeight="true" outlineLevel="0" collapsed="false">
      <c r="A94" s="12" t="s">
        <v>278</v>
      </c>
      <c r="B94" s="12" t="str">
        <f aca="false">лютий!B94</f>
        <v>Сакун Т.А.</v>
      </c>
      <c r="C94" s="12" t="s">
        <v>280</v>
      </c>
      <c r="D94" s="14" t="n">
        <f aca="false">лютий!P94</f>
        <v>8194.4</v>
      </c>
      <c r="E94" s="14" t="n">
        <f aca="false">лютий!Q94</f>
        <v>0</v>
      </c>
      <c r="F94" s="13" t="n">
        <f aca="false">лютий!F94</f>
        <v>0</v>
      </c>
      <c r="G94" s="13" t="n">
        <f aca="false">лютий!G94</f>
        <v>49.73</v>
      </c>
      <c r="H94" s="13" t="n">
        <f aca="false">лютий!H94</f>
        <v>0</v>
      </c>
      <c r="I94" s="13" t="n">
        <f aca="false">лютий!I94</f>
        <v>4.1</v>
      </c>
      <c r="J94" s="14" t="n">
        <f aca="false">ROUND(G94*I94,2)</f>
        <v>203.89</v>
      </c>
      <c r="K94" s="14"/>
      <c r="L94" s="14"/>
      <c r="M94" s="14"/>
      <c r="N94" s="14" t="n">
        <f aca="false">ROUND((G94*I94)-K94-L94-M94,2)</f>
        <v>203.89</v>
      </c>
      <c r="O94" s="14"/>
      <c r="P94" s="14" t="n">
        <f aca="false">ROUND(IF(D94=0,IF((N94-E94-O94)&gt;0,(N94-E94-O94),0),IF((D94+N94-O94)&gt;0,(D94+N94-O94),0)),2)</f>
        <v>8398.29</v>
      </c>
      <c r="Q94" s="14" t="n">
        <f aca="false">ROUND(IF(E94=0,IF((D94+N94-O94)&lt;0,ABS(D94+N94-O94),0),IF((N94-E94-O94)&lt;0,ABS(N94-E94-O94),0)),2)</f>
        <v>0</v>
      </c>
    </row>
    <row r="95" customFormat="false" ht="15" hidden="false" customHeight="true" outlineLevel="0" collapsed="false">
      <c r="A95" s="12" t="s">
        <v>281</v>
      </c>
      <c r="B95" s="12" t="str">
        <f aca="false">лютий!B95</f>
        <v>Фатєєв Ю.О.</v>
      </c>
      <c r="C95" s="12" t="s">
        <v>283</v>
      </c>
      <c r="D95" s="14" t="n">
        <f aca="false">лютий!P95</f>
        <v>9229.87</v>
      </c>
      <c r="E95" s="14" t="n">
        <f aca="false">лютий!Q95</f>
        <v>0</v>
      </c>
      <c r="F95" s="13" t="n">
        <f aca="false">лютий!F95</f>
        <v>0</v>
      </c>
      <c r="G95" s="13" t="n">
        <f aca="false">лютий!G95</f>
        <v>34.9</v>
      </c>
      <c r="H95" s="13" t="n">
        <f aca="false">лютий!H95</f>
        <v>0</v>
      </c>
      <c r="I95" s="13" t="n">
        <f aca="false">лютий!I95</f>
        <v>4.1</v>
      </c>
      <c r="J95" s="14" t="n">
        <f aca="false">ROUND(G95*I95,2)</f>
        <v>143.09</v>
      </c>
      <c r="K95" s="14"/>
      <c r="L95" s="14"/>
      <c r="M95" s="14"/>
      <c r="N95" s="14" t="n">
        <f aca="false">ROUND((G95*I95)-K95-L95-M95,2)</f>
        <v>143.09</v>
      </c>
      <c r="O95" s="14"/>
      <c r="P95" s="14" t="n">
        <f aca="false">ROUND(IF(D95=0,IF((N95-E95-O95)&gt;0,(N95-E95-O95),0),IF((D95+N95-O95)&gt;0,(D95+N95-O95),0)),2)</f>
        <v>9372.96</v>
      </c>
      <c r="Q95" s="14" t="n">
        <f aca="false">ROUND(IF(E95=0,IF((D95+N95-O95)&lt;0,ABS(D95+N95-O95),0),IF((N95-E95-O95)&lt;0,ABS(N95-E95-O95),0)),2)</f>
        <v>0</v>
      </c>
    </row>
    <row r="96" customFormat="false" ht="15" hidden="false" customHeight="true" outlineLevel="0" collapsed="false">
      <c r="A96" s="12" t="s">
        <v>284</v>
      </c>
      <c r="B96" s="12" t="str">
        <f aca="false">лютий!B96</f>
        <v>Лукашов Є.В.</v>
      </c>
      <c r="C96" s="12" t="s">
        <v>286</v>
      </c>
      <c r="D96" s="14" t="n">
        <f aca="false">лютий!P96</f>
        <v>13884.97</v>
      </c>
      <c r="E96" s="14" t="n">
        <f aca="false">лютий!Q96</f>
        <v>0</v>
      </c>
      <c r="F96" s="13" t="n">
        <f aca="false">лютий!F96</f>
        <v>0</v>
      </c>
      <c r="G96" s="13" t="n">
        <f aca="false">лютий!G96</f>
        <v>61.9</v>
      </c>
      <c r="H96" s="13" t="n">
        <f aca="false">лютий!H96</f>
        <v>0</v>
      </c>
      <c r="I96" s="13" t="n">
        <f aca="false">лютий!I96</f>
        <v>4.1</v>
      </c>
      <c r="J96" s="14" t="n">
        <f aca="false">ROUND(G96*I96,2)</f>
        <v>253.79</v>
      </c>
      <c r="K96" s="14"/>
      <c r="L96" s="14"/>
      <c r="M96" s="14"/>
      <c r="N96" s="14" t="n">
        <f aca="false">ROUND((G96*I96)-K96-L96-M96,2)</f>
        <v>253.79</v>
      </c>
      <c r="O96" s="14"/>
      <c r="P96" s="14" t="n">
        <f aca="false">ROUND(IF(D96=0,IF((N96-E96-O96)&gt;0,(N96-E96-O96),0),IF((D96+N96-O96)&gt;0,(D96+N96-O96),0)),2)</f>
        <v>14138.76</v>
      </c>
      <c r="Q96" s="14" t="n">
        <f aca="false">ROUND(IF(E96=0,IF((D96+N96-O96)&lt;0,ABS(D96+N96-O96),0),IF((N96-E96-O96)&lt;0,ABS(N96-E96-O96),0)),2)</f>
        <v>0</v>
      </c>
    </row>
    <row r="97" customFormat="false" ht="15" hidden="false" customHeight="true" outlineLevel="0" collapsed="false">
      <c r="A97" s="12" t="s">
        <v>287</v>
      </c>
      <c r="B97" s="12" t="str">
        <f aca="false">лютий!B97</f>
        <v>Довбета В.М.</v>
      </c>
      <c r="C97" s="12" t="s">
        <v>289</v>
      </c>
      <c r="D97" s="14" t="n">
        <f aca="false">лютий!P97</f>
        <v>263.22</v>
      </c>
      <c r="E97" s="14" t="n">
        <f aca="false">лютий!Q97</f>
        <v>0</v>
      </c>
      <c r="F97" s="13" t="n">
        <f aca="false">лютий!F97</f>
        <v>0</v>
      </c>
      <c r="G97" s="13" t="n">
        <f aca="false">лютий!G97</f>
        <v>65.3</v>
      </c>
      <c r="H97" s="13" t="n">
        <f aca="false">лютий!H97</f>
        <v>0</v>
      </c>
      <c r="I97" s="13" t="n">
        <f aca="false">лютий!I97</f>
        <v>4.1</v>
      </c>
      <c r="J97" s="14" t="n">
        <f aca="false">ROUND(G97*I97,2)</f>
        <v>267.73</v>
      </c>
      <c r="K97" s="14"/>
      <c r="L97" s="14"/>
      <c r="M97" s="14"/>
      <c r="N97" s="14" t="n">
        <f aca="false">ROUND((G97*I97)-K97-L97-M97,2)</f>
        <v>267.73</v>
      </c>
      <c r="O97" s="14"/>
      <c r="P97" s="14" t="n">
        <f aca="false">ROUND(IF(D97=0,IF((N97-E97-O97)&gt;0,(N97-E97-O97),0),IF((D97+N97-O97)&gt;0,(D97+N97-O97),0)),2)</f>
        <v>530.95</v>
      </c>
      <c r="Q97" s="14" t="n">
        <f aca="false">ROUND(IF(E97=0,IF((D97+N97-O97)&lt;0,ABS(D97+N97-O97),0),IF((N97-E97-O97)&lt;0,ABS(N97-E97-O97),0)),2)</f>
        <v>0</v>
      </c>
    </row>
    <row r="98" customFormat="false" ht="15" hidden="false" customHeight="true" outlineLevel="0" collapsed="false">
      <c r="A98" s="12" t="s">
        <v>290</v>
      </c>
      <c r="B98" s="12" t="str">
        <f aca="false">лютий!B98</f>
        <v>Черняк К.В.</v>
      </c>
      <c r="C98" s="12" t="s">
        <v>292</v>
      </c>
      <c r="D98" s="14" t="n">
        <f aca="false">лютий!P98</f>
        <v>177.43</v>
      </c>
      <c r="E98" s="14" t="n">
        <f aca="false">лютий!Q98</f>
        <v>0</v>
      </c>
      <c r="F98" s="13" t="n">
        <f aca="false">лютий!F98</f>
        <v>0</v>
      </c>
      <c r="G98" s="13" t="n">
        <f aca="false">лютий!G98</f>
        <v>49.48</v>
      </c>
      <c r="H98" s="13" t="n">
        <f aca="false">лютий!H98</f>
        <v>0</v>
      </c>
      <c r="I98" s="13" t="n">
        <f aca="false">лютий!I98</f>
        <v>4.1</v>
      </c>
      <c r="J98" s="14" t="n">
        <f aca="false">ROUND(G98*I98,2)</f>
        <v>202.87</v>
      </c>
      <c r="K98" s="14"/>
      <c r="L98" s="14"/>
      <c r="M98" s="14"/>
      <c r="N98" s="14" t="n">
        <f aca="false">ROUND((G98*I98)-K98-L98-M98,2)</f>
        <v>202.87</v>
      </c>
      <c r="O98" s="14"/>
      <c r="P98" s="14" t="n">
        <f aca="false">ROUND(IF(D98=0,IF((N98-E98-O98)&gt;0,(N98-E98-O98),0),IF((D98+N98-O98)&gt;0,(D98+N98-O98),0)),2)</f>
        <v>380.3</v>
      </c>
      <c r="Q98" s="14" t="n">
        <f aca="false">ROUND(IF(E98=0,IF((D98+N98-O98)&lt;0,ABS(D98+N98-O98),0),IF((N98-E98-O98)&lt;0,ABS(N98-E98-O98),0)),2)</f>
        <v>0</v>
      </c>
    </row>
    <row r="99" customFormat="false" ht="15" hidden="false" customHeight="true" outlineLevel="0" collapsed="false">
      <c r="A99" s="12" t="s">
        <v>293</v>
      </c>
      <c r="B99" s="12" t="str">
        <f aca="false">лютий!B99</f>
        <v>Довбета С.П.</v>
      </c>
      <c r="C99" s="12" t="s">
        <v>295</v>
      </c>
      <c r="D99" s="14" t="n">
        <f aca="false">лютий!P99</f>
        <v>284.68</v>
      </c>
      <c r="E99" s="14" t="n">
        <f aca="false">лютий!Q99</f>
        <v>0</v>
      </c>
      <c r="F99" s="13" t="n">
        <f aca="false">лютий!F99</f>
        <v>0</v>
      </c>
      <c r="G99" s="13" t="n">
        <f aca="false">лютий!G99</f>
        <v>35.1</v>
      </c>
      <c r="H99" s="13" t="n">
        <f aca="false">лютий!H99</f>
        <v>0</v>
      </c>
      <c r="I99" s="13" t="n">
        <f aca="false">лютий!I99</f>
        <v>4.1</v>
      </c>
      <c r="J99" s="14" t="n">
        <f aca="false">ROUND(G99*I99,2)</f>
        <v>143.91</v>
      </c>
      <c r="K99" s="14"/>
      <c r="L99" s="14"/>
      <c r="M99" s="14"/>
      <c r="N99" s="14" t="n">
        <f aca="false">ROUND((G99*I99)-K99-L99-M99,2)</f>
        <v>143.91</v>
      </c>
      <c r="O99" s="14"/>
      <c r="P99" s="14" t="n">
        <f aca="false">ROUND(IF(D99=0,IF((N99-E99-O99)&gt;0,(N99-E99-O99),0),IF((D99+N99-O99)&gt;0,(D99+N99-O99),0)),2)</f>
        <v>428.59</v>
      </c>
      <c r="Q99" s="14" t="n">
        <f aca="false">ROUND(IF(E99=0,IF((D99+N99-O99)&lt;0,ABS(D99+N99-O99),0),IF((N99-E99-O99)&lt;0,ABS(N99-E99-O99),0)),2)</f>
        <v>0</v>
      </c>
    </row>
    <row r="100" customFormat="false" ht="15" hidden="false" customHeight="true" outlineLevel="0" collapsed="false">
      <c r="A100" s="12" t="s">
        <v>296</v>
      </c>
      <c r="B100" s="12" t="str">
        <f aca="false">лютий!B100</f>
        <v>Липка Г.Ю.</v>
      </c>
      <c r="C100" s="12" t="s">
        <v>298</v>
      </c>
      <c r="D100" s="14" t="n">
        <f aca="false">лютий!P100</f>
        <v>13474.24</v>
      </c>
      <c r="E100" s="14" t="n">
        <f aca="false">лютий!Q100</f>
        <v>0</v>
      </c>
      <c r="F100" s="13" t="n">
        <f aca="false">лютий!F100</f>
        <v>0</v>
      </c>
      <c r="G100" s="13" t="n">
        <f aca="false">лютий!G100</f>
        <v>63.2</v>
      </c>
      <c r="H100" s="13" t="n">
        <f aca="false">лютий!H100</f>
        <v>0</v>
      </c>
      <c r="I100" s="13" t="n">
        <f aca="false">лютий!I100</f>
        <v>4.1</v>
      </c>
      <c r="J100" s="14" t="n">
        <f aca="false">ROUND(G100*I100,2)</f>
        <v>259.12</v>
      </c>
      <c r="K100" s="14"/>
      <c r="L100" s="14"/>
      <c r="M100" s="14"/>
      <c r="N100" s="14" t="n">
        <f aca="false">ROUND((G100*I100)-K100-L100-M100,2)</f>
        <v>259.12</v>
      </c>
      <c r="O100" s="14"/>
      <c r="P100" s="14" t="n">
        <f aca="false">ROUND(IF(D100=0,IF((N100-E100-O100)&gt;0,(N100-E100-O100),0),IF((D100+N100-O100)&gt;0,(D100+N100-O100),0)),2)</f>
        <v>13733.36</v>
      </c>
      <c r="Q100" s="14" t="n">
        <f aca="false">ROUND(IF(E100=0,IF((D100+N100-O100)&lt;0,ABS(D100+N100-O100),0),IF((N100-E100-O100)&lt;0,ABS(N100-E100-O100),0)),2)</f>
        <v>0</v>
      </c>
    </row>
    <row r="101" customFormat="false" ht="15" hidden="false" customHeight="true" outlineLevel="0" collapsed="false">
      <c r="A101" s="12" t="s">
        <v>299</v>
      </c>
      <c r="B101" s="12" t="str">
        <f aca="false">лютий!B101</f>
        <v>Утьосов Д.М.</v>
      </c>
      <c r="C101" s="12" t="s">
        <v>301</v>
      </c>
      <c r="D101" s="14" t="n">
        <f aca="false">лютий!P101</f>
        <v>7936.86</v>
      </c>
      <c r="E101" s="14" t="n">
        <f aca="false">лютий!Q101</f>
        <v>0</v>
      </c>
      <c r="F101" s="13" t="n">
        <f aca="false">лютий!F101</f>
        <v>0</v>
      </c>
      <c r="G101" s="13" t="n">
        <f aca="false">лютий!G101</f>
        <v>66.1</v>
      </c>
      <c r="H101" s="13" t="n">
        <f aca="false">лютий!H101</f>
        <v>0</v>
      </c>
      <c r="I101" s="13" t="n">
        <f aca="false">лютий!I101</f>
        <v>4.1</v>
      </c>
      <c r="J101" s="14" t="n">
        <f aca="false">ROUND(G101*I101,2)</f>
        <v>271.01</v>
      </c>
      <c r="K101" s="14"/>
      <c r="L101" s="14"/>
      <c r="M101" s="14"/>
      <c r="N101" s="14" t="n">
        <f aca="false">ROUND((G101*I101)-K101-L101-M101,2)</f>
        <v>271.01</v>
      </c>
      <c r="O101" s="14"/>
      <c r="P101" s="14" t="n">
        <f aca="false">ROUND(IF(D101=0,IF((N101-E101-O101)&gt;0,(N101-E101-O101),0),IF((D101+N101-O101)&gt;0,(D101+N101-O101),0)),2)</f>
        <v>8207.87</v>
      </c>
      <c r="Q101" s="14" t="n">
        <f aca="false">ROUND(IF(E101=0,IF((D101+N101-O101)&lt;0,ABS(D101+N101-O101),0),IF((N101-E101-O101)&lt;0,ABS(N101-E101-O101),0)),2)</f>
        <v>0</v>
      </c>
    </row>
    <row r="102" customFormat="false" ht="15" hidden="false" customHeight="true" outlineLevel="0" collapsed="false">
      <c r="A102" s="12" t="s">
        <v>302</v>
      </c>
      <c r="B102" s="12" t="str">
        <f aca="false">лютий!B102</f>
        <v>Стеценко Д.М.</v>
      </c>
      <c r="C102" s="12" t="s">
        <v>304</v>
      </c>
      <c r="D102" s="14" t="n">
        <f aca="false">лютий!P102</f>
        <v>7758.91</v>
      </c>
      <c r="E102" s="14" t="n">
        <f aca="false">лютий!Q102</f>
        <v>0</v>
      </c>
      <c r="F102" s="13" t="n">
        <f aca="false">лютий!F102</f>
        <v>0</v>
      </c>
      <c r="G102" s="13" t="n">
        <f aca="false">лютий!G102</f>
        <v>49.8</v>
      </c>
      <c r="H102" s="13" t="n">
        <f aca="false">лютий!H102</f>
        <v>0</v>
      </c>
      <c r="I102" s="13" t="n">
        <f aca="false">лютий!I102</f>
        <v>4.1</v>
      </c>
      <c r="J102" s="14" t="n">
        <f aca="false">ROUND(G102*I102,2)</f>
        <v>204.18</v>
      </c>
      <c r="K102" s="14"/>
      <c r="L102" s="14"/>
      <c r="M102" s="14"/>
      <c r="N102" s="14" t="n">
        <f aca="false">ROUND((G102*I102)-K102-L102-M102,2)</f>
        <v>204.18</v>
      </c>
      <c r="O102" s="14"/>
      <c r="P102" s="14" t="n">
        <f aca="false">ROUND(IF(D102=0,IF((N102-E102-O102)&gt;0,(N102-E102-O102),0),IF((D102+N102-O102)&gt;0,(D102+N102-O102),0)),2)</f>
        <v>7963.09</v>
      </c>
      <c r="Q102" s="14" t="n">
        <f aca="false">ROUND(IF(E102=0,IF((D102+N102-O102)&lt;0,ABS(D102+N102-O102),0),IF((N102-E102-O102)&lt;0,ABS(N102-E102-O102),0)),2)</f>
        <v>0</v>
      </c>
    </row>
    <row r="103" customFormat="false" ht="15" hidden="false" customHeight="true" outlineLevel="0" collapsed="false">
      <c r="A103" s="12" t="s">
        <v>305</v>
      </c>
      <c r="B103" s="12" t="str">
        <f aca="false">лютий!B103</f>
        <v>Задніпряна О.М.</v>
      </c>
      <c r="C103" s="12" t="s">
        <v>307</v>
      </c>
      <c r="D103" s="14" t="n">
        <f aca="false">лютий!P103</f>
        <v>6527.16</v>
      </c>
      <c r="E103" s="14" t="n">
        <f aca="false">лютий!Q103</f>
        <v>0</v>
      </c>
      <c r="F103" s="13" t="n">
        <f aca="false">лютий!F103</f>
        <v>0</v>
      </c>
      <c r="G103" s="13" t="n">
        <f aca="false">лютий!G103</f>
        <v>34.6</v>
      </c>
      <c r="H103" s="13" t="n">
        <f aca="false">лютий!H103</f>
        <v>0</v>
      </c>
      <c r="I103" s="13" t="n">
        <f aca="false">лютий!I103</f>
        <v>4.1</v>
      </c>
      <c r="J103" s="14" t="n">
        <f aca="false">ROUND(G103*I103,2)</f>
        <v>141.86</v>
      </c>
      <c r="K103" s="14"/>
      <c r="L103" s="14"/>
      <c r="M103" s="14"/>
      <c r="N103" s="14" t="n">
        <f aca="false">ROUND((G103*I103)-K103-L103-M103,2)</f>
        <v>141.86</v>
      </c>
      <c r="O103" s="14"/>
      <c r="P103" s="14" t="n">
        <f aca="false">ROUND(IF(D103=0,IF((N103-E103-O103)&gt;0,(N103-E103-O103),0),IF((D103+N103-O103)&gt;0,(D103+N103-O103),0)),2)</f>
        <v>6669.02</v>
      </c>
      <c r="Q103" s="14" t="n">
        <f aca="false">ROUND(IF(E103=0,IF((D103+N103-O103)&lt;0,ABS(D103+N103-O103),0),IF((N103-E103-O103)&lt;0,ABS(N103-E103-O103),0)),2)</f>
        <v>0</v>
      </c>
    </row>
    <row r="104" customFormat="false" ht="15" hidden="false" customHeight="true" outlineLevel="0" collapsed="false">
      <c r="A104" s="12" t="s">
        <v>308</v>
      </c>
      <c r="B104" s="12" t="str">
        <f aca="false">лютий!B104</f>
        <v>Геращенко М.Д.</v>
      </c>
      <c r="C104" s="12" t="s">
        <v>310</v>
      </c>
      <c r="D104" s="14" t="n">
        <f aca="false">лютий!P104</f>
        <v>513.32</v>
      </c>
      <c r="E104" s="14" t="n">
        <f aca="false">лютий!Q104</f>
        <v>0</v>
      </c>
      <c r="F104" s="13" t="n">
        <f aca="false">лютий!F104</f>
        <v>0</v>
      </c>
      <c r="G104" s="13" t="n">
        <f aca="false">лютий!G104</f>
        <v>62.6</v>
      </c>
      <c r="H104" s="13" t="n">
        <f aca="false">лютий!H104</f>
        <v>0</v>
      </c>
      <c r="I104" s="13" t="n">
        <f aca="false">лютий!I104</f>
        <v>4.1</v>
      </c>
      <c r="J104" s="14" t="n">
        <f aca="false">ROUND(G104*I104,2)</f>
        <v>256.66</v>
      </c>
      <c r="K104" s="14"/>
      <c r="L104" s="14"/>
      <c r="M104" s="14"/>
      <c r="N104" s="14" t="n">
        <f aca="false">ROUND((G104*I104)-K104-L104-M104,2)</f>
        <v>256.66</v>
      </c>
      <c r="O104" s="14"/>
      <c r="P104" s="14" t="n">
        <f aca="false">ROUND(IF(D104=0,IF((N104-E104-O104)&gt;0,(N104-E104-O104),0),IF((D104+N104-O104)&gt;0,(D104+N104-O104),0)),2)</f>
        <v>769.98</v>
      </c>
      <c r="Q104" s="14" t="n">
        <f aca="false">ROUND(IF(E104=0,IF((D104+N104-O104)&lt;0,ABS(D104+N104-O104),0),IF((N104-E104-O104)&lt;0,ABS(N104-E104-O104),0)),2)</f>
        <v>0</v>
      </c>
    </row>
    <row r="105" customFormat="false" ht="15" hidden="false" customHeight="true" outlineLevel="0" collapsed="false">
      <c r="A105" s="12" t="s">
        <v>311</v>
      </c>
      <c r="B105" s="12" t="str">
        <f aca="false">лютий!B105</f>
        <v>Горб В.М.</v>
      </c>
      <c r="C105" s="12" t="s">
        <v>313</v>
      </c>
      <c r="D105" s="14" t="n">
        <f aca="false">лютий!P105</f>
        <v>11826.27</v>
      </c>
      <c r="E105" s="14" t="n">
        <f aca="false">лютий!Q105</f>
        <v>0</v>
      </c>
      <c r="F105" s="13" t="n">
        <f aca="false">лютий!F105</f>
        <v>0</v>
      </c>
      <c r="G105" s="13" t="n">
        <f aca="false">лютий!G105</f>
        <v>65.57</v>
      </c>
      <c r="H105" s="13" t="n">
        <f aca="false">лютий!H105</f>
        <v>0</v>
      </c>
      <c r="I105" s="13" t="n">
        <f aca="false">лютий!I105</f>
        <v>4.1</v>
      </c>
      <c r="J105" s="14" t="n">
        <f aca="false">ROUND(G105*I105,2)</f>
        <v>268.84</v>
      </c>
      <c r="K105" s="14"/>
      <c r="L105" s="14"/>
      <c r="M105" s="14"/>
      <c r="N105" s="14" t="n">
        <f aca="false">ROUND((G105*I105)-K105-L105-M105,2)</f>
        <v>268.84</v>
      </c>
      <c r="O105" s="14"/>
      <c r="P105" s="14" t="n">
        <f aca="false">ROUND(IF(D105=0,IF((N105-E105-O105)&gt;0,(N105-E105-O105),0),IF((D105+N105-O105)&gt;0,(D105+N105-O105),0)),2)</f>
        <v>12095.11</v>
      </c>
      <c r="Q105" s="14" t="n">
        <f aca="false">ROUND(IF(E105=0,IF((D105+N105-O105)&lt;0,ABS(D105+N105-O105),0),IF((N105-E105-O105)&lt;0,ABS(N105-E105-O105),0)),2)</f>
        <v>0</v>
      </c>
    </row>
    <row r="106" customFormat="false" ht="15" hidden="false" customHeight="true" outlineLevel="0" collapsed="false">
      <c r="A106" s="12" t="s">
        <v>314</v>
      </c>
      <c r="B106" s="12" t="str">
        <f aca="false">лютий!B106</f>
        <v>Нойок Г.К.</v>
      </c>
      <c r="C106" s="12" t="s">
        <v>316</v>
      </c>
      <c r="D106" s="14" t="n">
        <f aca="false">лютий!P106</f>
        <v>7772.51</v>
      </c>
      <c r="E106" s="14" t="n">
        <f aca="false">лютий!Q106</f>
        <v>0</v>
      </c>
      <c r="F106" s="13" t="n">
        <f aca="false">лютий!F106</f>
        <v>0</v>
      </c>
      <c r="G106" s="13" t="n">
        <f aca="false">лютий!G106</f>
        <v>49.8</v>
      </c>
      <c r="H106" s="13" t="n">
        <f aca="false">лютий!H106</f>
        <v>0</v>
      </c>
      <c r="I106" s="13" t="n">
        <f aca="false">лютий!I106</f>
        <v>4.1</v>
      </c>
      <c r="J106" s="14" t="n">
        <f aca="false">ROUND(G106*I106,2)</f>
        <v>204.18</v>
      </c>
      <c r="K106" s="14"/>
      <c r="L106" s="14"/>
      <c r="M106" s="14"/>
      <c r="N106" s="14" t="n">
        <f aca="false">ROUND((G106*I106)-K106-L106-M106,2)</f>
        <v>204.18</v>
      </c>
      <c r="O106" s="14"/>
      <c r="P106" s="14" t="n">
        <f aca="false">ROUND(IF(D106=0,IF((N106-E106-O106)&gt;0,(N106-E106-O106),0),IF((D106+N106-O106)&gt;0,(D106+N106-O106),0)),2)</f>
        <v>7976.69</v>
      </c>
      <c r="Q106" s="14" t="n">
        <f aca="false">ROUND(IF(E106=0,IF((D106+N106-O106)&lt;0,ABS(D106+N106-O106),0),IF((N106-E106-O106)&lt;0,ABS(N106-E106-O106),0)),2)</f>
        <v>0</v>
      </c>
    </row>
    <row r="107" customFormat="false" ht="15" hidden="false" customHeight="true" outlineLevel="0" collapsed="false">
      <c r="A107" s="12" t="s">
        <v>317</v>
      </c>
      <c r="B107" s="12" t="str">
        <f aca="false">лютий!B107</f>
        <v>Сафонова О.В.</v>
      </c>
      <c r="C107" s="12" t="s">
        <v>319</v>
      </c>
      <c r="D107" s="14" t="n">
        <f aca="false">лютий!P107</f>
        <v>6250.14</v>
      </c>
      <c r="E107" s="14" t="n">
        <f aca="false">лютий!Q107</f>
        <v>0</v>
      </c>
      <c r="F107" s="13" t="n">
        <f aca="false">лютий!F107</f>
        <v>0</v>
      </c>
      <c r="G107" s="13" t="n">
        <f aca="false">лютий!G107</f>
        <v>34.9</v>
      </c>
      <c r="H107" s="13" t="n">
        <f aca="false">лютий!H107</f>
        <v>0</v>
      </c>
      <c r="I107" s="13" t="n">
        <f aca="false">лютий!I107</f>
        <v>4.1</v>
      </c>
      <c r="J107" s="14" t="n">
        <f aca="false">ROUND(G107*I107,2)</f>
        <v>143.09</v>
      </c>
      <c r="K107" s="14"/>
      <c r="L107" s="14"/>
      <c r="M107" s="14"/>
      <c r="N107" s="14" t="n">
        <f aca="false">ROUND((G107*I107)-K107-L107-M107,2)</f>
        <v>143.09</v>
      </c>
      <c r="O107" s="14"/>
      <c r="P107" s="14" t="n">
        <f aca="false">ROUND(IF(D107=0,IF((N107-E107-O107)&gt;0,(N107-E107-O107),0),IF((D107+N107-O107)&gt;0,(D107+N107-O107),0)),2)</f>
        <v>6393.23</v>
      </c>
      <c r="Q107" s="14" t="n">
        <f aca="false">ROUND(IF(E107=0,IF((D107+N107-O107)&lt;0,ABS(D107+N107-O107),0),IF((N107-E107-O107)&lt;0,ABS(N107-E107-O107),0)),2)</f>
        <v>0</v>
      </c>
    </row>
    <row r="108" customFormat="false" ht="15" hidden="false" customHeight="true" outlineLevel="0" collapsed="false">
      <c r="A108" s="12" t="s">
        <v>320</v>
      </c>
      <c r="B108" s="12" t="str">
        <f aca="false">лютий!B108</f>
        <v>Вінарська Н.П.</v>
      </c>
      <c r="C108" s="12" t="s">
        <v>322</v>
      </c>
      <c r="D108" s="14" t="n">
        <f aca="false">лютий!P108</f>
        <v>12611.84</v>
      </c>
      <c r="E108" s="14" t="n">
        <f aca="false">лютий!Q108</f>
        <v>0</v>
      </c>
      <c r="F108" s="13" t="n">
        <f aca="false">лютий!F108</f>
        <v>0</v>
      </c>
      <c r="G108" s="13" t="n">
        <f aca="false">лютий!G108</f>
        <v>62.78</v>
      </c>
      <c r="H108" s="13" t="n">
        <f aca="false">лютий!H108</f>
        <v>0</v>
      </c>
      <c r="I108" s="13" t="n">
        <f aca="false">лютий!I108</f>
        <v>4.1</v>
      </c>
      <c r="J108" s="14" t="n">
        <f aca="false">ROUND(G108*I108,2)</f>
        <v>257.4</v>
      </c>
      <c r="K108" s="14"/>
      <c r="L108" s="14"/>
      <c r="M108" s="14"/>
      <c r="N108" s="14" t="n">
        <f aca="false">ROUND((G108*I108)-K108-L108-M108,2)</f>
        <v>257.4</v>
      </c>
      <c r="O108" s="14"/>
      <c r="P108" s="14" t="n">
        <f aca="false">ROUND(IF(D108=0,IF((N108-E108-O108)&gt;0,(N108-E108-O108),0),IF((D108+N108-O108)&gt;0,(D108+N108-O108),0)),2)</f>
        <v>12869.24</v>
      </c>
      <c r="Q108" s="14" t="n">
        <f aca="false">ROUND(IF(E108=0,IF((D108+N108-O108)&lt;0,ABS(D108+N108-O108),0),IF((N108-E108-O108)&lt;0,ABS(N108-E108-O108),0)),2)</f>
        <v>0</v>
      </c>
    </row>
    <row r="109" customFormat="false" ht="15" hidden="false" customHeight="true" outlineLevel="0" collapsed="false">
      <c r="A109" s="12" t="s">
        <v>323</v>
      </c>
      <c r="B109" s="12" t="str">
        <f aca="false">лютий!B109</f>
        <v>Чернова Н.І.</v>
      </c>
      <c r="C109" s="12" t="s">
        <v>325</v>
      </c>
      <c r="D109" s="14" t="n">
        <f aca="false">лютий!P109</f>
        <v>13236.78</v>
      </c>
      <c r="E109" s="14" t="n">
        <f aca="false">лютий!Q109</f>
        <v>0</v>
      </c>
      <c r="F109" s="13" t="n">
        <f aca="false">лютий!F109</f>
        <v>0</v>
      </c>
      <c r="G109" s="13" t="n">
        <f aca="false">лютий!G109</f>
        <v>66.29</v>
      </c>
      <c r="H109" s="13" t="n">
        <f aca="false">лютий!H109</f>
        <v>0</v>
      </c>
      <c r="I109" s="13" t="n">
        <f aca="false">лютий!I109</f>
        <v>4.1</v>
      </c>
      <c r="J109" s="14" t="n">
        <f aca="false">ROUND(G109*I109,2)</f>
        <v>271.79</v>
      </c>
      <c r="K109" s="14"/>
      <c r="L109" s="14"/>
      <c r="M109" s="14"/>
      <c r="N109" s="14" t="n">
        <f aca="false">ROUND((G109*I109)-K109-L109-M109,2)</f>
        <v>271.79</v>
      </c>
      <c r="O109" s="14"/>
      <c r="P109" s="14" t="n">
        <f aca="false">ROUND(IF(D109=0,IF((N109-E109-O109)&gt;0,(N109-E109-O109),0),IF((D109+N109-O109)&gt;0,(D109+N109-O109),0)),2)</f>
        <v>13508.57</v>
      </c>
      <c r="Q109" s="14" t="n">
        <f aca="false">ROUND(IF(E109=0,IF((D109+N109-O109)&lt;0,ABS(D109+N109-O109),0),IF((N109-E109-O109)&lt;0,ABS(N109-E109-O109),0)),2)</f>
        <v>0</v>
      </c>
    </row>
    <row r="110" customFormat="false" ht="15" hidden="false" customHeight="true" outlineLevel="0" collapsed="false">
      <c r="A110" s="12" t="s">
        <v>326</v>
      </c>
      <c r="B110" s="12" t="str">
        <f aca="false">лютий!B110</f>
        <v>Кошева Н.П</v>
      </c>
      <c r="C110" s="12" t="s">
        <v>328</v>
      </c>
      <c r="D110" s="14" t="n">
        <f aca="false">лютий!P110</f>
        <v>9659</v>
      </c>
      <c r="E110" s="14" t="n">
        <f aca="false">лютий!Q110</f>
        <v>0</v>
      </c>
      <c r="F110" s="13" t="n">
        <f aca="false">лютий!F110</f>
        <v>0</v>
      </c>
      <c r="G110" s="13" t="n">
        <f aca="false">лютий!G110</f>
        <v>50</v>
      </c>
      <c r="H110" s="13" t="n">
        <f aca="false">лютий!H110</f>
        <v>0</v>
      </c>
      <c r="I110" s="13" t="n">
        <f aca="false">лютий!I110</f>
        <v>4.1</v>
      </c>
      <c r="J110" s="14" t="n">
        <f aca="false">ROUND(G110*I110,2)</f>
        <v>205</v>
      </c>
      <c r="K110" s="14"/>
      <c r="L110" s="14"/>
      <c r="M110" s="14"/>
      <c r="N110" s="14" t="n">
        <f aca="false">ROUND((G110*I110)-K110-L110-M110,2)</f>
        <v>205</v>
      </c>
      <c r="O110" s="14"/>
      <c r="P110" s="14" t="n">
        <f aca="false">ROUND(IF(D110=0,IF((N110-E110-O110)&gt;0,(N110-E110-O110),0),IF((D110+N110-O110)&gt;0,(D110+N110-O110),0)),2)</f>
        <v>9864</v>
      </c>
      <c r="Q110" s="14" t="n">
        <f aca="false">ROUND(IF(E110=0,IF((D110+N110-O110)&lt;0,ABS(D110+N110-O110),0),IF((N110-E110-O110)&lt;0,ABS(N110-E110-O110),0)),2)</f>
        <v>0</v>
      </c>
    </row>
    <row r="111" customFormat="false" ht="15" hidden="false" customHeight="true" outlineLevel="0" collapsed="false">
      <c r="A111" s="12" t="s">
        <v>329</v>
      </c>
      <c r="B111" s="12" t="str">
        <f aca="false">лютий!B111</f>
        <v>Уривський Д.Б.</v>
      </c>
      <c r="C111" s="12" t="s">
        <v>331</v>
      </c>
      <c r="D111" s="14" t="n">
        <f aca="false">лютий!P111</f>
        <v>7108.09</v>
      </c>
      <c r="E111" s="14" t="n">
        <f aca="false">лютий!Q111</f>
        <v>0</v>
      </c>
      <c r="F111" s="13" t="n">
        <f aca="false">лютий!F111</f>
        <v>0</v>
      </c>
      <c r="G111" s="13" t="n">
        <f aca="false">лютий!G111</f>
        <v>35</v>
      </c>
      <c r="H111" s="13" t="n">
        <f aca="false">лютий!H111</f>
        <v>0</v>
      </c>
      <c r="I111" s="13" t="n">
        <f aca="false">лютий!I111</f>
        <v>4.1</v>
      </c>
      <c r="J111" s="14" t="n">
        <f aca="false">ROUND(G111*I111,2)</f>
        <v>143.5</v>
      </c>
      <c r="K111" s="14"/>
      <c r="L111" s="14"/>
      <c r="M111" s="14"/>
      <c r="N111" s="14" t="n">
        <f aca="false">ROUND((G111*I111)-K111-L111-M111,2)</f>
        <v>143.5</v>
      </c>
      <c r="O111" s="14"/>
      <c r="P111" s="14" t="n">
        <f aca="false">ROUND(IF(D111=0,IF((N111-E111-O111)&gt;0,(N111-E111-O111),0),IF((D111+N111-O111)&gt;0,(D111+N111-O111),0)),2)</f>
        <v>7251.59</v>
      </c>
      <c r="Q111" s="14" t="n">
        <f aca="false">ROUND(IF(E111=0,IF((D111+N111-O111)&lt;0,ABS(D111+N111-O111),0),IF((N111-E111-O111)&lt;0,ABS(N111-E111-O111),0)),2)</f>
        <v>0</v>
      </c>
    </row>
    <row r="112" customFormat="false" ht="15" hidden="false" customHeight="true" outlineLevel="0" collapsed="false">
      <c r="A112" s="12" t="s">
        <v>332</v>
      </c>
      <c r="B112" s="12" t="str">
        <f aca="false">лютий!B112</f>
        <v>АДПСУ (Чорноморець В.М.)</v>
      </c>
      <c r="C112" s="12" t="s">
        <v>334</v>
      </c>
      <c r="D112" s="14" t="n">
        <f aca="false">лютий!P112</f>
        <v>3507.14</v>
      </c>
      <c r="E112" s="14" t="n">
        <f aca="false">лютий!Q112</f>
        <v>0</v>
      </c>
      <c r="F112" s="13" t="n">
        <f aca="false">лютий!F112</f>
        <v>0</v>
      </c>
      <c r="G112" s="13" t="n">
        <f aca="false">лютий!G112</f>
        <v>61.1</v>
      </c>
      <c r="H112" s="13" t="n">
        <f aca="false">лютий!H112</f>
        <v>0</v>
      </c>
      <c r="I112" s="13" t="n">
        <f aca="false">лютий!I112</f>
        <v>4.1</v>
      </c>
      <c r="J112" s="14" t="n">
        <f aca="false">ROUND(G112*I112,2)</f>
        <v>250.51</v>
      </c>
      <c r="K112" s="14"/>
      <c r="L112" s="14"/>
      <c r="M112" s="14"/>
      <c r="N112" s="14" t="n">
        <f aca="false">ROUND((G112*I112)-K112-L112-M112,2)</f>
        <v>250.51</v>
      </c>
      <c r="O112" s="14"/>
      <c r="P112" s="14" t="n">
        <f aca="false">ROUND(IF(D112=0,IF((N112-E112-O112)&gt;0,(N112-E112-O112),0),IF((D112+N112-O112)&gt;0,(D112+N112-O112),0)),2)</f>
        <v>3757.65</v>
      </c>
      <c r="Q112" s="14" t="n">
        <f aca="false">ROUND(IF(E112=0,IF((D112+N112-O112)&lt;0,ABS(D112+N112-O112),0),IF((N112-E112-O112)&lt;0,ABS(N112-E112-O112),0)),2)</f>
        <v>0</v>
      </c>
    </row>
    <row r="113" customFormat="false" ht="15" hidden="false" customHeight="true" outlineLevel="0" collapsed="false">
      <c r="A113" s="12" t="s">
        <v>335</v>
      </c>
      <c r="B113" s="12" t="str">
        <f aca="false">лютий!B113</f>
        <v>Дмитренко Г.В.</v>
      </c>
      <c r="C113" s="12" t="s">
        <v>337</v>
      </c>
      <c r="D113" s="14" t="n">
        <f aca="false">лютий!P113</f>
        <v>12017.87</v>
      </c>
      <c r="E113" s="14" t="n">
        <f aca="false">лютий!Q113</f>
        <v>0</v>
      </c>
      <c r="F113" s="13" t="n">
        <f aca="false">лютий!F113</f>
        <v>0</v>
      </c>
      <c r="G113" s="13" t="n">
        <f aca="false">лютий!G113</f>
        <v>64.89</v>
      </c>
      <c r="H113" s="13" t="n">
        <f aca="false">лютий!H113</f>
        <v>0</v>
      </c>
      <c r="I113" s="13" t="n">
        <f aca="false">лютий!I113</f>
        <v>4.1</v>
      </c>
      <c r="J113" s="14" t="n">
        <f aca="false">ROUND(G113*I113,2)</f>
        <v>266.05</v>
      </c>
      <c r="K113" s="14"/>
      <c r="L113" s="14"/>
      <c r="M113" s="14"/>
      <c r="N113" s="14" t="n">
        <f aca="false">ROUND((G113*I113)-K113-L113-M113,2)</f>
        <v>266.05</v>
      </c>
      <c r="O113" s="14"/>
      <c r="P113" s="14" t="n">
        <f aca="false">ROUND(IF(D113=0,IF((N113-E113-O113)&gt;0,(N113-E113-O113),0),IF((D113+N113-O113)&gt;0,(D113+N113-O113),0)),2)</f>
        <v>12283.92</v>
      </c>
      <c r="Q113" s="14" t="n">
        <f aca="false">ROUND(IF(E113=0,IF((D113+N113-O113)&lt;0,ABS(D113+N113-O113),0),IF((N113-E113-O113)&lt;0,ABS(N113-E113-O113),0)),2)</f>
        <v>0</v>
      </c>
    </row>
    <row r="114" customFormat="false" ht="15" hidden="false" customHeight="true" outlineLevel="0" collapsed="false">
      <c r="A114" s="12" t="s">
        <v>338</v>
      </c>
      <c r="B114" s="12" t="str">
        <f aca="false">лютий!B114</f>
        <v>Номерова Т.В.</v>
      </c>
      <c r="C114" s="12" t="s">
        <v>340</v>
      </c>
      <c r="D114" s="14" t="n">
        <f aca="false">лютий!P114</f>
        <v>204.68</v>
      </c>
      <c r="E114" s="14" t="n">
        <f aca="false">лютий!Q114</f>
        <v>0</v>
      </c>
      <c r="F114" s="13" t="n">
        <f aca="false">лютий!F114</f>
        <v>0</v>
      </c>
      <c r="G114" s="13" t="n">
        <f aca="false">лютий!G114</f>
        <v>49.96</v>
      </c>
      <c r="H114" s="13" t="n">
        <f aca="false">лютий!H114</f>
        <v>0</v>
      </c>
      <c r="I114" s="13" t="n">
        <f aca="false">лютий!I114</f>
        <v>4.1</v>
      </c>
      <c r="J114" s="14" t="n">
        <f aca="false">ROUND(G114*I114,2)</f>
        <v>204.84</v>
      </c>
      <c r="K114" s="14"/>
      <c r="L114" s="14"/>
      <c r="M114" s="14"/>
      <c r="N114" s="14" t="n">
        <f aca="false">ROUND((G114*I114)-K114-L114-M114,2)</f>
        <v>204.84</v>
      </c>
      <c r="O114" s="14"/>
      <c r="P114" s="14" t="n">
        <f aca="false">ROUND(IF(D114=0,IF((N114-E114-O114)&gt;0,(N114-E114-O114),0),IF((D114+N114-O114)&gt;0,(D114+N114-O114),0)),2)</f>
        <v>409.52</v>
      </c>
      <c r="Q114" s="14" t="n">
        <f aca="false">ROUND(IF(E114=0,IF((D114+N114-O114)&lt;0,ABS(D114+N114-O114),0),IF((N114-E114-O114)&lt;0,ABS(N114-E114-O114),0)),2)</f>
        <v>0</v>
      </c>
    </row>
    <row r="115" customFormat="false" ht="15" hidden="false" customHeight="true" outlineLevel="0" collapsed="false">
      <c r="A115" s="12" t="s">
        <v>341</v>
      </c>
      <c r="B115" s="12" t="str">
        <f aca="false">лютий!B115</f>
        <v>Самойлова О.В.</v>
      </c>
      <c r="C115" s="12" t="s">
        <v>343</v>
      </c>
      <c r="D115" s="14" t="n">
        <f aca="false">лютий!P115</f>
        <v>282.9</v>
      </c>
      <c r="E115" s="14" t="n">
        <f aca="false">лютий!Q115</f>
        <v>0</v>
      </c>
      <c r="F115" s="13" t="n">
        <f aca="false">лютий!F115</f>
        <v>0</v>
      </c>
      <c r="G115" s="13" t="n">
        <f aca="false">лютий!G115</f>
        <v>34.5</v>
      </c>
      <c r="H115" s="13" t="n">
        <f aca="false">лютий!H115</f>
        <v>0</v>
      </c>
      <c r="I115" s="13" t="n">
        <f aca="false">лютий!I115</f>
        <v>4.1</v>
      </c>
      <c r="J115" s="14" t="n">
        <f aca="false">ROUND(G115*I115,2)</f>
        <v>141.45</v>
      </c>
      <c r="K115" s="14"/>
      <c r="L115" s="14"/>
      <c r="M115" s="14"/>
      <c r="N115" s="14" t="n">
        <f aca="false">ROUND((G115*I115)-K115-L115-M115,2)</f>
        <v>141.45</v>
      </c>
      <c r="O115" s="14"/>
      <c r="P115" s="14" t="n">
        <f aca="false">ROUND(IF(D115=0,IF((N115-E115-O115)&gt;0,(N115-E115-O115),0),IF((D115+N115-O115)&gt;0,(D115+N115-O115),0)),2)</f>
        <v>424.35</v>
      </c>
      <c r="Q115" s="14" t="n">
        <f aca="false">ROUND(IF(E115=0,IF((D115+N115-O115)&lt;0,ABS(D115+N115-O115),0),IF((N115-E115-O115)&lt;0,ABS(N115-E115-O115),0)),2)</f>
        <v>0</v>
      </c>
    </row>
    <row r="116" customFormat="false" ht="15" hidden="false" customHeight="true" outlineLevel="0" collapsed="false">
      <c r="A116" s="12" t="s">
        <v>344</v>
      </c>
      <c r="B116" s="12" t="str">
        <f aca="false">лютий!B116</f>
        <v>Випенко О.І.</v>
      </c>
      <c r="C116" s="12" t="s">
        <v>346</v>
      </c>
      <c r="D116" s="14" t="n">
        <f aca="false">лютий!P116</f>
        <v>15656.82</v>
      </c>
      <c r="E116" s="14" t="n">
        <f aca="false">лютий!Q116</f>
        <v>0</v>
      </c>
      <c r="F116" s="13" t="n">
        <f aca="false">лютий!F116</f>
        <v>0</v>
      </c>
      <c r="G116" s="13" t="n">
        <f aca="false">лютий!G116</f>
        <v>62.9</v>
      </c>
      <c r="H116" s="13" t="n">
        <f aca="false">лютий!H116</f>
        <v>0</v>
      </c>
      <c r="I116" s="13" t="n">
        <f aca="false">лютий!I116</f>
        <v>4.1</v>
      </c>
      <c r="J116" s="14" t="n">
        <f aca="false">ROUND(G116*I116,2)</f>
        <v>257.89</v>
      </c>
      <c r="K116" s="14"/>
      <c r="L116" s="14"/>
      <c r="M116" s="14"/>
      <c r="N116" s="14" t="n">
        <f aca="false">ROUND((G116*I116)-K116-L116-M116,2)</f>
        <v>257.89</v>
      </c>
      <c r="O116" s="14"/>
      <c r="P116" s="14" t="n">
        <f aca="false">ROUND(IF(D116=0,IF((N116-E116-O116)&gt;0,(N116-E116-O116),0),IF((D116+N116-O116)&gt;0,(D116+N116-O116),0)),2)</f>
        <v>15914.71</v>
      </c>
      <c r="Q116" s="14" t="n">
        <f aca="false">ROUND(IF(E116=0,IF((D116+N116-O116)&lt;0,ABS(D116+N116-O116),0),IF((N116-E116-O116)&lt;0,ABS(N116-E116-O116),0)),2)</f>
        <v>0</v>
      </c>
    </row>
    <row r="117" customFormat="false" ht="15" hidden="false" customHeight="true" outlineLevel="0" collapsed="false">
      <c r="A117" s="12" t="s">
        <v>347</v>
      </c>
      <c r="B117" s="12" t="str">
        <f aca="false">лютий!B117</f>
        <v>Саприкін Ю.О.</v>
      </c>
      <c r="C117" s="12" t="s">
        <v>349</v>
      </c>
      <c r="D117" s="14" t="n">
        <f aca="false">лютий!P117</f>
        <v>1195.56</v>
      </c>
      <c r="E117" s="14" t="n">
        <f aca="false">лютий!Q117</f>
        <v>0</v>
      </c>
      <c r="F117" s="13" t="n">
        <f aca="false">лютий!F117</f>
        <v>0</v>
      </c>
      <c r="G117" s="13" t="n">
        <f aca="false">лютий!G117</f>
        <v>97.2</v>
      </c>
      <c r="H117" s="13" t="n">
        <f aca="false">лютий!H117</f>
        <v>0</v>
      </c>
      <c r="I117" s="13" t="n">
        <f aca="false">лютий!I117</f>
        <v>4.1</v>
      </c>
      <c r="J117" s="14" t="n">
        <f aca="false">ROUND(G117*I117,2)</f>
        <v>398.52</v>
      </c>
      <c r="K117" s="14"/>
      <c r="L117" s="14"/>
      <c r="M117" s="14"/>
      <c r="N117" s="14" t="n">
        <f aca="false">ROUND((G117*I117)-K117-L117-M117,2)</f>
        <v>398.52</v>
      </c>
      <c r="O117" s="14"/>
      <c r="P117" s="14" t="n">
        <f aca="false">ROUND(IF(D117=0,IF((N117-E117-O117)&gt;0,(N117-E117-O117),0),IF((D117+N117-O117)&gt;0,(D117+N117-O117),0)),2)</f>
        <v>1594.08</v>
      </c>
      <c r="Q117" s="14" t="n">
        <f aca="false">ROUND(IF(E117=0,IF((D117+N117-O117)&lt;0,ABS(D117+N117-O117),0),IF((N117-E117-O117)&lt;0,ABS(N117-E117-O117),0)),2)</f>
        <v>0</v>
      </c>
    </row>
    <row r="118" customFormat="false" ht="15" hidden="false" customHeight="true" outlineLevel="0" collapsed="false">
      <c r="A118" s="12" t="s">
        <v>350</v>
      </c>
      <c r="B118" s="12" t="str">
        <f aca="false">лютий!B118</f>
        <v>Мовчан В.М.</v>
      </c>
      <c r="C118" s="12" t="s">
        <v>352</v>
      </c>
      <c r="D118" s="14" t="n">
        <f aca="false">лютий!P118</f>
        <v>399.76</v>
      </c>
      <c r="E118" s="14" t="n">
        <f aca="false">лютий!Q118</f>
        <v>0</v>
      </c>
      <c r="F118" s="13" t="n">
        <f aca="false">лютий!F118</f>
        <v>0</v>
      </c>
      <c r="G118" s="13" t="n">
        <f aca="false">лютий!G118</f>
        <v>48.75</v>
      </c>
      <c r="H118" s="13" t="n">
        <f aca="false">лютий!H118</f>
        <v>0</v>
      </c>
      <c r="I118" s="13" t="n">
        <f aca="false">лютий!I118</f>
        <v>4.1</v>
      </c>
      <c r="J118" s="14" t="n">
        <f aca="false">ROUND(G118*I118,2)</f>
        <v>199.88</v>
      </c>
      <c r="K118" s="14"/>
      <c r="L118" s="14"/>
      <c r="M118" s="14"/>
      <c r="N118" s="14" t="n">
        <f aca="false">ROUND((G118*I118)-K118-L118-M118,2)</f>
        <v>199.88</v>
      </c>
      <c r="O118" s="14"/>
      <c r="P118" s="14" t="n">
        <f aca="false">ROUND(IF(D118=0,IF((N118-E118-O118)&gt;0,(N118-E118-O118),0),IF((D118+N118-O118)&gt;0,(D118+N118-O118),0)),2)</f>
        <v>599.64</v>
      </c>
      <c r="Q118" s="14" t="n">
        <f aca="false">ROUND(IF(E118=0,IF((D118+N118-O118)&lt;0,ABS(D118+N118-O118),0),IF((N118-E118-O118)&lt;0,ABS(N118-E118-O118),0)),2)</f>
        <v>0</v>
      </c>
    </row>
    <row r="119" customFormat="false" ht="15" hidden="false" customHeight="true" outlineLevel="0" collapsed="false">
      <c r="A119" s="12" t="s">
        <v>353</v>
      </c>
      <c r="B119" s="12" t="str">
        <f aca="false">лютий!B119</f>
        <v>Величко Н.М.</v>
      </c>
      <c r="C119" s="12" t="s">
        <v>355</v>
      </c>
      <c r="D119" s="14" t="n">
        <f aca="false">лютий!P119</f>
        <v>703.96</v>
      </c>
      <c r="E119" s="14" t="n">
        <f aca="false">лютий!Q119</f>
        <v>0</v>
      </c>
      <c r="F119" s="13" t="n">
        <f aca="false">лютий!F119</f>
        <v>0</v>
      </c>
      <c r="G119" s="13" t="n">
        <f aca="false">лютий!G119</f>
        <v>63.8</v>
      </c>
      <c r="H119" s="13" t="n">
        <f aca="false">лютий!H119</f>
        <v>0</v>
      </c>
      <c r="I119" s="13" t="n">
        <f aca="false">лютий!I119</f>
        <v>4.1</v>
      </c>
      <c r="J119" s="14" t="n">
        <f aca="false">ROUND(G119*I119,2)</f>
        <v>261.58</v>
      </c>
      <c r="K119" s="14"/>
      <c r="L119" s="14"/>
      <c r="M119" s="14"/>
      <c r="N119" s="14" t="n">
        <f aca="false">ROUND((G119*I119)-K119-L119-M119,2)</f>
        <v>261.58</v>
      </c>
      <c r="O119" s="14"/>
      <c r="P119" s="14" t="n">
        <f aca="false">ROUND(IF(D119=0,IF((N119-E119-O119)&gt;0,(N119-E119-O119),0),IF((D119+N119-O119)&gt;0,(D119+N119-O119),0)),2)</f>
        <v>965.54</v>
      </c>
      <c r="Q119" s="14" t="n">
        <f aca="false">ROUND(IF(E119=0,IF((D119+N119-O119)&lt;0,ABS(D119+N119-O119),0),IF((N119-E119-O119)&lt;0,ABS(N119-E119-O119),0)),2)</f>
        <v>0</v>
      </c>
    </row>
    <row r="120" customFormat="false" ht="15" hidden="false" customHeight="true" outlineLevel="0" collapsed="false">
      <c r="A120" s="12" t="s">
        <v>356</v>
      </c>
      <c r="B120" s="12" t="str">
        <f aca="false">лютий!B120</f>
        <v>Бухлов С.В.</v>
      </c>
      <c r="C120" s="12" t="s">
        <v>358</v>
      </c>
      <c r="D120" s="14" t="n">
        <f aca="false">лютий!P120</f>
        <v>17747.57</v>
      </c>
      <c r="E120" s="14" t="n">
        <f aca="false">лютий!Q120</f>
        <v>0</v>
      </c>
      <c r="F120" s="13" t="n">
        <f aca="false">лютий!F120</f>
        <v>0</v>
      </c>
      <c r="G120" s="13" t="n">
        <f aca="false">лютий!G120</f>
        <v>62.6</v>
      </c>
      <c r="H120" s="13" t="n">
        <f aca="false">лютий!H120</f>
        <v>0</v>
      </c>
      <c r="I120" s="13" t="n">
        <f aca="false">лютий!I120</f>
        <v>4.1</v>
      </c>
      <c r="J120" s="14" t="n">
        <f aca="false">ROUND(G120*I120,2)</f>
        <v>256.66</v>
      </c>
      <c r="K120" s="14"/>
      <c r="L120" s="14"/>
      <c r="M120" s="14"/>
      <c r="N120" s="14" t="n">
        <f aca="false">ROUND((G120*I120)-K120-L120-M120,2)</f>
        <v>256.66</v>
      </c>
      <c r="O120" s="14"/>
      <c r="P120" s="14" t="n">
        <f aca="false">ROUND(IF(D120=0,IF((N120-E120-O120)&gt;0,(N120-E120-O120),0),IF((D120+N120-O120)&gt;0,(D120+N120-O120),0)),2)</f>
        <v>18004.23</v>
      </c>
      <c r="Q120" s="14" t="n">
        <f aca="false">ROUND(IF(E120=0,IF((D120+N120-O120)&lt;0,ABS(D120+N120-O120),0),IF((N120-E120-O120)&lt;0,ABS(N120-E120-O120),0)),2)</f>
        <v>0</v>
      </c>
    </row>
    <row r="121" customFormat="false" ht="15" hidden="false" customHeight="true" outlineLevel="0" collapsed="false">
      <c r="A121" s="12" t="s">
        <v>359</v>
      </c>
      <c r="B121" s="12" t="str">
        <f aca="false">лютий!B121</f>
        <v>Перепеліцина Т.Ю.</v>
      </c>
      <c r="C121" s="12" t="s">
        <v>361</v>
      </c>
      <c r="D121" s="14" t="n">
        <f aca="false">лютий!P121</f>
        <v>2687.73</v>
      </c>
      <c r="E121" s="14" t="n">
        <f aca="false">лютий!Q121</f>
        <v>0</v>
      </c>
      <c r="F121" s="13" t="n">
        <f aca="false">лютий!F121</f>
        <v>0</v>
      </c>
      <c r="G121" s="13" t="n">
        <f aca="false">лютий!G121</f>
        <v>34.7</v>
      </c>
      <c r="H121" s="13" t="n">
        <f aca="false">лютий!H121</f>
        <v>0</v>
      </c>
      <c r="I121" s="13" t="n">
        <f aca="false">лютий!I121</f>
        <v>4.1</v>
      </c>
      <c r="J121" s="14" t="n">
        <f aca="false">ROUND(G121*I121,2)</f>
        <v>142.27</v>
      </c>
      <c r="K121" s="14"/>
      <c r="L121" s="14"/>
      <c r="M121" s="14"/>
      <c r="N121" s="14" t="n">
        <f aca="false">ROUND((G121*I121)-K121-L121-M121,2)</f>
        <v>142.27</v>
      </c>
      <c r="O121" s="14"/>
      <c r="P121" s="14" t="n">
        <f aca="false">ROUND(IF(D121=0,IF((N121-E121-O121)&gt;0,(N121-E121-O121),0),IF((D121+N121-O121)&gt;0,(D121+N121-O121),0)),2)</f>
        <v>2830</v>
      </c>
      <c r="Q121" s="14" t="n">
        <f aca="false">ROUND(IF(E121=0,IF((D121+N121-O121)&lt;0,ABS(D121+N121-O121),0),IF((N121-E121-O121)&lt;0,ABS(N121-E121-O121),0)),2)</f>
        <v>0</v>
      </c>
    </row>
    <row r="122" customFormat="false" ht="15" hidden="false" customHeight="true" outlineLevel="0" collapsed="false">
      <c r="A122" s="12" t="s">
        <v>362</v>
      </c>
      <c r="B122" s="12" t="str">
        <f aca="false">лютий!B122</f>
        <v>Свєтлова Т.Ю.</v>
      </c>
      <c r="C122" s="12" t="s">
        <v>364</v>
      </c>
      <c r="D122" s="14" t="n">
        <f aca="false">лютий!P122</f>
        <v>3647.9</v>
      </c>
      <c r="E122" s="14" t="n">
        <f aca="false">лютий!Q122</f>
        <v>0</v>
      </c>
      <c r="F122" s="13" t="n">
        <f aca="false">лютий!F122</f>
        <v>0</v>
      </c>
      <c r="G122" s="13" t="n">
        <f aca="false">лютий!G122</f>
        <v>49.72</v>
      </c>
      <c r="H122" s="13" t="n">
        <f aca="false">лютий!H122</f>
        <v>0</v>
      </c>
      <c r="I122" s="13" t="n">
        <f aca="false">лютий!I122</f>
        <v>4.1</v>
      </c>
      <c r="J122" s="14" t="n">
        <f aca="false">ROUND(G122*I122,2)</f>
        <v>203.85</v>
      </c>
      <c r="K122" s="14"/>
      <c r="L122" s="14"/>
      <c r="M122" s="14"/>
      <c r="N122" s="14" t="n">
        <f aca="false">ROUND((G122*I122)-K122-L122-M122,2)</f>
        <v>203.85</v>
      </c>
      <c r="O122" s="14"/>
      <c r="P122" s="14" t="n">
        <f aca="false">ROUND(IF(D122=0,IF((N122-E122-O122)&gt;0,(N122-E122-O122),0),IF((D122+N122-O122)&gt;0,(D122+N122-O122),0)),2)</f>
        <v>3851.75</v>
      </c>
      <c r="Q122" s="14" t="n">
        <f aca="false">ROUND(IF(E122=0,IF((D122+N122-O122)&lt;0,ABS(D122+N122-O122),0),IF((N122-E122-O122)&lt;0,ABS(N122-E122-O122),0)),2)</f>
        <v>0</v>
      </c>
    </row>
    <row r="123" customFormat="false" ht="15" hidden="false" customHeight="true" outlineLevel="0" collapsed="false">
      <c r="A123" s="12" t="s">
        <v>365</v>
      </c>
      <c r="B123" s="12" t="str">
        <f aca="false">лютий!B123</f>
        <v>Маркова О.М.</v>
      </c>
      <c r="C123" s="12" t="s">
        <v>367</v>
      </c>
      <c r="D123" s="14" t="n">
        <f aca="false">лютий!P123</f>
        <v>585.28</v>
      </c>
      <c r="E123" s="14" t="n">
        <f aca="false">лютий!Q123</f>
        <v>0</v>
      </c>
      <c r="F123" s="13" t="n">
        <f aca="false">лютий!F123</f>
        <v>0</v>
      </c>
      <c r="G123" s="13" t="n">
        <f aca="false">лютий!G123</f>
        <v>65.1</v>
      </c>
      <c r="H123" s="13" t="n">
        <f aca="false">лютий!H123</f>
        <v>0</v>
      </c>
      <c r="I123" s="13" t="n">
        <f aca="false">лютий!I123</f>
        <v>4.1</v>
      </c>
      <c r="J123" s="14" t="n">
        <f aca="false">ROUND(G123*I123,2)</f>
        <v>266.91</v>
      </c>
      <c r="K123" s="14"/>
      <c r="L123" s="14"/>
      <c r="M123" s="14"/>
      <c r="N123" s="14" t="n">
        <f aca="false">ROUND((G123*I123)-K123-L123-M123,2)</f>
        <v>266.91</v>
      </c>
      <c r="O123" s="14"/>
      <c r="P123" s="14" t="n">
        <f aca="false">ROUND(IF(D123=0,IF((N123-E123-O123)&gt;0,(N123-E123-O123),0),IF((D123+N123-O123)&gt;0,(D123+N123-O123),0)),2)</f>
        <v>852.19</v>
      </c>
      <c r="Q123" s="14" t="n">
        <f aca="false">ROUND(IF(E123=0,IF((D123+N123-O123)&lt;0,ABS(D123+N123-O123),0),IF((N123-E123-O123)&lt;0,ABS(N123-E123-O123),0)),2)</f>
        <v>0</v>
      </c>
    </row>
    <row r="124" customFormat="false" ht="15" hidden="false" customHeight="true" outlineLevel="0" collapsed="false">
      <c r="A124" s="12" t="s">
        <v>368</v>
      </c>
      <c r="B124" s="12" t="str">
        <f aca="false">лютий!B124</f>
        <v>Ракитська А.М.</v>
      </c>
      <c r="C124" s="12" t="s">
        <v>370</v>
      </c>
      <c r="D124" s="14" t="n">
        <f aca="false">лютий!P124</f>
        <v>502.56</v>
      </c>
      <c r="E124" s="14" t="n">
        <f aca="false">лютий!Q124</f>
        <v>0</v>
      </c>
      <c r="F124" s="13" t="n">
        <f aca="false">лютий!F124</f>
        <v>0</v>
      </c>
      <c r="G124" s="13" t="n">
        <f aca="false">лютий!G124</f>
        <v>62.18</v>
      </c>
      <c r="H124" s="13" t="n">
        <f aca="false">лютий!H124</f>
        <v>0</v>
      </c>
      <c r="I124" s="13" t="n">
        <f aca="false">лютий!I124</f>
        <v>4.1</v>
      </c>
      <c r="J124" s="14" t="n">
        <f aca="false">ROUND(G124*I124,2)</f>
        <v>254.94</v>
      </c>
      <c r="K124" s="14"/>
      <c r="L124" s="14"/>
      <c r="M124" s="14"/>
      <c r="N124" s="14" t="n">
        <f aca="false">ROUND((G124*I124)-K124-L124-M124,2)</f>
        <v>254.94</v>
      </c>
      <c r="O124" s="14"/>
      <c r="P124" s="14" t="n">
        <f aca="false">ROUND(IF(D124=0,IF((N124-E124-O124)&gt;0,(N124-E124-O124),0),IF((D124+N124-O124)&gt;0,(D124+N124-O124),0)),2)</f>
        <v>757.5</v>
      </c>
      <c r="Q124" s="14" t="n">
        <f aca="false">ROUND(IF(E124=0,IF((D124+N124-O124)&lt;0,ABS(D124+N124-O124),0),IF((N124-E124-O124)&lt;0,ABS(N124-E124-O124),0)),2)</f>
        <v>0</v>
      </c>
    </row>
    <row r="125" customFormat="false" ht="15" hidden="false" customHeight="true" outlineLevel="0" collapsed="false">
      <c r="A125" s="12" t="s">
        <v>371</v>
      </c>
      <c r="B125" s="12" t="str">
        <f aca="false">лютий!B125</f>
        <v>Гусак К.С.</v>
      </c>
      <c r="C125" s="12" t="s">
        <v>373</v>
      </c>
      <c r="D125" s="14" t="n">
        <f aca="false">лютий!P125</f>
        <v>6968.82</v>
      </c>
      <c r="E125" s="14" t="n">
        <f aca="false">лютий!Q125</f>
        <v>0</v>
      </c>
      <c r="F125" s="13" t="n">
        <f aca="false">лютий!F125</f>
        <v>0</v>
      </c>
      <c r="G125" s="13" t="n">
        <f aca="false">лютий!G125</f>
        <v>35.1</v>
      </c>
      <c r="H125" s="13" t="n">
        <f aca="false">лютий!H125</f>
        <v>0</v>
      </c>
      <c r="I125" s="13" t="n">
        <f aca="false">лютий!I125</f>
        <v>4.1</v>
      </c>
      <c r="J125" s="14" t="n">
        <f aca="false">ROUND(G125*I125,2)</f>
        <v>143.91</v>
      </c>
      <c r="K125" s="14"/>
      <c r="L125" s="14"/>
      <c r="M125" s="14"/>
      <c r="N125" s="14" t="n">
        <f aca="false">ROUND((G125*I125)-K125-L125-M125,2)</f>
        <v>143.91</v>
      </c>
      <c r="O125" s="14"/>
      <c r="P125" s="14" t="n">
        <f aca="false">ROUND(IF(D125=0,IF((N125-E125-O125)&gt;0,(N125-E125-O125),0),IF((D125+N125-O125)&gt;0,(D125+N125-O125),0)),2)</f>
        <v>7112.73</v>
      </c>
      <c r="Q125" s="14" t="n">
        <f aca="false">ROUND(IF(E125=0,IF((D125+N125-O125)&lt;0,ABS(D125+N125-O125),0),IF((N125-E125-O125)&lt;0,ABS(N125-E125-O125),0)),2)</f>
        <v>0</v>
      </c>
    </row>
    <row r="126" customFormat="false" ht="15" hidden="false" customHeight="true" outlineLevel="0" collapsed="false">
      <c r="A126" s="12" t="s">
        <v>374</v>
      </c>
      <c r="B126" s="12" t="str">
        <f aca="false">лютий!B126</f>
        <v>Пісоченко М.Г.</v>
      </c>
      <c r="C126" s="12" t="s">
        <v>376</v>
      </c>
      <c r="D126" s="14" t="n">
        <f aca="false">лютий!P126</f>
        <v>612.54</v>
      </c>
      <c r="E126" s="14" t="n">
        <f aca="false">лютий!Q126</f>
        <v>0</v>
      </c>
      <c r="F126" s="13" t="n">
        <f aca="false">лютий!F126</f>
        <v>0</v>
      </c>
      <c r="G126" s="13" t="n">
        <f aca="false">лютий!G126</f>
        <v>49.8</v>
      </c>
      <c r="H126" s="13" t="n">
        <f aca="false">лютий!H126</f>
        <v>0</v>
      </c>
      <c r="I126" s="13" t="n">
        <f aca="false">лютий!I126</f>
        <v>4.1</v>
      </c>
      <c r="J126" s="14" t="n">
        <f aca="false">ROUND(G126*I126,2)</f>
        <v>204.18</v>
      </c>
      <c r="K126" s="14"/>
      <c r="L126" s="14"/>
      <c r="M126" s="14"/>
      <c r="N126" s="14" t="n">
        <f aca="false">ROUND((G126*I126)-K126-L126-M126,2)</f>
        <v>204.18</v>
      </c>
      <c r="O126" s="14"/>
      <c r="P126" s="14" t="n">
        <f aca="false">ROUND(IF(D126=0,IF((N126-E126-O126)&gt;0,(N126-E126-O126),0),IF((D126+N126-O126)&gt;0,(D126+N126-O126),0)),2)</f>
        <v>816.72</v>
      </c>
      <c r="Q126" s="14" t="n">
        <f aca="false">ROUND(IF(E126=0,IF((D126+N126-O126)&lt;0,ABS(D126+N126-O126),0),IF((N126-E126-O126)&lt;0,ABS(N126-E126-O126),0)),2)</f>
        <v>0</v>
      </c>
    </row>
    <row r="127" customFormat="false" ht="15" hidden="false" customHeight="true" outlineLevel="0" collapsed="false">
      <c r="A127" s="12" t="s">
        <v>377</v>
      </c>
      <c r="B127" s="12" t="str">
        <f aca="false">лютий!B127</f>
        <v>Столяр О.М.</v>
      </c>
      <c r="C127" s="12" t="s">
        <v>379</v>
      </c>
      <c r="D127" s="14" t="n">
        <f aca="false">лютий!P127</f>
        <v>3480.49</v>
      </c>
      <c r="E127" s="14" t="n">
        <f aca="false">лютий!Q127</f>
        <v>0</v>
      </c>
      <c r="F127" s="13" t="n">
        <f aca="false">лютий!F127</f>
        <v>0</v>
      </c>
      <c r="G127" s="13" t="n">
        <f aca="false">лютий!G127</f>
        <v>65.3</v>
      </c>
      <c r="H127" s="13" t="n">
        <f aca="false">лютий!H127</f>
        <v>0</v>
      </c>
      <c r="I127" s="13" t="n">
        <f aca="false">лютий!I127</f>
        <v>4.1</v>
      </c>
      <c r="J127" s="14" t="n">
        <f aca="false">ROUND(G127*I127,2)</f>
        <v>267.73</v>
      </c>
      <c r="K127" s="14"/>
      <c r="L127" s="14"/>
      <c r="M127" s="14"/>
      <c r="N127" s="14" t="n">
        <f aca="false">ROUND((G127*I127)-K127-L127-M127,2)</f>
        <v>267.73</v>
      </c>
      <c r="O127" s="14"/>
      <c r="P127" s="14" t="n">
        <f aca="false">ROUND(IF(D127=0,IF((N127-E127-O127)&gt;0,(N127-E127-O127),0),IF((D127+N127-O127)&gt;0,(D127+N127-O127),0)),2)</f>
        <v>3748.22</v>
      </c>
      <c r="Q127" s="14" t="n">
        <f aca="false">ROUND(IF(E127=0,IF((D127+N127-O127)&lt;0,ABS(D127+N127-O127),0),IF((N127-E127-O127)&lt;0,ABS(N127-E127-O127),0)),2)</f>
        <v>0</v>
      </c>
    </row>
    <row r="128" customFormat="false" ht="15" hidden="false" customHeight="true" outlineLevel="0" collapsed="false">
      <c r="A128" s="12" t="s">
        <v>380</v>
      </c>
      <c r="B128" s="12" t="str">
        <f aca="false">лютий!B128</f>
        <v>Рєзніков В.П.</v>
      </c>
      <c r="C128" s="12" t="s">
        <v>382</v>
      </c>
      <c r="D128" s="14" t="n">
        <f aca="false">лютий!P128</f>
        <v>188.69</v>
      </c>
      <c r="E128" s="14" t="n">
        <f aca="false">лютий!Q128</f>
        <v>0</v>
      </c>
      <c r="F128" s="13" t="n">
        <f aca="false">лютий!F128</f>
        <v>0</v>
      </c>
      <c r="G128" s="13" t="n">
        <f aca="false">лютий!G128</f>
        <v>62.44</v>
      </c>
      <c r="H128" s="13" t="n">
        <f aca="false">лютий!H128</f>
        <v>0</v>
      </c>
      <c r="I128" s="13" t="n">
        <f aca="false">лютий!I128</f>
        <v>4.1</v>
      </c>
      <c r="J128" s="14" t="n">
        <f aca="false">ROUND(G128*I128,2)</f>
        <v>256</v>
      </c>
      <c r="K128" s="14"/>
      <c r="L128" s="14"/>
      <c r="M128" s="14"/>
      <c r="N128" s="14" t="n">
        <f aca="false">ROUND((G128*I128)-K128-L128-M128,2)</f>
        <v>256</v>
      </c>
      <c r="O128" s="14"/>
      <c r="P128" s="14" t="n">
        <f aca="false">ROUND(IF(D128=0,IF((N128-E128-O128)&gt;0,(N128-E128-O128),0),IF((D128+N128-O128)&gt;0,(D128+N128-O128),0)),2)</f>
        <v>444.69</v>
      </c>
      <c r="Q128" s="14" t="n">
        <f aca="false">ROUND(IF(E128=0,IF((D128+N128-O128)&lt;0,ABS(D128+N128-O128),0),IF((N128-E128-O128)&lt;0,ABS(N128-E128-O128),0)),2)</f>
        <v>0</v>
      </c>
    </row>
    <row r="129" customFormat="false" ht="15" hidden="false" customHeight="true" outlineLevel="0" collapsed="false">
      <c r="A129" s="12" t="s">
        <v>383</v>
      </c>
      <c r="B129" s="12" t="str">
        <f aca="false">лютий!B129</f>
        <v>Золотоверха Я.І.</v>
      </c>
      <c r="C129" s="12" t="s">
        <v>385</v>
      </c>
      <c r="D129" s="14" t="n">
        <f aca="false">лютий!P129</f>
        <v>291.92</v>
      </c>
      <c r="E129" s="14" t="n">
        <f aca="false">лютий!Q129</f>
        <v>0</v>
      </c>
      <c r="F129" s="13" t="n">
        <f aca="false">лютий!F129</f>
        <v>0</v>
      </c>
      <c r="G129" s="13" t="n">
        <f aca="false">лютий!G129</f>
        <v>35.6</v>
      </c>
      <c r="H129" s="13" t="n">
        <f aca="false">лютий!H129</f>
        <v>0</v>
      </c>
      <c r="I129" s="13" t="n">
        <f aca="false">лютий!I129</f>
        <v>4.1</v>
      </c>
      <c r="J129" s="14" t="n">
        <f aca="false">ROUND(G129*I129,2)</f>
        <v>145.96</v>
      </c>
      <c r="K129" s="14"/>
      <c r="L129" s="14"/>
      <c r="M129" s="14"/>
      <c r="N129" s="14" t="n">
        <f aca="false">ROUND((G129*I129)-K129-L129-M129,2)</f>
        <v>145.96</v>
      </c>
      <c r="O129" s="14"/>
      <c r="P129" s="14" t="n">
        <f aca="false">ROUND(IF(D129=0,IF((N129-E129-O129)&gt;0,(N129-E129-O129),0),IF((D129+N129-O129)&gt;0,(D129+N129-O129),0)),2)</f>
        <v>437.88</v>
      </c>
      <c r="Q129" s="14" t="n">
        <f aca="false">ROUND(IF(E129=0,IF((D129+N129-O129)&lt;0,ABS(D129+N129-O129),0),IF((N129-E129-O129)&lt;0,ABS(N129-E129-O129),0)),2)</f>
        <v>0</v>
      </c>
    </row>
    <row r="130" customFormat="false" ht="15" hidden="false" customHeight="true" outlineLevel="0" collapsed="false">
      <c r="A130" s="12" t="s">
        <v>386</v>
      </c>
      <c r="B130" s="12" t="str">
        <f aca="false">лютий!B130</f>
        <v>Бурлаков А.В.</v>
      </c>
      <c r="C130" s="12" t="s">
        <v>388</v>
      </c>
      <c r="D130" s="14" t="n">
        <f aca="false">лютий!P130</f>
        <v>611.08</v>
      </c>
      <c r="E130" s="14" t="n">
        <f aca="false">лютий!Q130</f>
        <v>0</v>
      </c>
      <c r="F130" s="13" t="n">
        <f aca="false">лютий!F130</f>
        <v>0</v>
      </c>
      <c r="G130" s="13" t="n">
        <f aca="false">лютий!G130</f>
        <v>49.7</v>
      </c>
      <c r="H130" s="13" t="n">
        <f aca="false">лютий!H130</f>
        <v>0</v>
      </c>
      <c r="I130" s="13" t="n">
        <f aca="false">лютий!I130</f>
        <v>4.1</v>
      </c>
      <c r="J130" s="14" t="n">
        <f aca="false">ROUND(G130*I130,2)</f>
        <v>203.77</v>
      </c>
      <c r="K130" s="14"/>
      <c r="L130" s="14"/>
      <c r="M130" s="14"/>
      <c r="N130" s="14" t="n">
        <f aca="false">ROUND((G130*I130)-K130-L130-M130,2)</f>
        <v>203.77</v>
      </c>
      <c r="O130" s="14"/>
      <c r="P130" s="14" t="n">
        <f aca="false">ROUND(IF(D130=0,IF((N130-E130-O130)&gt;0,(N130-E130-O130),0),IF((D130+N130-O130)&gt;0,(D130+N130-O130),0)),2)</f>
        <v>814.85</v>
      </c>
      <c r="Q130" s="14" t="n">
        <f aca="false">ROUND(IF(E130=0,IF((D130+N130-O130)&lt;0,ABS(D130+N130-O130),0),IF((N130-E130-O130)&lt;0,ABS(N130-E130-O130),0)),2)</f>
        <v>0</v>
      </c>
    </row>
    <row r="131" customFormat="false" ht="15" hidden="false" customHeight="true" outlineLevel="0" collapsed="false">
      <c r="A131" s="12" t="s">
        <v>389</v>
      </c>
      <c r="B131" s="12" t="str">
        <f aca="false">лютий!B131</f>
        <v>Сикула О.Ю.</v>
      </c>
      <c r="C131" s="12" t="s">
        <v>391</v>
      </c>
      <c r="D131" s="14" t="n">
        <f aca="false">лютий!P131</f>
        <v>4534.24</v>
      </c>
      <c r="E131" s="14" t="n">
        <f aca="false">лютий!Q131</f>
        <v>0</v>
      </c>
      <c r="F131" s="13" t="n">
        <f aca="false">лютий!F131</f>
        <v>0</v>
      </c>
      <c r="G131" s="13" t="n">
        <f aca="false">лютий!G131</f>
        <v>65.15</v>
      </c>
      <c r="H131" s="13" t="n">
        <f aca="false">лютий!H131</f>
        <v>0</v>
      </c>
      <c r="I131" s="13" t="n">
        <f aca="false">лютий!I131</f>
        <v>4.1</v>
      </c>
      <c r="J131" s="14" t="n">
        <f aca="false">ROUND(G131*I131,2)</f>
        <v>267.12</v>
      </c>
      <c r="K131" s="14"/>
      <c r="L131" s="14"/>
      <c r="M131" s="14"/>
      <c r="N131" s="14" t="n">
        <f aca="false">ROUND((G131*I131)-K131-L131-M131,2)</f>
        <v>267.12</v>
      </c>
      <c r="O131" s="14"/>
      <c r="P131" s="14" t="n">
        <f aca="false">ROUND(IF(D131=0,IF((N131-E131-O131)&gt;0,(N131-E131-O131),0),IF((D131+N131-O131)&gt;0,(D131+N131-O131),0)),2)</f>
        <v>4801.36</v>
      </c>
      <c r="Q131" s="14" t="n">
        <f aca="false">ROUND(IF(E131=0,IF((D131+N131-O131)&lt;0,ABS(D131+N131-O131),0),IF((N131-E131-O131)&lt;0,ABS(N131-E131-O131),0)),2)</f>
        <v>0</v>
      </c>
    </row>
    <row r="132" customFormat="false" ht="15" hidden="false" customHeight="true" outlineLevel="0" collapsed="false">
      <c r="A132" s="12" t="s">
        <v>392</v>
      </c>
      <c r="B132" s="12" t="str">
        <f aca="false">лютий!B132</f>
        <v>Арістов О.О.</v>
      </c>
      <c r="C132" s="12" t="s">
        <v>394</v>
      </c>
      <c r="D132" s="14" t="n">
        <f aca="false">лютий!P132</f>
        <v>774.9</v>
      </c>
      <c r="E132" s="14" t="n">
        <f aca="false">лютий!Q132</f>
        <v>0</v>
      </c>
      <c r="F132" s="13" t="n">
        <f aca="false">лютий!F132</f>
        <v>0</v>
      </c>
      <c r="G132" s="13" t="n">
        <f aca="false">лютий!G132</f>
        <v>63</v>
      </c>
      <c r="H132" s="13" t="n">
        <f aca="false">лютий!H132</f>
        <v>0</v>
      </c>
      <c r="I132" s="13" t="n">
        <f aca="false">лютий!I132</f>
        <v>4.1</v>
      </c>
      <c r="J132" s="14" t="n">
        <f aca="false">ROUND(G132*I132,2)</f>
        <v>258.3</v>
      </c>
      <c r="K132" s="14"/>
      <c r="L132" s="14"/>
      <c r="M132" s="14"/>
      <c r="N132" s="14" t="n">
        <f aca="false">ROUND((G132*I132)-K132-L132-M132,2)</f>
        <v>258.3</v>
      </c>
      <c r="O132" s="14"/>
      <c r="P132" s="14" t="n">
        <f aca="false">ROUND(IF(D132=0,IF((N132-E132-O132)&gt;0,(N132-E132-O132),0),IF((D132+N132-O132)&gt;0,(D132+N132-O132),0)),2)</f>
        <v>1033.2</v>
      </c>
      <c r="Q132" s="14" t="n">
        <f aca="false">ROUND(IF(E132=0,IF((D132+N132-O132)&lt;0,ABS(D132+N132-O132),0),IF((N132-E132-O132)&lt;0,ABS(N132-E132-O132),0)),2)</f>
        <v>0</v>
      </c>
    </row>
    <row r="133" customFormat="false" ht="15" hidden="false" customHeight="true" outlineLevel="0" collapsed="false">
      <c r="A133" s="12" t="s">
        <v>395</v>
      </c>
      <c r="B133" s="12" t="str">
        <f aca="false">лютий!B133</f>
        <v>Бондаренко Т.О.</v>
      </c>
      <c r="C133" s="12" t="s">
        <v>397</v>
      </c>
      <c r="D133" s="14" t="n">
        <f aca="false">лютий!P133</f>
        <v>284.54</v>
      </c>
      <c r="E133" s="14" t="n">
        <f aca="false">лютий!Q133</f>
        <v>0</v>
      </c>
      <c r="F133" s="13" t="n">
        <f aca="false">лютий!F133</f>
        <v>0</v>
      </c>
      <c r="G133" s="13" t="n">
        <f aca="false">лютий!G133</f>
        <v>34.7</v>
      </c>
      <c r="H133" s="13" t="n">
        <f aca="false">лютий!H133</f>
        <v>0</v>
      </c>
      <c r="I133" s="13" t="n">
        <f aca="false">лютий!I133</f>
        <v>4.1</v>
      </c>
      <c r="J133" s="14" t="n">
        <f aca="false">ROUND(G133*I133,2)</f>
        <v>142.27</v>
      </c>
      <c r="K133" s="14"/>
      <c r="L133" s="14"/>
      <c r="M133" s="14"/>
      <c r="N133" s="14" t="n">
        <f aca="false">ROUND((G133*I133)-K133-L133-M133,2)</f>
        <v>142.27</v>
      </c>
      <c r="O133" s="14"/>
      <c r="P133" s="14" t="n">
        <f aca="false">ROUND(IF(D133=0,IF((N133-E133-O133)&gt;0,(N133-E133-O133),0),IF((D133+N133-O133)&gt;0,(D133+N133-O133),0)),2)</f>
        <v>426.81</v>
      </c>
      <c r="Q133" s="14" t="n">
        <f aca="false">ROUND(IF(E133=0,IF((D133+N133-O133)&lt;0,ABS(D133+N133-O133),0),IF((N133-E133-O133)&lt;0,ABS(N133-E133-O133),0)),2)</f>
        <v>0</v>
      </c>
    </row>
    <row r="134" customFormat="false" ht="15" hidden="false" customHeight="true" outlineLevel="0" collapsed="false">
      <c r="A134" s="12" t="s">
        <v>398</v>
      </c>
      <c r="B134" s="12" t="str">
        <f aca="false">лютий!B134</f>
        <v>Гайчев П.В.</v>
      </c>
      <c r="C134" s="12" t="s">
        <v>400</v>
      </c>
      <c r="D134" s="14" t="n">
        <f aca="false">лютий!P134</f>
        <v>605.16</v>
      </c>
      <c r="E134" s="14" t="n">
        <f aca="false">лютий!Q134</f>
        <v>0</v>
      </c>
      <c r="F134" s="13" t="n">
        <f aca="false">лютий!F134</f>
        <v>0</v>
      </c>
      <c r="G134" s="13" t="n">
        <f aca="false">лютий!G134</f>
        <v>49.2</v>
      </c>
      <c r="H134" s="13" t="n">
        <f aca="false">лютий!H134</f>
        <v>0</v>
      </c>
      <c r="I134" s="13" t="n">
        <f aca="false">лютий!I134</f>
        <v>4.1</v>
      </c>
      <c r="J134" s="14" t="n">
        <f aca="false">ROUND(G134*I134,2)</f>
        <v>201.72</v>
      </c>
      <c r="K134" s="14"/>
      <c r="L134" s="14"/>
      <c r="M134" s="14"/>
      <c r="N134" s="14" t="n">
        <f aca="false">ROUND((G134*I134)-K134-L134-M134,2)</f>
        <v>201.72</v>
      </c>
      <c r="O134" s="14"/>
      <c r="P134" s="14" t="n">
        <f aca="false">ROUND(IF(D134=0,IF((N134-E134-O134)&gt;0,(N134-E134-O134),0),IF((D134+N134-O134)&gt;0,(D134+N134-O134),0)),2)</f>
        <v>806.88</v>
      </c>
      <c r="Q134" s="14" t="n">
        <f aca="false">ROUND(IF(E134=0,IF((D134+N134-O134)&lt;0,ABS(D134+N134-O134),0),IF((N134-E134-O134)&lt;0,ABS(N134-E134-O134),0)),2)</f>
        <v>0</v>
      </c>
    </row>
    <row r="135" customFormat="false" ht="15" hidden="false" customHeight="true" outlineLevel="0" collapsed="false">
      <c r="A135" s="12" t="s">
        <v>401</v>
      </c>
      <c r="B135" s="12" t="str">
        <f aca="false">лютий!B135</f>
        <v>Радченко О.С.</v>
      </c>
      <c r="C135" s="12" t="s">
        <v>403</v>
      </c>
      <c r="D135" s="14" t="n">
        <f aca="false">лютий!P135</f>
        <v>534.24</v>
      </c>
      <c r="E135" s="14" t="n">
        <f aca="false">лютий!Q135</f>
        <v>0</v>
      </c>
      <c r="F135" s="13" t="n">
        <f aca="false">лютий!F135</f>
        <v>0</v>
      </c>
      <c r="G135" s="13" t="n">
        <f aca="false">лютий!G135</f>
        <v>65.15</v>
      </c>
      <c r="H135" s="13" t="n">
        <f aca="false">лютий!H135</f>
        <v>0</v>
      </c>
      <c r="I135" s="13" t="n">
        <f aca="false">лютий!I135</f>
        <v>4.1</v>
      </c>
      <c r="J135" s="14" t="n">
        <f aca="false">ROUND(G135*I135,2)</f>
        <v>267.12</v>
      </c>
      <c r="K135" s="14"/>
      <c r="L135" s="14"/>
      <c r="M135" s="14"/>
      <c r="N135" s="14" t="n">
        <f aca="false">ROUND((G135*I135)-K135-L135-M135,2)</f>
        <v>267.12</v>
      </c>
      <c r="O135" s="14"/>
      <c r="P135" s="14" t="n">
        <f aca="false">ROUND(IF(D135=0,IF((N135-E135-O135)&gt;0,(N135-E135-O135),0),IF((D135+N135-O135)&gt;0,(D135+N135-O135),0)),2)</f>
        <v>801.36</v>
      </c>
      <c r="Q135" s="14" t="n">
        <f aca="false">ROUND(IF(E135=0,IF((D135+N135-O135)&lt;0,ABS(D135+N135-O135),0),IF((N135-E135-O135)&lt;0,ABS(N135-E135-O135),0)),2)</f>
        <v>0</v>
      </c>
    </row>
    <row r="136" customFormat="false" ht="15" hidden="false" customHeight="true" outlineLevel="0" collapsed="false">
      <c r="A136" s="12" t="s">
        <v>404</v>
      </c>
      <c r="B136" s="12" t="str">
        <f aca="false">лютий!B136</f>
        <v>Шилін С.М.</v>
      </c>
      <c r="C136" s="12" t="s">
        <v>406</v>
      </c>
      <c r="D136" s="14" t="n">
        <f aca="false">лютий!P136</f>
        <v>2016.17</v>
      </c>
      <c r="E136" s="14" t="n">
        <f aca="false">лютий!Q136</f>
        <v>0</v>
      </c>
      <c r="F136" s="13" t="n">
        <f aca="false">лютий!F136</f>
        <v>0</v>
      </c>
      <c r="G136" s="13" t="n">
        <f aca="false">лютий!G136</f>
        <v>62.3</v>
      </c>
      <c r="H136" s="13" t="n">
        <f aca="false">лютий!H136</f>
        <v>0</v>
      </c>
      <c r="I136" s="13" t="n">
        <f aca="false">лютий!I136</f>
        <v>4.1</v>
      </c>
      <c r="J136" s="14" t="n">
        <f aca="false">ROUND(G136*I136,2)</f>
        <v>255.43</v>
      </c>
      <c r="K136" s="14"/>
      <c r="L136" s="14"/>
      <c r="M136" s="14"/>
      <c r="N136" s="14" t="n">
        <f aca="false">ROUND((G136*I136)-K136-L136-M136,2)</f>
        <v>255.43</v>
      </c>
      <c r="O136" s="14"/>
      <c r="P136" s="14" t="n">
        <f aca="false">ROUND(IF(D136=0,IF((N136-E136-O136)&gt;0,(N136-E136-O136),0),IF((D136+N136-O136)&gt;0,(D136+N136-O136),0)),2)</f>
        <v>2271.6</v>
      </c>
      <c r="Q136" s="14" t="n">
        <f aca="false">ROUND(IF(E136=0,IF((D136+N136-O136)&lt;0,ABS(D136+N136-O136),0),IF((N136-E136-O136)&lt;0,ABS(N136-E136-O136),0)),2)</f>
        <v>0</v>
      </c>
    </row>
    <row r="137" customFormat="false" ht="15" hidden="false" customHeight="true" outlineLevel="0" collapsed="false">
      <c r="A137" s="12" t="s">
        <v>407</v>
      </c>
      <c r="B137" s="12" t="str">
        <f aca="false">лютий!B137</f>
        <v>Корякін Л.М.</v>
      </c>
      <c r="C137" s="12" t="s">
        <v>409</v>
      </c>
      <c r="D137" s="14" t="n">
        <f aca="false">лютий!P137</f>
        <v>1813</v>
      </c>
      <c r="E137" s="14" t="n">
        <f aca="false">лютий!Q137</f>
        <v>0</v>
      </c>
      <c r="F137" s="13" t="n">
        <f aca="false">лютий!F137</f>
        <v>0</v>
      </c>
      <c r="G137" s="13" t="n">
        <f aca="false">лютий!G137</f>
        <v>35.3</v>
      </c>
      <c r="H137" s="13" t="n">
        <f aca="false">лютий!H137</f>
        <v>0</v>
      </c>
      <c r="I137" s="13" t="n">
        <f aca="false">лютий!I137</f>
        <v>4.1</v>
      </c>
      <c r="J137" s="14" t="n">
        <f aca="false">ROUND(G137*I137,2)</f>
        <v>144.73</v>
      </c>
      <c r="K137" s="14"/>
      <c r="L137" s="14"/>
      <c r="M137" s="14"/>
      <c r="N137" s="14" t="n">
        <f aca="false">ROUND((G137*I137)-K137-L137-M137,2)</f>
        <v>144.73</v>
      </c>
      <c r="O137" s="14"/>
      <c r="P137" s="14" t="n">
        <f aca="false">ROUND(IF(D137=0,IF((N137-E137-O137)&gt;0,(N137-E137-O137),0),IF((D137+N137-O137)&gt;0,(D137+N137-O137),0)),2)</f>
        <v>1957.73</v>
      </c>
      <c r="Q137" s="14" t="n">
        <f aca="false">ROUND(IF(E137=0,IF((D137+N137-O137)&lt;0,ABS(D137+N137-O137),0),IF((N137-E137-O137)&lt;0,ABS(N137-E137-O137),0)),2)</f>
        <v>0</v>
      </c>
    </row>
    <row r="138" customFormat="false" ht="15" hidden="false" customHeight="true" outlineLevel="0" collapsed="false">
      <c r="A138" s="12" t="s">
        <v>410</v>
      </c>
      <c r="B138" s="12" t="str">
        <f aca="false">лютий!B138</f>
        <v>Кривошеєва Л.М.</v>
      </c>
      <c r="C138" s="12" t="s">
        <v>412</v>
      </c>
      <c r="D138" s="14" t="n">
        <f aca="false">лютий!P138</f>
        <v>2908.22</v>
      </c>
      <c r="E138" s="14" t="n">
        <f aca="false">лютий!Q138</f>
        <v>0</v>
      </c>
      <c r="F138" s="13" t="n">
        <f aca="false">лютий!F138</f>
        <v>0</v>
      </c>
      <c r="G138" s="13" t="n">
        <f aca="false">лютий!G138</f>
        <v>49.78</v>
      </c>
      <c r="H138" s="13" t="n">
        <f aca="false">лютий!H138</f>
        <v>0</v>
      </c>
      <c r="I138" s="13" t="n">
        <f aca="false">лютий!I138</f>
        <v>4.1</v>
      </c>
      <c r="J138" s="14" t="n">
        <f aca="false">ROUND(G138*I138,2)</f>
        <v>204.1</v>
      </c>
      <c r="K138" s="14"/>
      <c r="L138" s="14"/>
      <c r="M138" s="14"/>
      <c r="N138" s="14" t="n">
        <f aca="false">ROUND((G138*I138)-K138-L138-M138,2)</f>
        <v>204.1</v>
      </c>
      <c r="O138" s="14"/>
      <c r="P138" s="14" t="n">
        <f aca="false">ROUND(IF(D138=0,IF((N138-E138-O138)&gt;0,(N138-E138-O138),0),IF((D138+N138-O138)&gt;0,(D138+N138-O138),0)),2)</f>
        <v>3112.32</v>
      </c>
      <c r="Q138" s="14" t="n">
        <f aca="false">ROUND(IF(E138=0,IF((D138+N138-O138)&lt;0,ABS(D138+N138-O138),0),IF((N138-E138-O138)&lt;0,ABS(N138-E138-O138),0)),2)</f>
        <v>0</v>
      </c>
    </row>
    <row r="139" customFormat="false" ht="15" hidden="false" customHeight="true" outlineLevel="0" collapsed="false">
      <c r="A139" s="12" t="s">
        <v>413</v>
      </c>
      <c r="B139" s="12" t="str">
        <f aca="false">лютий!B139</f>
        <v>Харченко І.С.</v>
      </c>
      <c r="C139" s="12" t="s">
        <v>415</v>
      </c>
      <c r="D139" s="14" t="n">
        <f aca="false">лютий!P139</f>
        <v>263.55</v>
      </c>
      <c r="E139" s="14" t="n">
        <f aca="false">лютий!Q139</f>
        <v>0</v>
      </c>
      <c r="F139" s="13" t="n">
        <f aca="false">лютий!F139</f>
        <v>0</v>
      </c>
      <c r="G139" s="13" t="n">
        <f aca="false">лютий!G139</f>
        <v>65.93</v>
      </c>
      <c r="H139" s="13" t="n">
        <f aca="false">лютий!H139</f>
        <v>0</v>
      </c>
      <c r="I139" s="13" t="n">
        <f aca="false">лютий!I139</f>
        <v>4.1</v>
      </c>
      <c r="J139" s="14" t="n">
        <f aca="false">ROUND(G139*I139,2)</f>
        <v>270.31</v>
      </c>
      <c r="K139" s="14"/>
      <c r="L139" s="14"/>
      <c r="M139" s="14"/>
      <c r="N139" s="14" t="n">
        <f aca="false">ROUND((G139*I139)-K139-L139-M139,2)</f>
        <v>270.31</v>
      </c>
      <c r="O139" s="14"/>
      <c r="P139" s="14" t="n">
        <f aca="false">ROUND(IF(D139=0,IF((N139-E139-O139)&gt;0,(N139-E139-O139),0),IF((D139+N139-O139)&gt;0,(D139+N139-O139),0)),2)</f>
        <v>533.86</v>
      </c>
      <c r="Q139" s="14" t="n">
        <f aca="false">ROUND(IF(E139=0,IF((D139+N139-O139)&lt;0,ABS(D139+N139-O139),0),IF((N139-E139-O139)&lt;0,ABS(N139-E139-O139),0)),2)</f>
        <v>0</v>
      </c>
    </row>
    <row r="140" customFormat="false" ht="15" hidden="false" customHeight="true" outlineLevel="0" collapsed="false">
      <c r="A140" s="12" t="s">
        <v>416</v>
      </c>
      <c r="B140" s="12" t="str">
        <f aca="false">лютий!B140</f>
        <v>Куриленко І.О.</v>
      </c>
      <c r="C140" s="12" t="s">
        <v>418</v>
      </c>
      <c r="D140" s="14" t="n">
        <f aca="false">лютий!P140</f>
        <v>255.68</v>
      </c>
      <c r="E140" s="14" t="n">
        <f aca="false">лютий!Q140</f>
        <v>0</v>
      </c>
      <c r="F140" s="13" t="n">
        <f aca="false">лютий!F140</f>
        <v>0</v>
      </c>
      <c r="G140" s="13" t="n">
        <f aca="false">лютий!G140</f>
        <v>62.36</v>
      </c>
      <c r="H140" s="13" t="n">
        <f aca="false">лютий!H140</f>
        <v>0</v>
      </c>
      <c r="I140" s="13" t="n">
        <f aca="false">лютий!I140</f>
        <v>4.1</v>
      </c>
      <c r="J140" s="14" t="n">
        <f aca="false">ROUND(G140*I140,2)</f>
        <v>255.68</v>
      </c>
      <c r="K140" s="14"/>
      <c r="L140" s="14"/>
      <c r="M140" s="14"/>
      <c r="N140" s="14" t="n">
        <f aca="false">ROUND((G140*I140)-K140-L140-M140,2)</f>
        <v>255.68</v>
      </c>
      <c r="O140" s="14"/>
      <c r="P140" s="14" t="n">
        <f aca="false">ROUND(IF(D140=0,IF((N140-E140-O140)&gt;0,(N140-E140-O140),0),IF((D140+N140-O140)&gt;0,(D140+N140-O140),0)),2)</f>
        <v>511.36</v>
      </c>
      <c r="Q140" s="14" t="n">
        <f aca="false">ROUND(IF(E140=0,IF((D140+N140-O140)&lt;0,ABS(D140+N140-O140),0),IF((N140-E140-O140)&lt;0,ABS(N140-E140-O140),0)),2)</f>
        <v>0</v>
      </c>
    </row>
    <row r="141" customFormat="false" ht="15" hidden="false" customHeight="true" outlineLevel="0" collapsed="false">
      <c r="A141" s="12" t="s">
        <v>419</v>
      </c>
      <c r="B141" s="12" t="str">
        <f aca="false">лютий!B141</f>
        <v>Єлсукова В.М.</v>
      </c>
      <c r="C141" s="12" t="s">
        <v>421</v>
      </c>
      <c r="D141" s="14" t="n">
        <f aca="false">лютий!P141</f>
        <v>7195.5</v>
      </c>
      <c r="E141" s="14" t="n">
        <f aca="false">лютий!Q141</f>
        <v>0</v>
      </c>
      <c r="F141" s="13" t="n">
        <f aca="false">лютий!F141</f>
        <v>0</v>
      </c>
      <c r="G141" s="13" t="n">
        <f aca="false">лютий!G141</f>
        <v>35.1</v>
      </c>
      <c r="H141" s="13" t="n">
        <f aca="false">лютий!H141</f>
        <v>0</v>
      </c>
      <c r="I141" s="13" t="n">
        <f aca="false">лютий!I141</f>
        <v>4.1</v>
      </c>
      <c r="J141" s="14" t="n">
        <f aca="false">ROUND(G141*I141,2)</f>
        <v>143.91</v>
      </c>
      <c r="K141" s="14"/>
      <c r="L141" s="14"/>
      <c r="M141" s="14"/>
      <c r="N141" s="14" t="n">
        <f aca="false">ROUND((G141*I141)-K141-L141-M141,2)</f>
        <v>143.91</v>
      </c>
      <c r="O141" s="14"/>
      <c r="P141" s="14" t="n">
        <f aca="false">ROUND(IF(D141=0,IF((N141-E141-O141)&gt;0,(N141-E141-O141),0),IF((D141+N141-O141)&gt;0,(D141+N141-O141),0)),2)</f>
        <v>7339.41</v>
      </c>
      <c r="Q141" s="14" t="n">
        <f aca="false">ROUND(IF(E141=0,IF((D141+N141-O141)&lt;0,ABS(D141+N141-O141),0),IF((N141-E141-O141)&lt;0,ABS(N141-E141-O141),0)),2)</f>
        <v>0</v>
      </c>
    </row>
    <row r="142" customFormat="false" ht="15" hidden="false" customHeight="true" outlineLevel="0" collapsed="false">
      <c r="A142" s="12" t="s">
        <v>422</v>
      </c>
      <c r="B142" s="12" t="str">
        <f aca="false">лютий!B142</f>
        <v>Пімонова М.В.</v>
      </c>
      <c r="C142" s="12" t="s">
        <v>424</v>
      </c>
      <c r="D142" s="14" t="n">
        <f aca="false">лютий!P142</f>
        <v>8680.17</v>
      </c>
      <c r="E142" s="14" t="n">
        <f aca="false">лютий!Q142</f>
        <v>0</v>
      </c>
      <c r="F142" s="13" t="n">
        <f aca="false">лютий!F142</f>
        <v>0</v>
      </c>
      <c r="G142" s="13" t="n">
        <f aca="false">лютий!G142</f>
        <v>49.47</v>
      </c>
      <c r="H142" s="13" t="n">
        <f aca="false">лютий!H142</f>
        <v>0</v>
      </c>
      <c r="I142" s="13" t="n">
        <f aca="false">лютий!I142</f>
        <v>4.1</v>
      </c>
      <c r="J142" s="14" t="n">
        <f aca="false">ROUND(G142*I142,2)</f>
        <v>202.83</v>
      </c>
      <c r="K142" s="14"/>
      <c r="L142" s="14"/>
      <c r="M142" s="14"/>
      <c r="N142" s="14" t="n">
        <f aca="false">ROUND((G142*I142)-K142-L142-M142,2)</f>
        <v>202.83</v>
      </c>
      <c r="O142" s="14"/>
      <c r="P142" s="14" t="n">
        <f aca="false">ROUND(IF(D142=0,IF((N142-E142-O142)&gt;0,(N142-E142-O142),0),IF((D142+N142-O142)&gt;0,(D142+N142-O142),0)),2)</f>
        <v>8883</v>
      </c>
      <c r="Q142" s="14" t="n">
        <f aca="false">ROUND(IF(E142=0,IF((D142+N142-O142)&lt;0,ABS(D142+N142-O142),0),IF((N142-E142-O142)&lt;0,ABS(N142-E142-O142),0)),2)</f>
        <v>0</v>
      </c>
    </row>
    <row r="143" customFormat="false" ht="15" hidden="false" customHeight="true" outlineLevel="0" collapsed="false">
      <c r="A143" s="12" t="s">
        <v>425</v>
      </c>
      <c r="B143" s="12" t="str">
        <f aca="false">лютий!B143</f>
        <v>Осипенко В.В.</v>
      </c>
      <c r="C143" s="12" t="s">
        <v>427</v>
      </c>
      <c r="D143" s="14" t="n">
        <f aca="false">лютий!P143</f>
        <v>11303.33</v>
      </c>
      <c r="E143" s="14" t="n">
        <f aca="false">лютий!Q143</f>
        <v>0</v>
      </c>
      <c r="F143" s="13" t="n">
        <f aca="false">лютий!F143</f>
        <v>0</v>
      </c>
      <c r="G143" s="13" t="n">
        <f aca="false">лютий!G143</f>
        <v>65.65</v>
      </c>
      <c r="H143" s="13" t="n">
        <f aca="false">лютий!H143</f>
        <v>0</v>
      </c>
      <c r="I143" s="13" t="n">
        <f aca="false">лютий!I143</f>
        <v>4.1</v>
      </c>
      <c r="J143" s="14" t="n">
        <f aca="false">ROUND(G143*I143,2)</f>
        <v>269.17</v>
      </c>
      <c r="K143" s="14"/>
      <c r="L143" s="14"/>
      <c r="M143" s="14"/>
      <c r="N143" s="14" t="n">
        <f aca="false">ROUND((G143*I143)-K143-L143-M143,2)</f>
        <v>269.17</v>
      </c>
      <c r="O143" s="14"/>
      <c r="P143" s="14" t="n">
        <f aca="false">ROUND(IF(D143=0,IF((N143-E143-O143)&gt;0,(N143-E143-O143),0),IF((D143+N143-O143)&gt;0,(D143+N143-O143),0)),2)</f>
        <v>11572.5</v>
      </c>
      <c r="Q143" s="14" t="n">
        <f aca="false">ROUND(IF(E143=0,IF((D143+N143-O143)&lt;0,ABS(D143+N143-O143),0),IF((N143-E143-O143)&lt;0,ABS(N143-E143-O143),0)),2)</f>
        <v>0</v>
      </c>
    </row>
    <row r="144" customFormat="false" ht="15" hidden="false" customHeight="true" outlineLevel="0" collapsed="false">
      <c r="A144" s="12" t="s">
        <v>428</v>
      </c>
      <c r="B144" s="12" t="str">
        <f aca="false">лютий!B144</f>
        <v>Друзь О.О.</v>
      </c>
      <c r="C144" s="12" t="s">
        <v>430</v>
      </c>
      <c r="D144" s="14" t="n">
        <f aca="false">лютий!P144</f>
        <v>11456.77</v>
      </c>
      <c r="E144" s="14" t="n">
        <f aca="false">лютий!Q144</f>
        <v>0</v>
      </c>
      <c r="F144" s="13" t="n">
        <f aca="false">лютий!F144</f>
        <v>0</v>
      </c>
      <c r="G144" s="13" t="n">
        <f aca="false">лютий!G144</f>
        <v>62.1</v>
      </c>
      <c r="H144" s="13" t="n">
        <f aca="false">лютий!H144</f>
        <v>0</v>
      </c>
      <c r="I144" s="13" t="n">
        <f aca="false">лютий!I144</f>
        <v>4.1</v>
      </c>
      <c r="J144" s="14" t="n">
        <f aca="false">ROUND(G144*I144,2)</f>
        <v>254.61</v>
      </c>
      <c r="K144" s="14"/>
      <c r="L144" s="14"/>
      <c r="M144" s="14"/>
      <c r="N144" s="14" t="n">
        <f aca="false">ROUND((G144*I144)-K144-L144-M144,2)</f>
        <v>254.61</v>
      </c>
      <c r="O144" s="14"/>
      <c r="P144" s="14" t="n">
        <f aca="false">ROUND(IF(D144=0,IF((N144-E144-O144)&gt;0,(N144-E144-O144),0),IF((D144+N144-O144)&gt;0,(D144+N144-O144),0)),2)</f>
        <v>11711.38</v>
      </c>
      <c r="Q144" s="14" t="n">
        <f aca="false">ROUND(IF(E144=0,IF((D144+N144-O144)&lt;0,ABS(D144+N144-O144),0),IF((N144-E144-O144)&lt;0,ABS(N144-E144-O144),0)),2)</f>
        <v>0</v>
      </c>
    </row>
    <row r="145" customFormat="false" ht="15" hidden="false" customHeight="true" outlineLevel="0" collapsed="false">
      <c r="A145" s="12" t="s">
        <v>431</v>
      </c>
      <c r="B145" s="12" t="str">
        <f aca="false">лютий!B145</f>
        <v>Вовченко Р.І.</v>
      </c>
      <c r="C145" s="12" t="s">
        <v>433</v>
      </c>
      <c r="D145" s="14" t="n">
        <f aca="false">лютий!P145</f>
        <v>3827.36</v>
      </c>
      <c r="E145" s="14" t="n">
        <f aca="false">лютий!Q145</f>
        <v>0</v>
      </c>
      <c r="F145" s="13" t="n">
        <f aca="false">лютий!F145</f>
        <v>0</v>
      </c>
      <c r="G145" s="13" t="n">
        <f aca="false">лютий!G145</f>
        <v>35.2</v>
      </c>
      <c r="H145" s="13" t="n">
        <f aca="false">лютий!H145</f>
        <v>0</v>
      </c>
      <c r="I145" s="13" t="n">
        <f aca="false">лютий!I145</f>
        <v>4.1</v>
      </c>
      <c r="J145" s="14" t="n">
        <f aca="false">ROUND(G145*I145,2)</f>
        <v>144.32</v>
      </c>
      <c r="K145" s="14"/>
      <c r="L145" s="14"/>
      <c r="M145" s="14"/>
      <c r="N145" s="14" t="n">
        <f aca="false">ROUND((G145*I145)-K145-L145-M145,2)</f>
        <v>144.32</v>
      </c>
      <c r="O145" s="14"/>
      <c r="P145" s="14" t="n">
        <f aca="false">ROUND(IF(D145=0,IF((N145-E145-O145)&gt;0,(N145-E145-O145),0),IF((D145+N145-O145)&gt;0,(D145+N145-O145),0)),2)</f>
        <v>3971.68</v>
      </c>
      <c r="Q145" s="14" t="n">
        <f aca="false">ROUND(IF(E145=0,IF((D145+N145-O145)&lt;0,ABS(D145+N145-O145),0),IF((N145-E145-O145)&lt;0,ABS(N145-E145-O145),0)),2)</f>
        <v>0</v>
      </c>
    </row>
    <row r="146" customFormat="false" ht="15" hidden="false" customHeight="true" outlineLevel="0" collapsed="false">
      <c r="A146" s="12" t="s">
        <v>434</v>
      </c>
      <c r="B146" s="12" t="str">
        <f aca="false">лютий!B146</f>
        <v>Плакун Д.В.</v>
      </c>
      <c r="C146" s="12" t="s">
        <v>436</v>
      </c>
      <c r="D146" s="14" t="n">
        <f aca="false">лютий!P146</f>
        <v>818.36</v>
      </c>
      <c r="E146" s="14" t="n">
        <f aca="false">лютий!Q146</f>
        <v>0</v>
      </c>
      <c r="F146" s="13" t="n">
        <f aca="false">лютий!F146</f>
        <v>0</v>
      </c>
      <c r="G146" s="13" t="n">
        <f aca="false">лютий!G146</f>
        <v>49.9</v>
      </c>
      <c r="H146" s="13" t="n">
        <f aca="false">лютий!H146</f>
        <v>0</v>
      </c>
      <c r="I146" s="13" t="n">
        <f aca="false">лютий!I146</f>
        <v>4.1</v>
      </c>
      <c r="J146" s="14" t="n">
        <f aca="false">ROUND(G146*I146,2)</f>
        <v>204.59</v>
      </c>
      <c r="K146" s="14"/>
      <c r="L146" s="14"/>
      <c r="M146" s="14"/>
      <c r="N146" s="14" t="n">
        <f aca="false">ROUND((G146*I146)-K146-L146-M146,2)</f>
        <v>204.59</v>
      </c>
      <c r="O146" s="14"/>
      <c r="P146" s="14" t="n">
        <f aca="false">ROUND(IF(D146=0,IF((N146-E146-O146)&gt;0,(N146-E146-O146),0),IF((D146+N146-O146)&gt;0,(D146+N146-O146),0)),2)</f>
        <v>1022.95</v>
      </c>
      <c r="Q146" s="14" t="n">
        <f aca="false">ROUND(IF(E146=0,IF((D146+N146-O146)&lt;0,ABS(D146+N146-O146),0),IF((N146-E146-O146)&lt;0,ABS(N146-E146-O146),0)),2)</f>
        <v>0</v>
      </c>
    </row>
    <row r="147" customFormat="false" ht="15" hidden="false" customHeight="true" outlineLevel="0" collapsed="false">
      <c r="A147" s="12" t="s">
        <v>437</v>
      </c>
      <c r="B147" s="12" t="str">
        <f aca="false">лютий!B147</f>
        <v>Гаврилова Ю.О.</v>
      </c>
      <c r="C147" s="12" t="s">
        <v>439</v>
      </c>
      <c r="D147" s="14" t="n">
        <f aca="false">лютий!P147</f>
        <v>5175.3</v>
      </c>
      <c r="E147" s="14" t="n">
        <f aca="false">лютий!Q147</f>
        <v>0</v>
      </c>
      <c r="F147" s="13" t="n">
        <f aca="false">лютий!F147</f>
        <v>0</v>
      </c>
      <c r="G147" s="13" t="n">
        <f aca="false">лютий!G147</f>
        <v>65.8</v>
      </c>
      <c r="H147" s="13" t="n">
        <f aca="false">лютий!H147</f>
        <v>0</v>
      </c>
      <c r="I147" s="13" t="n">
        <f aca="false">лютий!I147</f>
        <v>4.1</v>
      </c>
      <c r="J147" s="14" t="n">
        <f aca="false">ROUND(G147*I147,2)</f>
        <v>269.78</v>
      </c>
      <c r="K147" s="14"/>
      <c r="L147" s="14"/>
      <c r="M147" s="14"/>
      <c r="N147" s="14" t="n">
        <f aca="false">ROUND((G147*I147)-K147-L147-M147,2)</f>
        <v>269.78</v>
      </c>
      <c r="O147" s="14"/>
      <c r="P147" s="14" t="n">
        <f aca="false">ROUND(IF(D147=0,IF((N147-E147-O147)&gt;0,(N147-E147-O147),0),IF((D147+N147-O147)&gt;0,(D147+N147-O147),0)),2)</f>
        <v>5445.08</v>
      </c>
      <c r="Q147" s="14" t="n">
        <f aca="false">ROUND(IF(E147=0,IF((D147+N147-O147)&lt;0,ABS(D147+N147-O147),0),IF((N147-E147-O147)&lt;0,ABS(N147-E147-O147),0)),2)</f>
        <v>0</v>
      </c>
    </row>
    <row r="148" customFormat="false" ht="15" hidden="false" customHeight="true" outlineLevel="0" collapsed="false">
      <c r="A148" s="12" t="s">
        <v>440</v>
      </c>
      <c r="B148" s="12" t="str">
        <f aca="false">лютий!B148</f>
        <v>Корзун Г.М.</v>
      </c>
      <c r="C148" s="12" t="s">
        <v>442</v>
      </c>
      <c r="D148" s="14" t="n">
        <f aca="false">лютий!P148</f>
        <v>1775.08</v>
      </c>
      <c r="E148" s="14" t="n">
        <f aca="false">лютий!Q148</f>
        <v>0</v>
      </c>
      <c r="F148" s="13" t="n">
        <f aca="false">лютий!F148</f>
        <v>0</v>
      </c>
      <c r="G148" s="13" t="n">
        <f aca="false">лютий!G148</f>
        <v>63.2</v>
      </c>
      <c r="H148" s="13" t="n">
        <f aca="false">лютий!H148</f>
        <v>0</v>
      </c>
      <c r="I148" s="13" t="n">
        <f aca="false">лютий!I148</f>
        <v>4.1</v>
      </c>
      <c r="J148" s="14" t="n">
        <f aca="false">ROUND(G148*I148,2)</f>
        <v>259.12</v>
      </c>
      <c r="K148" s="14"/>
      <c r="L148" s="14"/>
      <c r="M148" s="14"/>
      <c r="N148" s="14" t="n">
        <f aca="false">ROUND((G148*I148)-K148-L148-M148,2)</f>
        <v>259.12</v>
      </c>
      <c r="O148" s="14"/>
      <c r="P148" s="14" t="n">
        <f aca="false">ROUND(IF(D148=0,IF((N148-E148-O148)&gt;0,(N148-E148-O148),0),IF((D148+N148-O148)&gt;0,(D148+N148-O148),0)),2)</f>
        <v>2034.2</v>
      </c>
      <c r="Q148" s="14" t="n">
        <f aca="false">ROUND(IF(E148=0,IF((D148+N148-O148)&lt;0,ABS(D148+N148-O148),0),IF((N148-E148-O148)&lt;0,ABS(N148-E148-O148),0)),2)</f>
        <v>0</v>
      </c>
    </row>
    <row r="149" customFormat="false" ht="15" hidden="false" customHeight="true" outlineLevel="0" collapsed="false">
      <c r="A149" s="12" t="s">
        <v>443</v>
      </c>
      <c r="B149" s="12" t="str">
        <f aca="false">лютий!B149</f>
        <v>Бондаренко Л.Л.</v>
      </c>
      <c r="C149" s="12" t="s">
        <v>445</v>
      </c>
      <c r="D149" s="14" t="n">
        <f aca="false">лютий!P149</f>
        <v>4292.17</v>
      </c>
      <c r="E149" s="14" t="n">
        <f aca="false">лютий!Q149</f>
        <v>0</v>
      </c>
      <c r="F149" s="13" t="n">
        <f aca="false">лютий!F149</f>
        <v>0</v>
      </c>
      <c r="G149" s="13" t="n">
        <f aca="false">лютий!G149</f>
        <v>34.9</v>
      </c>
      <c r="H149" s="13" t="n">
        <f aca="false">лютий!H149</f>
        <v>0</v>
      </c>
      <c r="I149" s="13" t="n">
        <f aca="false">лютий!I149</f>
        <v>4.1</v>
      </c>
      <c r="J149" s="14" t="n">
        <f aca="false">ROUND(G149*I149,2)</f>
        <v>143.09</v>
      </c>
      <c r="K149" s="14"/>
      <c r="L149" s="14"/>
      <c r="M149" s="14"/>
      <c r="N149" s="14" t="n">
        <f aca="false">ROUND((G149*I149)-K149-L149-M149,2)</f>
        <v>143.09</v>
      </c>
      <c r="O149" s="14"/>
      <c r="P149" s="14" t="n">
        <f aca="false">ROUND(IF(D149=0,IF((N149-E149-O149)&gt;0,(N149-E149-O149),0),IF((D149+N149-O149)&gt;0,(D149+N149-O149),0)),2)</f>
        <v>4435.26</v>
      </c>
      <c r="Q149" s="14" t="n">
        <f aca="false">ROUND(IF(E149=0,IF((D149+N149-O149)&lt;0,ABS(D149+N149-O149),0),IF((N149-E149-O149)&lt;0,ABS(N149-E149-O149),0)),2)</f>
        <v>0</v>
      </c>
    </row>
    <row r="150" customFormat="false" ht="15" hidden="false" customHeight="true" outlineLevel="0" collapsed="false">
      <c r="A150" s="12" t="s">
        <v>446</v>
      </c>
      <c r="B150" s="12" t="str">
        <f aca="false">лютий!B150</f>
        <v>Капелюш Н.А.</v>
      </c>
      <c r="C150" s="12" t="s">
        <v>448</v>
      </c>
      <c r="D150" s="14" t="n">
        <f aca="false">лютий!P150</f>
        <v>9918.72</v>
      </c>
      <c r="E150" s="14" t="n">
        <f aca="false">лютий!Q150</f>
        <v>0</v>
      </c>
      <c r="F150" s="13" t="n">
        <f aca="false">лютий!F150</f>
        <v>0</v>
      </c>
      <c r="G150" s="13" t="n">
        <f aca="false">лютий!G150</f>
        <v>50.4</v>
      </c>
      <c r="H150" s="13" t="n">
        <f aca="false">лютий!H150</f>
        <v>0</v>
      </c>
      <c r="I150" s="13" t="n">
        <f aca="false">лютий!I150</f>
        <v>4.1</v>
      </c>
      <c r="J150" s="14" t="n">
        <f aca="false">ROUND(G150*I150,2)</f>
        <v>206.64</v>
      </c>
      <c r="K150" s="14"/>
      <c r="L150" s="14"/>
      <c r="M150" s="14"/>
      <c r="N150" s="14" t="n">
        <f aca="false">ROUND((G150*I150)-K150-L150-M150,2)</f>
        <v>206.64</v>
      </c>
      <c r="O150" s="14"/>
      <c r="P150" s="14" t="n">
        <f aca="false">ROUND(IF(D150=0,IF((N150-E150-O150)&gt;0,(N150-E150-O150),0),IF((D150+N150-O150)&gt;0,(D150+N150-O150),0)),2)</f>
        <v>10125.36</v>
      </c>
      <c r="Q150" s="14" t="n">
        <f aca="false">ROUND(IF(E150=0,IF((D150+N150-O150)&lt;0,ABS(D150+N150-O150),0),IF((N150-E150-O150)&lt;0,ABS(N150-E150-O150),0)),2)</f>
        <v>0</v>
      </c>
    </row>
    <row r="151" customFormat="false" ht="15" hidden="false" customHeight="true" outlineLevel="0" collapsed="false">
      <c r="A151" s="12" t="s">
        <v>449</v>
      </c>
      <c r="B151" s="12" t="str">
        <f aca="false">лютий!B151</f>
        <v>Кістрінь Л.П.</v>
      </c>
      <c r="C151" s="12" t="s">
        <v>451</v>
      </c>
      <c r="D151" s="14" t="n">
        <f aca="false">лютий!P151</f>
        <v>13153.41</v>
      </c>
      <c r="E151" s="14" t="n">
        <f aca="false">лютий!Q151</f>
        <v>0</v>
      </c>
      <c r="F151" s="13" t="n">
        <f aca="false">лютий!F151</f>
        <v>0</v>
      </c>
      <c r="G151" s="13" t="n">
        <f aca="false">лютий!G151</f>
        <v>65.2</v>
      </c>
      <c r="H151" s="13" t="n">
        <f aca="false">лютий!H151</f>
        <v>0</v>
      </c>
      <c r="I151" s="13" t="n">
        <f aca="false">лютий!I151</f>
        <v>4.1</v>
      </c>
      <c r="J151" s="14" t="n">
        <f aca="false">ROUND(G151*I151,2)</f>
        <v>267.32</v>
      </c>
      <c r="K151" s="14"/>
      <c r="L151" s="14"/>
      <c r="M151" s="14"/>
      <c r="N151" s="14" t="n">
        <f aca="false">ROUND((G151*I151)-K151-L151-M151,2)</f>
        <v>267.32</v>
      </c>
      <c r="O151" s="14"/>
      <c r="P151" s="14" t="n">
        <f aca="false">ROUND(IF(D151=0,IF((N151-E151-O151)&gt;0,(N151-E151-O151),0),IF((D151+N151-O151)&gt;0,(D151+N151-O151),0)),2)</f>
        <v>13420.73</v>
      </c>
      <c r="Q151" s="14" t="n">
        <f aca="false">ROUND(IF(E151=0,IF((D151+N151-O151)&lt;0,ABS(D151+N151-O151),0),IF((N151-E151-O151)&lt;0,ABS(N151-E151-O151),0)),2)</f>
        <v>0</v>
      </c>
    </row>
    <row r="152" customFormat="false" ht="15" hidden="false" customHeight="true" outlineLevel="0" collapsed="false">
      <c r="A152" s="12" t="s">
        <v>452</v>
      </c>
      <c r="B152" s="12" t="str">
        <f aca="false">лютий!B152</f>
        <v>Козьміна І.В.</v>
      </c>
      <c r="C152" s="12" t="s">
        <v>454</v>
      </c>
      <c r="D152" s="14" t="n">
        <f aca="false">лютий!P152</f>
        <v>2382.66</v>
      </c>
      <c r="E152" s="14" t="n">
        <f aca="false">лютий!Q152</f>
        <v>0</v>
      </c>
      <c r="F152" s="13" t="n">
        <f aca="false">лютий!F152</f>
        <v>0</v>
      </c>
      <c r="G152" s="13" t="n">
        <f aca="false">лютий!G152</f>
        <v>64.57</v>
      </c>
      <c r="H152" s="13" t="n">
        <f aca="false">лютий!H152</f>
        <v>0</v>
      </c>
      <c r="I152" s="13" t="n">
        <f aca="false">лютий!I152</f>
        <v>4.1</v>
      </c>
      <c r="J152" s="14" t="n">
        <f aca="false">ROUND(G152*I152,2)</f>
        <v>264.74</v>
      </c>
      <c r="K152" s="14"/>
      <c r="L152" s="14"/>
      <c r="M152" s="14"/>
      <c r="N152" s="14" t="n">
        <f aca="false">ROUND((G152*I152)-K152-L152-M152,2)</f>
        <v>264.74</v>
      </c>
      <c r="O152" s="14"/>
      <c r="P152" s="14" t="n">
        <f aca="false">ROUND(IF(D152=0,IF((N152-E152-O152)&gt;0,(N152-E152-O152),0),IF((D152+N152-O152)&gt;0,(D152+N152-O152),0)),2)</f>
        <v>2647.4</v>
      </c>
      <c r="Q152" s="14" t="n">
        <f aca="false">ROUND(IF(E152=0,IF((D152+N152-O152)&lt;0,ABS(D152+N152-O152),0),IF((N152-E152-O152)&lt;0,ABS(N152-E152-O152),0)),2)</f>
        <v>0</v>
      </c>
    </row>
    <row r="153" customFormat="false" ht="15" hidden="false" customHeight="true" outlineLevel="0" collapsed="false">
      <c r="A153" s="12" t="s">
        <v>455</v>
      </c>
      <c r="B153" s="12" t="str">
        <f aca="false">лютий!B153</f>
        <v>Чала С.С.</v>
      </c>
      <c r="C153" s="12" t="s">
        <v>457</v>
      </c>
      <c r="D153" s="14" t="n">
        <f aca="false">лютий!P153</f>
        <v>11439.55</v>
      </c>
      <c r="E153" s="14" t="n">
        <f aca="false">лютий!Q153</f>
        <v>0</v>
      </c>
      <c r="F153" s="13" t="n">
        <f aca="false">лютий!F153</f>
        <v>0</v>
      </c>
      <c r="G153" s="13" t="n">
        <f aca="false">лютий!G153</f>
        <v>48.7</v>
      </c>
      <c r="H153" s="13" t="n">
        <f aca="false">лютий!H153</f>
        <v>0</v>
      </c>
      <c r="I153" s="13" t="n">
        <f aca="false">лютий!I153</f>
        <v>4.1</v>
      </c>
      <c r="J153" s="14" t="n">
        <f aca="false">ROUND(G153*I153,2)</f>
        <v>199.67</v>
      </c>
      <c r="K153" s="14"/>
      <c r="L153" s="14"/>
      <c r="M153" s="14"/>
      <c r="N153" s="14" t="n">
        <f aca="false">ROUND((G153*I153)-K153-L153-M153,2)</f>
        <v>199.67</v>
      </c>
      <c r="O153" s="14"/>
      <c r="P153" s="14" t="n">
        <f aca="false">ROUND(IF(D153=0,IF((N153-E153-O153)&gt;0,(N153-E153-O153),0),IF((D153+N153-O153)&gt;0,(D153+N153-O153),0)),2)</f>
        <v>11639.22</v>
      </c>
      <c r="Q153" s="14" t="n">
        <f aca="false">ROUND(IF(E153=0,IF((D153+N153-O153)&lt;0,ABS(D153+N153-O153),0),IF((N153-E153-O153)&lt;0,ABS(N153-E153-O153),0)),2)</f>
        <v>0</v>
      </c>
    </row>
    <row r="154" customFormat="false" ht="15" hidden="false" customHeight="true" outlineLevel="0" collapsed="false">
      <c r="A154" s="12" t="s">
        <v>458</v>
      </c>
      <c r="B154" s="12" t="str">
        <f aca="false">лютий!B154</f>
        <v>Свєтайлова І.М.</v>
      </c>
      <c r="C154" s="12" t="s">
        <v>460</v>
      </c>
      <c r="D154" s="14" t="n">
        <f aca="false">лютий!P154</f>
        <v>1236.59</v>
      </c>
      <c r="E154" s="14" t="n">
        <f aca="false">лютий!Q154</f>
        <v>0</v>
      </c>
      <c r="F154" s="13" t="n">
        <f aca="false">лютий!F154</f>
        <v>0</v>
      </c>
      <c r="G154" s="13" t="n">
        <f aca="false">лютий!G154</f>
        <v>35.1</v>
      </c>
      <c r="H154" s="13" t="n">
        <f aca="false">лютий!H154</f>
        <v>0</v>
      </c>
      <c r="I154" s="13" t="n">
        <f aca="false">лютий!I154</f>
        <v>4.1</v>
      </c>
      <c r="J154" s="14" t="n">
        <f aca="false">ROUND(G154*I154,2)</f>
        <v>143.91</v>
      </c>
      <c r="K154" s="14"/>
      <c r="L154" s="14"/>
      <c r="M154" s="14"/>
      <c r="N154" s="14" t="n">
        <f aca="false">ROUND((G154*I154)-K154-L154-M154,2)</f>
        <v>143.91</v>
      </c>
      <c r="O154" s="14"/>
      <c r="P154" s="14" t="n">
        <f aca="false">ROUND(IF(D154=0,IF((N154-E154-O154)&gt;0,(N154-E154-O154),0),IF((D154+N154-O154)&gt;0,(D154+N154-O154),0)),2)</f>
        <v>1380.5</v>
      </c>
      <c r="Q154" s="14" t="n">
        <f aca="false">ROUND(IF(E154=0,IF((D154+N154-O154)&lt;0,ABS(D154+N154-O154),0),IF((N154-E154-O154)&lt;0,ABS(N154-E154-O154),0)),2)</f>
        <v>0</v>
      </c>
    </row>
    <row r="155" customFormat="false" ht="15" hidden="false" customHeight="true" outlineLevel="0" collapsed="false">
      <c r="A155" s="12" t="s">
        <v>461</v>
      </c>
      <c r="B155" s="12" t="str">
        <f aca="false">лютий!B155</f>
        <v>Неделько Д.І.</v>
      </c>
      <c r="C155" s="12" t="s">
        <v>463</v>
      </c>
      <c r="D155" s="14" t="n">
        <f aca="false">лютий!P155</f>
        <v>7028.48</v>
      </c>
      <c r="E155" s="14" t="n">
        <f aca="false">лютий!Q155</f>
        <v>0</v>
      </c>
      <c r="F155" s="13" t="n">
        <f aca="false">лютий!F155</f>
        <v>0</v>
      </c>
      <c r="G155" s="13" t="n">
        <f aca="false">лютий!G155</f>
        <v>53.57</v>
      </c>
      <c r="H155" s="13" t="n">
        <f aca="false">лютий!H155</f>
        <v>0</v>
      </c>
      <c r="I155" s="13" t="n">
        <f aca="false">лютий!I155</f>
        <v>4.1</v>
      </c>
      <c r="J155" s="14" t="n">
        <f aca="false">ROUND(G155*I155,2)</f>
        <v>219.64</v>
      </c>
      <c r="K155" s="14"/>
      <c r="L155" s="14"/>
      <c r="M155" s="14"/>
      <c r="N155" s="14" t="n">
        <f aca="false">ROUND((G155*I155)-K155-L155-M155,2)</f>
        <v>219.64</v>
      </c>
      <c r="O155" s="14"/>
      <c r="P155" s="14" t="n">
        <f aca="false">ROUND(IF(D155=0,IF((N155-E155-O155)&gt;0,(N155-E155-O155),0),IF((D155+N155-O155)&gt;0,(D155+N155-O155),0)),2)</f>
        <v>7248.12</v>
      </c>
      <c r="Q155" s="14" t="n">
        <f aca="false">ROUND(IF(E155=0,IF((D155+N155-O155)&lt;0,ABS(D155+N155-O155),0),IF((N155-E155-O155)&lt;0,ABS(N155-E155-O155),0)),2)</f>
        <v>0</v>
      </c>
    </row>
    <row r="156" customFormat="false" ht="15" hidden="false" customHeight="true" outlineLevel="0" collapsed="false">
      <c r="A156" s="12" t="s">
        <v>464</v>
      </c>
      <c r="B156" s="12" t="str">
        <f aca="false">лютий!B156</f>
        <v>Самойленко Л.К.</v>
      </c>
      <c r="C156" s="12" t="s">
        <v>466</v>
      </c>
      <c r="D156" s="14" t="n">
        <f aca="false">лютий!P156</f>
        <v>0</v>
      </c>
      <c r="E156" s="14" t="n">
        <f aca="false">лютий!Q156</f>
        <v>1819.64</v>
      </c>
      <c r="F156" s="13" t="n">
        <f aca="false">лютий!F156</f>
        <v>0</v>
      </c>
      <c r="G156" s="13" t="n">
        <f aca="false">лютий!G156</f>
        <v>65.7</v>
      </c>
      <c r="H156" s="13" t="n">
        <f aca="false">лютий!H156</f>
        <v>0</v>
      </c>
      <c r="I156" s="13" t="n">
        <f aca="false">лютий!I156</f>
        <v>4.1</v>
      </c>
      <c r="J156" s="14" t="n">
        <f aca="false">ROUND(G156*I156,2)</f>
        <v>269.37</v>
      </c>
      <c r="K156" s="14"/>
      <c r="L156" s="14"/>
      <c r="M156" s="14"/>
      <c r="N156" s="14" t="n">
        <f aca="false">ROUND((G156*I156)-K156-L156-M156,2)</f>
        <v>269.37</v>
      </c>
      <c r="O156" s="14"/>
      <c r="P156" s="14" t="n">
        <f aca="false">ROUND(IF(D156=0,IF((N156-E156-O156)&gt;0,(N156-E156-O156),0),IF((D156+N156-O156)&gt;0,(D156+N156-O156),0)),2)</f>
        <v>0</v>
      </c>
      <c r="Q156" s="14" t="n">
        <f aca="false">ROUND(IF(E156=0,IF((D156+N156-O156)&lt;0,ABS(D156+N156-O156),0),IF((N156-E156-O156)&lt;0,ABS(N156-E156-O156),0)),2)</f>
        <v>1550.27</v>
      </c>
    </row>
    <row r="157" customFormat="false" ht="15" hidden="false" customHeight="true" outlineLevel="0" collapsed="false">
      <c r="A157" s="12" t="s">
        <v>467</v>
      </c>
      <c r="B157" s="12" t="str">
        <f aca="false">лютий!B157</f>
        <v>Павлов Ю.В.</v>
      </c>
      <c r="C157" s="12" t="s">
        <v>469</v>
      </c>
      <c r="D157" s="14" t="n">
        <f aca="false">лютий!P157</f>
        <v>2833.58</v>
      </c>
      <c r="E157" s="14" t="n">
        <f aca="false">лютий!Q157</f>
        <v>0</v>
      </c>
      <c r="F157" s="13" t="n">
        <f aca="false">лютий!F157</f>
        <v>0</v>
      </c>
      <c r="G157" s="13" t="n">
        <f aca="false">лютий!G157</f>
        <v>49.78</v>
      </c>
      <c r="H157" s="13" t="n">
        <f aca="false">лютий!H157</f>
        <v>0</v>
      </c>
      <c r="I157" s="13" t="n">
        <f aca="false">лютий!I157</f>
        <v>4.1</v>
      </c>
      <c r="J157" s="14" t="n">
        <f aca="false">ROUND(G157*I157,2)</f>
        <v>204.1</v>
      </c>
      <c r="K157" s="14"/>
      <c r="L157" s="14"/>
      <c r="M157" s="14"/>
      <c r="N157" s="14" t="n">
        <f aca="false">ROUND((G157*I157)-K157-L157-M157,2)</f>
        <v>204.1</v>
      </c>
      <c r="O157" s="14"/>
      <c r="P157" s="14" t="n">
        <f aca="false">ROUND(IF(D157=0,IF((N157-E157-O157)&gt;0,(N157-E157-O157),0),IF((D157+N157-O157)&gt;0,(D157+N157-O157),0)),2)</f>
        <v>3037.68</v>
      </c>
      <c r="Q157" s="14" t="n">
        <f aca="false">ROUND(IF(E157=0,IF((D157+N157-O157)&lt;0,ABS(D157+N157-O157),0),IF((N157-E157-O157)&lt;0,ABS(N157-E157-O157),0)),2)</f>
        <v>0</v>
      </c>
    </row>
    <row r="158" customFormat="false" ht="15" hidden="false" customHeight="true" outlineLevel="0" collapsed="false">
      <c r="A158" s="12" t="s">
        <v>470</v>
      </c>
      <c r="B158" s="12" t="str">
        <f aca="false">лютий!B158</f>
        <v>Коваленко Т.М.</v>
      </c>
      <c r="C158" s="12" t="s">
        <v>472</v>
      </c>
      <c r="D158" s="14" t="n">
        <f aca="false">лютий!P158</f>
        <v>574</v>
      </c>
      <c r="E158" s="14" t="n">
        <f aca="false">лютий!Q158</f>
        <v>0</v>
      </c>
      <c r="F158" s="13" t="n">
        <f aca="false">лютий!F158</f>
        <v>0</v>
      </c>
      <c r="G158" s="13" t="n">
        <f aca="false">лютий!G158</f>
        <v>35</v>
      </c>
      <c r="H158" s="13" t="n">
        <f aca="false">лютий!H158</f>
        <v>0</v>
      </c>
      <c r="I158" s="13" t="n">
        <f aca="false">лютий!I158</f>
        <v>4.1</v>
      </c>
      <c r="J158" s="14" t="n">
        <f aca="false">ROUND(G158*I158,2)</f>
        <v>143.5</v>
      </c>
      <c r="K158" s="14"/>
      <c r="L158" s="14"/>
      <c r="M158" s="14"/>
      <c r="N158" s="14" t="n">
        <f aca="false">ROUND((G158*I158)-K158-L158-M158,2)</f>
        <v>143.5</v>
      </c>
      <c r="O158" s="14"/>
      <c r="P158" s="14" t="n">
        <f aca="false">ROUND(IF(D158=0,IF((N158-E158-O158)&gt;0,(N158-E158-O158),0),IF((D158+N158-O158)&gt;0,(D158+N158-O158),0)),2)</f>
        <v>717.5</v>
      </c>
      <c r="Q158" s="14" t="n">
        <f aca="false">ROUND(IF(E158=0,IF((D158+N158-O158)&lt;0,ABS(D158+N158-O158),0),IF((N158-E158-O158)&lt;0,ABS(N158-E158-O158),0)),2)</f>
        <v>0</v>
      </c>
    </row>
    <row r="159" customFormat="false" ht="15" hidden="false" customHeight="true" outlineLevel="0" collapsed="false">
      <c r="A159" s="12" t="s">
        <v>473</v>
      </c>
      <c r="B159" s="12" t="str">
        <f aca="false">лютий!B159</f>
        <v>Рощенко Л.Б.</v>
      </c>
      <c r="C159" s="12" t="s">
        <v>475</v>
      </c>
      <c r="D159" s="14" t="n">
        <f aca="false">лютий!P159</f>
        <v>10404.03</v>
      </c>
      <c r="E159" s="14" t="n">
        <f aca="false">лютий!Q159</f>
        <v>0</v>
      </c>
      <c r="F159" s="13" t="n">
        <f aca="false">лютий!F159</f>
        <v>0</v>
      </c>
      <c r="G159" s="13" t="n">
        <f aca="false">лютий!G159</f>
        <v>62.08</v>
      </c>
      <c r="H159" s="13" t="n">
        <f aca="false">лютий!H159</f>
        <v>0</v>
      </c>
      <c r="I159" s="13" t="n">
        <f aca="false">лютий!I159</f>
        <v>4.1</v>
      </c>
      <c r="J159" s="14" t="n">
        <f aca="false">ROUND(G159*I159,2)</f>
        <v>254.53</v>
      </c>
      <c r="K159" s="14"/>
      <c r="L159" s="14"/>
      <c r="M159" s="14"/>
      <c r="N159" s="14" t="n">
        <f aca="false">ROUND((G159*I159)-K159-L159-M159,2)</f>
        <v>254.53</v>
      </c>
      <c r="O159" s="14"/>
      <c r="P159" s="14" t="n">
        <f aca="false">ROUND(IF(D159=0,IF((N159-E159-O159)&gt;0,(N159-E159-O159),0),IF((D159+N159-O159)&gt;0,(D159+N159-O159),0)),2)</f>
        <v>10658.56</v>
      </c>
      <c r="Q159" s="14" t="n">
        <f aca="false">ROUND(IF(E159=0,IF((D159+N159-O159)&lt;0,ABS(D159+N159-O159),0),IF((N159-E159-O159)&lt;0,ABS(N159-E159-O159),0)),2)</f>
        <v>0</v>
      </c>
    </row>
    <row r="160" customFormat="false" ht="15" hidden="false" customHeight="true" outlineLevel="0" collapsed="false">
      <c r="A160" s="12" t="s">
        <v>476</v>
      </c>
      <c r="B160" s="12" t="str">
        <f aca="false">лютий!B160</f>
        <v>Галушко С.Т.</v>
      </c>
      <c r="C160" s="12" t="s">
        <v>478</v>
      </c>
      <c r="D160" s="14" t="n">
        <f aca="false">лютий!P160</f>
        <v>270.03</v>
      </c>
      <c r="E160" s="14" t="n">
        <f aca="false">лютий!Q160</f>
        <v>0</v>
      </c>
      <c r="F160" s="13" t="n">
        <f aca="false">лютий!F160</f>
        <v>0</v>
      </c>
      <c r="G160" s="13" t="n">
        <f aca="false">лютий!G160</f>
        <v>65.86</v>
      </c>
      <c r="H160" s="13" t="n">
        <f aca="false">лютий!H160</f>
        <v>0</v>
      </c>
      <c r="I160" s="13" t="n">
        <f aca="false">лютий!I160</f>
        <v>4.1</v>
      </c>
      <c r="J160" s="14" t="n">
        <f aca="false">ROUND(G160*I160,2)</f>
        <v>270.03</v>
      </c>
      <c r="K160" s="14"/>
      <c r="L160" s="14"/>
      <c r="M160" s="14"/>
      <c r="N160" s="14" t="n">
        <f aca="false">ROUND((G160*I160)-K160-L160-M160,2)</f>
        <v>270.03</v>
      </c>
      <c r="O160" s="14"/>
      <c r="P160" s="14" t="n">
        <f aca="false">ROUND(IF(D160=0,IF((N160-E160-O160)&gt;0,(N160-E160-O160),0),IF((D160+N160-O160)&gt;0,(D160+N160-O160),0)),2)</f>
        <v>540.06</v>
      </c>
      <c r="Q160" s="14" t="n">
        <f aca="false">ROUND(IF(E160=0,IF((D160+N160-O160)&lt;0,ABS(D160+N160-O160),0),IF((N160-E160-O160)&lt;0,ABS(N160-E160-O160),0)),2)</f>
        <v>0</v>
      </c>
    </row>
    <row r="161" customFormat="false" ht="15" hidden="false" customHeight="true" outlineLevel="0" collapsed="false">
      <c r="A161" s="12" t="s">
        <v>479</v>
      </c>
      <c r="B161" s="12" t="str">
        <f aca="false">лютий!B161</f>
        <v>Наумова Л.Я.</v>
      </c>
      <c r="C161" s="12" t="s">
        <v>481</v>
      </c>
      <c r="D161" s="14" t="n">
        <f aca="false">лютий!P161</f>
        <v>372</v>
      </c>
      <c r="E161" s="14" t="n">
        <f aca="false">лютий!Q161</f>
        <v>0</v>
      </c>
      <c r="F161" s="13" t="n">
        <f aca="false">лютий!F161</f>
        <v>0</v>
      </c>
      <c r="G161" s="13" t="n">
        <f aca="false">лютий!G161</f>
        <v>49.95</v>
      </c>
      <c r="H161" s="13" t="n">
        <f aca="false">лютий!H161</f>
        <v>0</v>
      </c>
      <c r="I161" s="13" t="n">
        <f aca="false">лютий!I161</f>
        <v>4.1</v>
      </c>
      <c r="J161" s="14" t="n">
        <f aca="false">ROUND(G161*I161,2)</f>
        <v>204.8</v>
      </c>
      <c r="K161" s="14"/>
      <c r="L161" s="14"/>
      <c r="M161" s="14"/>
      <c r="N161" s="14" t="n">
        <f aca="false">ROUND((G161*I161)-K161-L161-M161,2)</f>
        <v>204.8</v>
      </c>
      <c r="O161" s="14"/>
      <c r="P161" s="14" t="n">
        <f aca="false">ROUND(IF(D161=0,IF((N161-E161-O161)&gt;0,(N161-E161-O161),0),IF((D161+N161-O161)&gt;0,(D161+N161-O161),0)),2)</f>
        <v>576.8</v>
      </c>
      <c r="Q161" s="14" t="n">
        <f aca="false">ROUND(IF(E161=0,IF((D161+N161-O161)&lt;0,ABS(D161+N161-O161),0),IF((N161-E161-O161)&lt;0,ABS(N161-E161-O161),0)),2)</f>
        <v>0</v>
      </c>
    </row>
    <row r="162" customFormat="false" ht="15" hidden="false" customHeight="true" outlineLevel="0" collapsed="false">
      <c r="A162" s="12" t="s">
        <v>482</v>
      </c>
      <c r="B162" s="12" t="str">
        <f aca="false">лютий!B162</f>
        <v>Грєк В.С.</v>
      </c>
      <c r="C162" s="12" t="s">
        <v>484</v>
      </c>
      <c r="D162" s="14" t="n">
        <f aca="false">лютий!P162</f>
        <v>0</v>
      </c>
      <c r="E162" s="14" t="n">
        <f aca="false">лютий!Q162</f>
        <v>1122.92</v>
      </c>
      <c r="F162" s="13" t="n">
        <f aca="false">лютий!F162</f>
        <v>0</v>
      </c>
      <c r="G162" s="13" t="n">
        <f aca="false">лютий!G162</f>
        <v>33.9</v>
      </c>
      <c r="H162" s="13" t="n">
        <f aca="false">лютий!H162</f>
        <v>0</v>
      </c>
      <c r="I162" s="13" t="n">
        <f aca="false">лютий!I162</f>
        <v>4.1</v>
      </c>
      <c r="J162" s="14" t="n">
        <f aca="false">ROUND(G162*I162,2)</f>
        <v>138.99</v>
      </c>
      <c r="K162" s="14"/>
      <c r="L162" s="14"/>
      <c r="M162" s="14"/>
      <c r="N162" s="14" t="n">
        <f aca="false">ROUND((G162*I162)-K162-L162-M162,2)</f>
        <v>138.99</v>
      </c>
      <c r="O162" s="14"/>
      <c r="P162" s="14" t="n">
        <f aca="false">ROUND(IF(D162=0,IF((N162-E162-O162)&gt;0,(N162-E162-O162),0),IF((D162+N162-O162)&gt;0,(D162+N162-O162),0)),2)</f>
        <v>0</v>
      </c>
      <c r="Q162" s="14" t="n">
        <f aca="false">ROUND(IF(E162=0,IF((D162+N162-O162)&lt;0,ABS(D162+N162-O162),0),IF((N162-E162-O162)&lt;0,ABS(N162-E162-O162),0)),2)</f>
        <v>983.93</v>
      </c>
    </row>
    <row r="163" customFormat="false" ht="15" hidden="false" customHeight="true" outlineLevel="0" collapsed="false">
      <c r="A163" s="12" t="s">
        <v>485</v>
      </c>
      <c r="B163" s="12" t="str">
        <f aca="false">лютий!B163</f>
        <v>Пермінов О.А.</v>
      </c>
      <c r="C163" s="12" t="s">
        <v>487</v>
      </c>
      <c r="D163" s="14" t="n">
        <f aca="false">лютий!P163</f>
        <v>1381.12</v>
      </c>
      <c r="E163" s="14" t="n">
        <f aca="false">лютий!Q163</f>
        <v>0</v>
      </c>
      <c r="F163" s="13" t="n">
        <f aca="false">лютий!F163</f>
        <v>0</v>
      </c>
      <c r="G163" s="13" t="n">
        <f aca="false">лютий!G163</f>
        <v>62.43</v>
      </c>
      <c r="H163" s="13" t="n">
        <f aca="false">лютий!H163</f>
        <v>0</v>
      </c>
      <c r="I163" s="13" t="n">
        <f aca="false">лютий!I163</f>
        <v>4.1</v>
      </c>
      <c r="J163" s="14" t="n">
        <f aca="false">ROUND(G163*I163,2)</f>
        <v>255.96</v>
      </c>
      <c r="K163" s="14"/>
      <c r="L163" s="14"/>
      <c r="M163" s="14"/>
      <c r="N163" s="14" t="n">
        <f aca="false">ROUND((G163*I163)-K163-L163-M163,2)</f>
        <v>255.96</v>
      </c>
      <c r="O163" s="14"/>
      <c r="P163" s="14" t="n">
        <f aca="false">ROUND(IF(D163=0,IF((N163-E163-O163)&gt;0,(N163-E163-O163),0),IF((D163+N163-O163)&gt;0,(D163+N163-O163),0)),2)</f>
        <v>1637.08</v>
      </c>
      <c r="Q163" s="14" t="n">
        <f aca="false">ROUND(IF(E163=0,IF((D163+N163-O163)&lt;0,ABS(D163+N163-O163),0),IF((N163-E163-O163)&lt;0,ABS(N163-E163-O163),0)),2)</f>
        <v>0</v>
      </c>
    </row>
    <row r="164" customFormat="false" ht="15" hidden="false" customHeight="true" outlineLevel="0" collapsed="false">
      <c r="A164" s="12" t="s">
        <v>488</v>
      </c>
      <c r="B164" s="12" t="str">
        <f aca="false">лютий!B164</f>
        <v>Рябчук Л.П.</v>
      </c>
      <c r="C164" s="12" t="s">
        <v>490</v>
      </c>
      <c r="D164" s="14" t="n">
        <f aca="false">лютий!P164</f>
        <v>7497.04</v>
      </c>
      <c r="E164" s="14" t="n">
        <f aca="false">лютий!Q164</f>
        <v>0</v>
      </c>
      <c r="F164" s="13" t="n">
        <f aca="false">лютий!F164</f>
        <v>0</v>
      </c>
      <c r="G164" s="13" t="n">
        <f aca="false">лютий!G164</f>
        <v>64.8</v>
      </c>
      <c r="H164" s="13" t="n">
        <f aca="false">лютий!H164</f>
        <v>0</v>
      </c>
      <c r="I164" s="13" t="n">
        <f aca="false">лютий!I164</f>
        <v>4.1</v>
      </c>
      <c r="J164" s="14" t="n">
        <f aca="false">ROUND(G164*I164,2)</f>
        <v>265.68</v>
      </c>
      <c r="K164" s="14"/>
      <c r="L164" s="14"/>
      <c r="M164" s="14"/>
      <c r="N164" s="14" t="n">
        <f aca="false">ROUND((G164*I164)-K164-L164-M164,2)</f>
        <v>265.68</v>
      </c>
      <c r="O164" s="14"/>
      <c r="P164" s="14" t="n">
        <f aca="false">ROUND(IF(D164=0,IF((N164-E164-O164)&gt;0,(N164-E164-O164),0),IF((D164+N164-O164)&gt;0,(D164+N164-O164),0)),2)</f>
        <v>7762.72</v>
      </c>
      <c r="Q164" s="14" t="n">
        <f aca="false">ROUND(IF(E164=0,IF((D164+N164-O164)&lt;0,ABS(D164+N164-O164),0),IF((N164-E164-O164)&lt;0,ABS(N164-E164-O164),0)),2)</f>
        <v>0</v>
      </c>
    </row>
    <row r="165" customFormat="false" ht="15" hidden="false" customHeight="true" outlineLevel="0" collapsed="false">
      <c r="A165" s="12" t="s">
        <v>491</v>
      </c>
      <c r="B165" s="12" t="str">
        <f aca="false">лютий!B165</f>
        <v>Копасова Л.Б.</v>
      </c>
      <c r="C165" s="12" t="s">
        <v>493</v>
      </c>
      <c r="D165" s="14" t="n">
        <f aca="false">лютий!P165</f>
        <v>405.08</v>
      </c>
      <c r="E165" s="14" t="n">
        <f aca="false">лютий!Q165</f>
        <v>0</v>
      </c>
      <c r="F165" s="13" t="n">
        <f aca="false">лютий!F165</f>
        <v>0</v>
      </c>
      <c r="G165" s="13" t="n">
        <f aca="false">лютий!G165</f>
        <v>49.4</v>
      </c>
      <c r="H165" s="13" t="n">
        <f aca="false">лютий!H165</f>
        <v>0</v>
      </c>
      <c r="I165" s="13" t="n">
        <f aca="false">лютий!I165</f>
        <v>4.1</v>
      </c>
      <c r="J165" s="14" t="n">
        <f aca="false">ROUND(G165*I165,2)</f>
        <v>202.54</v>
      </c>
      <c r="K165" s="14"/>
      <c r="L165" s="14"/>
      <c r="M165" s="14"/>
      <c r="N165" s="14" t="n">
        <f aca="false">ROUND((G165*I165)-K165-L165-M165,2)</f>
        <v>202.54</v>
      </c>
      <c r="O165" s="14"/>
      <c r="P165" s="14" t="n">
        <f aca="false">ROUND(IF(D165=0,IF((N165-E165-O165)&gt;0,(N165-E165-O165),0),IF((D165+N165-O165)&gt;0,(D165+N165-O165),0)),2)</f>
        <v>607.62</v>
      </c>
      <c r="Q165" s="14" t="n">
        <f aca="false">ROUND(IF(E165=0,IF((D165+N165-O165)&lt;0,ABS(D165+N165-O165),0),IF((N165-E165-O165)&lt;0,ABS(N165-E165-O165),0)),2)</f>
        <v>0</v>
      </c>
    </row>
    <row r="166" customFormat="false" ht="15" hidden="false" customHeight="true" outlineLevel="0" collapsed="false">
      <c r="A166" s="12" t="s">
        <v>494</v>
      </c>
      <c r="B166" s="12" t="str">
        <f aca="false">лютий!B166</f>
        <v>Киричинська Г.Я.</v>
      </c>
      <c r="C166" s="12" t="s">
        <v>496</v>
      </c>
      <c r="D166" s="14" t="n">
        <f aca="false">лютий!P166</f>
        <v>3912.97</v>
      </c>
      <c r="E166" s="14" t="n">
        <f aca="false">лютий!Q166</f>
        <v>0</v>
      </c>
      <c r="F166" s="13" t="n">
        <f aca="false">лютий!F166</f>
        <v>0</v>
      </c>
      <c r="G166" s="13" t="n">
        <f aca="false">лютий!G166</f>
        <v>35.1</v>
      </c>
      <c r="H166" s="13" t="n">
        <f aca="false">лютий!H166</f>
        <v>0</v>
      </c>
      <c r="I166" s="13" t="n">
        <f aca="false">лютий!I166</f>
        <v>4.1</v>
      </c>
      <c r="J166" s="14" t="n">
        <f aca="false">ROUND(G166*I166,2)</f>
        <v>143.91</v>
      </c>
      <c r="K166" s="14"/>
      <c r="L166" s="14"/>
      <c r="M166" s="14"/>
      <c r="N166" s="14" t="n">
        <f aca="false">ROUND((G166*I166)-K166-L166-M166,2)</f>
        <v>143.91</v>
      </c>
      <c r="O166" s="14"/>
      <c r="P166" s="14" t="n">
        <f aca="false">ROUND(IF(D166=0,IF((N166-E166-O166)&gt;0,(N166-E166-O166),0),IF((D166+N166-O166)&gt;0,(D166+N166-O166),0)),2)</f>
        <v>4056.88</v>
      </c>
      <c r="Q166" s="14" t="n">
        <f aca="false">ROUND(IF(E166=0,IF((D166+N166-O166)&lt;0,ABS(D166+N166-O166),0),IF((N166-E166-O166)&lt;0,ABS(N166-E166-O166),0)),2)</f>
        <v>0</v>
      </c>
    </row>
    <row r="167" customFormat="false" ht="15" hidden="false" customHeight="true" outlineLevel="0" collapsed="false">
      <c r="A167" s="12" t="s">
        <v>497</v>
      </c>
      <c r="B167" s="12" t="str">
        <f aca="false">лютий!B167</f>
        <v>Бутрій К.В.</v>
      </c>
      <c r="C167" s="12" t="s">
        <v>499</v>
      </c>
      <c r="D167" s="14" t="n">
        <f aca="false">лютий!P167</f>
        <v>1602.56</v>
      </c>
      <c r="E167" s="14" t="n">
        <f aca="false">лютий!Q167</f>
        <v>0</v>
      </c>
      <c r="F167" s="13" t="n">
        <f aca="false">лютий!F167</f>
        <v>0</v>
      </c>
      <c r="G167" s="13" t="n">
        <f aca="false">лютий!G167</f>
        <v>62.4</v>
      </c>
      <c r="H167" s="13" t="n">
        <f aca="false">лютий!H167</f>
        <v>0</v>
      </c>
      <c r="I167" s="13" t="n">
        <f aca="false">лютий!I167</f>
        <v>4.1</v>
      </c>
      <c r="J167" s="14" t="n">
        <f aca="false">ROUND(G167*I167,2)</f>
        <v>255.84</v>
      </c>
      <c r="K167" s="14"/>
      <c r="L167" s="14"/>
      <c r="M167" s="14"/>
      <c r="N167" s="14" t="n">
        <f aca="false">ROUND((G167*I167)-K167-L167-M167,2)</f>
        <v>255.84</v>
      </c>
      <c r="O167" s="14"/>
      <c r="P167" s="14" t="n">
        <f aca="false">ROUND(IF(D167=0,IF((N167-E167-O167)&gt;0,(N167-E167-O167),0),IF((D167+N167-O167)&gt;0,(D167+N167-O167),0)),2)</f>
        <v>1858.4</v>
      </c>
      <c r="Q167" s="14" t="n">
        <f aca="false">ROUND(IF(E167=0,IF((D167+N167-O167)&lt;0,ABS(D167+N167-O167),0),IF((N167-E167-O167)&lt;0,ABS(N167-E167-O167),0)),2)</f>
        <v>0</v>
      </c>
    </row>
    <row r="168" customFormat="false" ht="15" hidden="false" customHeight="true" outlineLevel="0" collapsed="false">
      <c r="A168" s="12" t="s">
        <v>500</v>
      </c>
      <c r="B168" s="12" t="str">
        <f aca="false">лютий!B168</f>
        <v>Кузьома Г.І.</v>
      </c>
      <c r="C168" s="12" t="s">
        <v>502</v>
      </c>
      <c r="D168" s="14" t="n">
        <f aca="false">лютий!P168</f>
        <v>537.1</v>
      </c>
      <c r="E168" s="14" t="n">
        <f aca="false">лютий!Q168</f>
        <v>0</v>
      </c>
      <c r="F168" s="13" t="n">
        <f aca="false">лютий!F168</f>
        <v>0</v>
      </c>
      <c r="G168" s="13" t="n">
        <f aca="false">лютий!G168</f>
        <v>65.5</v>
      </c>
      <c r="H168" s="13" t="n">
        <f aca="false">лютий!H168</f>
        <v>0</v>
      </c>
      <c r="I168" s="13" t="n">
        <f aca="false">лютий!I168</f>
        <v>4.1</v>
      </c>
      <c r="J168" s="14" t="n">
        <f aca="false">ROUND(G168*I168,2)</f>
        <v>268.55</v>
      </c>
      <c r="K168" s="14"/>
      <c r="L168" s="14"/>
      <c r="M168" s="14"/>
      <c r="N168" s="14" t="n">
        <f aca="false">ROUND((G168*I168)-K168-L168-M168,2)</f>
        <v>268.55</v>
      </c>
      <c r="O168" s="14"/>
      <c r="P168" s="14" t="n">
        <f aca="false">ROUND(IF(D168=0,IF((N168-E168-O168)&gt;0,(N168-E168-O168),0),IF((D168+N168-O168)&gt;0,(D168+N168-O168),0)),2)</f>
        <v>805.65</v>
      </c>
      <c r="Q168" s="14" t="n">
        <f aca="false">ROUND(IF(E168=0,IF((D168+N168-O168)&lt;0,ABS(D168+N168-O168),0),IF((N168-E168-O168)&lt;0,ABS(N168-E168-O168),0)),2)</f>
        <v>0</v>
      </c>
    </row>
    <row r="169" customFormat="false" ht="15" hidden="false" customHeight="true" outlineLevel="0" collapsed="false">
      <c r="A169" s="12" t="s">
        <v>503</v>
      </c>
      <c r="B169" s="12" t="str">
        <f aca="false">лютий!B169</f>
        <v>Павленко В.М.</v>
      </c>
      <c r="C169" s="12" t="s">
        <v>505</v>
      </c>
      <c r="D169" s="14" t="n">
        <f aca="false">лютий!P169</f>
        <v>614.25</v>
      </c>
      <c r="E169" s="14" t="n">
        <f aca="false">лютий!Q169</f>
        <v>0</v>
      </c>
      <c r="F169" s="13" t="n">
        <f aca="false">лютий!F169</f>
        <v>0</v>
      </c>
      <c r="G169" s="13" t="n">
        <f aca="false">лютий!G169</f>
        <v>49.94</v>
      </c>
      <c r="H169" s="13" t="n">
        <f aca="false">лютий!H169</f>
        <v>0</v>
      </c>
      <c r="I169" s="13" t="n">
        <f aca="false">лютий!I169</f>
        <v>4.1</v>
      </c>
      <c r="J169" s="14" t="n">
        <f aca="false">ROUND(G169*I169,2)</f>
        <v>204.75</v>
      </c>
      <c r="K169" s="14"/>
      <c r="L169" s="14"/>
      <c r="M169" s="14"/>
      <c r="N169" s="14" t="n">
        <f aca="false">ROUND((G169*I169)-K169-L169-M169,2)</f>
        <v>204.75</v>
      </c>
      <c r="O169" s="14"/>
      <c r="P169" s="14" t="n">
        <f aca="false">ROUND(IF(D169=0,IF((N169-E169-O169)&gt;0,(N169-E169-O169),0),IF((D169+N169-O169)&gt;0,(D169+N169-O169),0)),2)</f>
        <v>819</v>
      </c>
      <c r="Q169" s="14" t="n">
        <f aca="false">ROUND(IF(E169=0,IF((D169+N169-O169)&lt;0,ABS(D169+N169-O169),0),IF((N169-E169-O169)&lt;0,ABS(N169-E169-O169),0)),2)</f>
        <v>0</v>
      </c>
    </row>
    <row r="170" customFormat="false" ht="15" hidden="false" customHeight="true" outlineLevel="0" collapsed="false">
      <c r="A170" s="12" t="s">
        <v>506</v>
      </c>
      <c r="B170" s="12" t="str">
        <f aca="false">лютий!B170</f>
        <v>Качуровська С.А.</v>
      </c>
      <c r="C170" s="12" t="s">
        <v>508</v>
      </c>
      <c r="D170" s="14" t="n">
        <f aca="false">лютий!P170</f>
        <v>287</v>
      </c>
      <c r="E170" s="14" t="n">
        <f aca="false">лютий!Q170</f>
        <v>0</v>
      </c>
      <c r="F170" s="13" t="n">
        <f aca="false">лютий!F170</f>
        <v>0</v>
      </c>
      <c r="G170" s="13" t="n">
        <f aca="false">лютий!G170</f>
        <v>35</v>
      </c>
      <c r="H170" s="13" t="n">
        <f aca="false">лютий!H170</f>
        <v>0</v>
      </c>
      <c r="I170" s="13" t="n">
        <f aca="false">лютий!I170</f>
        <v>4.1</v>
      </c>
      <c r="J170" s="14" t="n">
        <f aca="false">ROUND(G170*I170,2)</f>
        <v>143.5</v>
      </c>
      <c r="K170" s="14"/>
      <c r="L170" s="14"/>
      <c r="M170" s="14"/>
      <c r="N170" s="14" t="n">
        <f aca="false">ROUND((G170*I170)-K170-L170-M170,2)</f>
        <v>143.5</v>
      </c>
      <c r="O170" s="14"/>
      <c r="P170" s="14" t="n">
        <f aca="false">ROUND(IF(D170=0,IF((N170-E170-O170)&gt;0,(N170-E170-O170),0),IF((D170+N170-O170)&gt;0,(D170+N170-O170),0)),2)</f>
        <v>430.5</v>
      </c>
      <c r="Q170" s="14" t="n">
        <f aca="false">ROUND(IF(E170=0,IF((D170+N170-O170)&lt;0,ABS(D170+N170-O170),0),IF((N170-E170-O170)&lt;0,ABS(N170-E170-O170),0)),2)</f>
        <v>0</v>
      </c>
    </row>
    <row r="171" customFormat="false" ht="15" hidden="false" customHeight="true" outlineLevel="0" collapsed="false">
      <c r="A171" s="12" t="s">
        <v>509</v>
      </c>
      <c r="B171" s="12" t="str">
        <f aca="false">лютий!B171</f>
        <v>Білецький Б.Г.</v>
      </c>
      <c r="C171" s="12" t="s">
        <v>511</v>
      </c>
      <c r="D171" s="14" t="n">
        <f aca="false">лютий!P171</f>
        <v>511.36</v>
      </c>
      <c r="E171" s="14" t="n">
        <f aca="false">лютий!Q171</f>
        <v>0</v>
      </c>
      <c r="F171" s="13" t="n">
        <f aca="false">лютий!F171</f>
        <v>0</v>
      </c>
      <c r="G171" s="13" t="n">
        <f aca="false">лютий!G171</f>
        <v>62.36</v>
      </c>
      <c r="H171" s="13" t="n">
        <f aca="false">лютий!H171</f>
        <v>0</v>
      </c>
      <c r="I171" s="13" t="n">
        <f aca="false">лютий!I171</f>
        <v>4.1</v>
      </c>
      <c r="J171" s="14" t="n">
        <f aca="false">ROUND(G171*I171,2)</f>
        <v>255.68</v>
      </c>
      <c r="K171" s="14"/>
      <c r="L171" s="14"/>
      <c r="M171" s="14"/>
      <c r="N171" s="14" t="n">
        <f aca="false">ROUND((G171*I171)-K171-L171-M171,2)</f>
        <v>255.68</v>
      </c>
      <c r="O171" s="14"/>
      <c r="P171" s="14" t="n">
        <f aca="false">ROUND(IF(D171=0,IF((N171-E171-O171)&gt;0,(N171-E171-O171),0),IF((D171+N171-O171)&gt;0,(D171+N171-O171),0)),2)</f>
        <v>767.04</v>
      </c>
      <c r="Q171" s="14" t="n">
        <f aca="false">ROUND(IF(E171=0,IF((D171+N171-O171)&lt;0,ABS(D171+N171-O171),0),IF((N171-E171-O171)&lt;0,ABS(N171-E171-O171),0)),2)</f>
        <v>0</v>
      </c>
    </row>
    <row r="172" customFormat="false" ht="15" hidden="false" customHeight="true" outlineLevel="0" collapsed="false">
      <c r="A172" s="12" t="s">
        <v>512</v>
      </c>
      <c r="B172" s="12" t="str">
        <f aca="false">лютий!B172</f>
        <v>Кузнєцова В.В.</v>
      </c>
      <c r="C172" s="12" t="s">
        <v>514</v>
      </c>
      <c r="D172" s="14" t="n">
        <f aca="false">лютий!P172</f>
        <v>8341.56</v>
      </c>
      <c r="E172" s="14" t="n">
        <f aca="false">лютий!Q172</f>
        <v>0</v>
      </c>
      <c r="F172" s="13" t="n">
        <f aca="false">лютий!F172</f>
        <v>0</v>
      </c>
      <c r="G172" s="13" t="n">
        <f aca="false">лютий!G172</f>
        <v>65.63</v>
      </c>
      <c r="H172" s="13" t="n">
        <f aca="false">лютий!H172</f>
        <v>0</v>
      </c>
      <c r="I172" s="13" t="n">
        <f aca="false">лютий!I172</f>
        <v>4.1</v>
      </c>
      <c r="J172" s="14" t="n">
        <f aca="false">ROUND(G172*I172,2)</f>
        <v>269.08</v>
      </c>
      <c r="K172" s="14"/>
      <c r="L172" s="14"/>
      <c r="M172" s="14"/>
      <c r="N172" s="14" t="n">
        <f aca="false">ROUND((G172*I172)-K172-L172-M172,2)</f>
        <v>269.08</v>
      </c>
      <c r="O172" s="14"/>
      <c r="P172" s="14" t="n">
        <f aca="false">ROUND(IF(D172=0,IF((N172-E172-O172)&gt;0,(N172-E172-O172),0),IF((D172+N172-O172)&gt;0,(D172+N172-O172),0)),2)</f>
        <v>8610.64</v>
      </c>
      <c r="Q172" s="14" t="n">
        <f aca="false">ROUND(IF(E172=0,IF((D172+N172-O172)&lt;0,ABS(D172+N172-O172),0),IF((N172-E172-O172)&lt;0,ABS(N172-E172-O172),0)),2)</f>
        <v>0</v>
      </c>
    </row>
    <row r="173" customFormat="false" ht="15" hidden="false" customHeight="true" outlineLevel="0" collapsed="false">
      <c r="A173" s="12" t="s">
        <v>515</v>
      </c>
      <c r="B173" s="12" t="str">
        <f aca="false">лютий!B173</f>
        <v>Сидоренко Б.Й.</v>
      </c>
      <c r="C173" s="12" t="s">
        <v>517</v>
      </c>
      <c r="D173" s="14" t="n">
        <f aca="false">лютий!P173</f>
        <v>16586.51</v>
      </c>
      <c r="E173" s="14" t="n">
        <f aca="false">лютий!Q173</f>
        <v>0</v>
      </c>
      <c r="F173" s="13" t="n">
        <f aca="false">лютий!F173</f>
        <v>0</v>
      </c>
      <c r="G173" s="13" t="n">
        <f aca="false">лютий!G173</f>
        <v>49.8</v>
      </c>
      <c r="H173" s="13" t="n">
        <f aca="false">лютий!H173</f>
        <v>0</v>
      </c>
      <c r="I173" s="13" t="n">
        <f aca="false">лютий!I173</f>
        <v>4.1</v>
      </c>
      <c r="J173" s="14" t="n">
        <f aca="false">ROUND(G173*I173,2)</f>
        <v>204.18</v>
      </c>
      <c r="K173" s="14"/>
      <c r="L173" s="14"/>
      <c r="M173" s="14"/>
      <c r="N173" s="14" t="n">
        <f aca="false">ROUND((G173*I173)-K173-L173-M173,2)</f>
        <v>204.18</v>
      </c>
      <c r="O173" s="14"/>
      <c r="P173" s="14" t="n">
        <f aca="false">ROUND(IF(D173=0,IF((N173-E173-O173)&gt;0,(N173-E173-O173),0),IF((D173+N173-O173)&gt;0,(D173+N173-O173),0)),2)</f>
        <v>16790.69</v>
      </c>
      <c r="Q173" s="14" t="n">
        <f aca="false">ROUND(IF(E173=0,IF((D173+N173-O173)&lt;0,ABS(D173+N173-O173),0),IF((N173-E173-O173)&lt;0,ABS(N173-E173-O173),0)),2)</f>
        <v>0</v>
      </c>
    </row>
    <row r="174" customFormat="false" ht="15" hidden="false" customHeight="true" outlineLevel="0" collapsed="false">
      <c r="A174" s="12" t="s">
        <v>518</v>
      </c>
      <c r="B174" s="12" t="str">
        <f aca="false">лютий!B174</f>
        <v>Кузнєцова О.А.</v>
      </c>
      <c r="C174" s="12" t="s">
        <v>520</v>
      </c>
      <c r="D174" s="14" t="n">
        <f aca="false">лютий!P174</f>
        <v>4305</v>
      </c>
      <c r="E174" s="14" t="n">
        <f aca="false">лютий!Q174</f>
        <v>0</v>
      </c>
      <c r="F174" s="13" t="n">
        <f aca="false">лютий!F174</f>
        <v>0</v>
      </c>
      <c r="G174" s="13" t="n">
        <f aca="false">лютий!G174</f>
        <v>35</v>
      </c>
      <c r="H174" s="13" t="n">
        <f aca="false">лютий!H174</f>
        <v>0</v>
      </c>
      <c r="I174" s="13" t="n">
        <f aca="false">лютий!I174</f>
        <v>4.1</v>
      </c>
      <c r="J174" s="14" t="n">
        <f aca="false">ROUND(G174*I174,2)</f>
        <v>143.5</v>
      </c>
      <c r="K174" s="14"/>
      <c r="L174" s="14"/>
      <c r="M174" s="14"/>
      <c r="N174" s="14" t="n">
        <f aca="false">ROUND((G174*I174)-K174-L174-M174,2)</f>
        <v>143.5</v>
      </c>
      <c r="O174" s="14"/>
      <c r="P174" s="14" t="n">
        <f aca="false">ROUND(IF(D174=0,IF((N174-E174-O174)&gt;0,(N174-E174-O174),0),IF((D174+N174-O174)&gt;0,(D174+N174-O174),0)),2)</f>
        <v>4448.5</v>
      </c>
      <c r="Q174" s="14" t="n">
        <f aca="false">ROUND(IF(E174=0,IF((D174+N174-O174)&lt;0,ABS(D174+N174-O174),0),IF((N174-E174-O174)&lt;0,ABS(N174-E174-O174),0)),2)</f>
        <v>0</v>
      </c>
    </row>
    <row r="175" customFormat="false" ht="15" hidden="false" customHeight="true" outlineLevel="0" collapsed="false">
      <c r="A175" s="12" t="s">
        <v>521</v>
      </c>
      <c r="B175" s="12" t="str">
        <f aca="false">лютий!B175</f>
        <v>Васильєва О.Г.</v>
      </c>
      <c r="C175" s="12" t="s">
        <v>523</v>
      </c>
      <c r="D175" s="14" t="n">
        <f aca="false">лютий!P175</f>
        <v>2607.64</v>
      </c>
      <c r="E175" s="14" t="n">
        <f aca="false">лютий!Q175</f>
        <v>0</v>
      </c>
      <c r="F175" s="13" t="n">
        <f aca="false">лютий!F175</f>
        <v>0</v>
      </c>
      <c r="G175" s="13" t="n">
        <f aca="false">лютий!G175</f>
        <v>61.7</v>
      </c>
      <c r="H175" s="13" t="n">
        <f aca="false">лютий!H175</f>
        <v>0</v>
      </c>
      <c r="I175" s="13" t="n">
        <f aca="false">лютий!I175</f>
        <v>4.1</v>
      </c>
      <c r="J175" s="14" t="n">
        <f aca="false">ROUND(G175*I175,2)</f>
        <v>252.97</v>
      </c>
      <c r="K175" s="14"/>
      <c r="L175" s="14"/>
      <c r="M175" s="14"/>
      <c r="N175" s="14" t="n">
        <f aca="false">ROUND((G175*I175)-K175-L175-M175,2)</f>
        <v>252.97</v>
      </c>
      <c r="O175" s="14"/>
      <c r="P175" s="14" t="n">
        <f aca="false">ROUND(IF(D175=0,IF((N175-E175-O175)&gt;0,(N175-E175-O175),0),IF((D175+N175-O175)&gt;0,(D175+N175-O175),0)),2)</f>
        <v>2860.61</v>
      </c>
      <c r="Q175" s="14" t="n">
        <f aca="false">ROUND(IF(E175=0,IF((D175+N175-O175)&lt;0,ABS(D175+N175-O175),0),IF((N175-E175-O175)&lt;0,ABS(N175-E175-O175),0)),2)</f>
        <v>0</v>
      </c>
    </row>
    <row r="176" customFormat="false" ht="15" hidden="false" customHeight="true" outlineLevel="0" collapsed="false">
      <c r="A176" s="12" t="s">
        <v>524</v>
      </c>
      <c r="B176" s="12" t="str">
        <f aca="false">лютий!B176</f>
        <v>Кудінова Л.М.</v>
      </c>
      <c r="C176" s="12" t="s">
        <v>526</v>
      </c>
      <c r="D176" s="14" t="n">
        <f aca="false">лютий!P176</f>
        <v>806.64</v>
      </c>
      <c r="E176" s="14" t="n">
        <f aca="false">лютий!Q176</f>
        <v>0</v>
      </c>
      <c r="F176" s="13" t="n">
        <f aca="false">лютий!F176</f>
        <v>0</v>
      </c>
      <c r="G176" s="13" t="n">
        <f aca="false">лютий!G176</f>
        <v>65.58</v>
      </c>
      <c r="H176" s="13" t="n">
        <f aca="false">лютий!H176</f>
        <v>0</v>
      </c>
      <c r="I176" s="13" t="n">
        <f aca="false">лютий!I176</f>
        <v>4.1</v>
      </c>
      <c r="J176" s="14" t="n">
        <f aca="false">ROUND(G176*I176,2)</f>
        <v>268.88</v>
      </c>
      <c r="K176" s="14"/>
      <c r="L176" s="14"/>
      <c r="M176" s="14"/>
      <c r="N176" s="14" t="n">
        <f aca="false">ROUND((G176*I176)-K176-L176-M176,2)</f>
        <v>268.88</v>
      </c>
      <c r="O176" s="14"/>
      <c r="P176" s="14" t="n">
        <f aca="false">ROUND(IF(D176=0,IF((N176-E176-O176)&gt;0,(N176-E176-O176),0),IF((D176+N176-O176)&gt;0,(D176+N176-O176),0)),2)</f>
        <v>1075.52</v>
      </c>
      <c r="Q176" s="14" t="n">
        <f aca="false">ROUND(IF(E176=0,IF((D176+N176-O176)&lt;0,ABS(D176+N176-O176),0),IF((N176-E176-O176)&lt;0,ABS(N176-E176-O176),0)),2)</f>
        <v>0</v>
      </c>
    </row>
    <row r="177" customFormat="false" ht="15" hidden="false" customHeight="true" outlineLevel="0" collapsed="false">
      <c r="A177" s="12" t="s">
        <v>527</v>
      </c>
      <c r="B177" s="12" t="str">
        <f aca="false">лютий!B177</f>
        <v>Спільний І.В.</v>
      </c>
      <c r="C177" s="12" t="s">
        <v>529</v>
      </c>
      <c r="D177" s="14" t="n">
        <f aca="false">лютий!P177</f>
        <v>405.9</v>
      </c>
      <c r="E177" s="14" t="n">
        <f aca="false">лютий!Q177</f>
        <v>0</v>
      </c>
      <c r="F177" s="13" t="n">
        <f aca="false">лютий!F177</f>
        <v>0</v>
      </c>
      <c r="G177" s="13" t="n">
        <f aca="false">лютий!G177</f>
        <v>49.5</v>
      </c>
      <c r="H177" s="13" t="n">
        <f aca="false">лютий!H177</f>
        <v>0</v>
      </c>
      <c r="I177" s="13" t="n">
        <f aca="false">лютий!I177</f>
        <v>4.1</v>
      </c>
      <c r="J177" s="14" t="n">
        <f aca="false">ROUND(G177*I177,2)</f>
        <v>202.95</v>
      </c>
      <c r="K177" s="14"/>
      <c r="L177" s="14"/>
      <c r="M177" s="14"/>
      <c r="N177" s="14" t="n">
        <f aca="false">ROUND((G177*I177)-K177-L177-M177,2)</f>
        <v>202.95</v>
      </c>
      <c r="O177" s="14"/>
      <c r="P177" s="14" t="n">
        <f aca="false">ROUND(IF(D177=0,IF((N177-E177-O177)&gt;0,(N177-E177-O177),0),IF((D177+N177-O177)&gt;0,(D177+N177-O177),0)),2)</f>
        <v>608.85</v>
      </c>
      <c r="Q177" s="14" t="n">
        <f aca="false">ROUND(IF(E177=0,IF((D177+N177-O177)&lt;0,ABS(D177+N177-O177),0),IF((N177-E177-O177)&lt;0,ABS(N177-E177-O177),0)),2)</f>
        <v>0</v>
      </c>
    </row>
    <row r="178" customFormat="false" ht="15" hidden="false" customHeight="true" outlineLevel="0" collapsed="false">
      <c r="A178" s="12" t="s">
        <v>530</v>
      </c>
      <c r="B178" s="12" t="str">
        <f aca="false">лютий!B178</f>
        <v>Кружаліна Т.А.</v>
      </c>
      <c r="C178" s="12" t="s">
        <v>532</v>
      </c>
      <c r="D178" s="14" t="n">
        <f aca="false">лютий!P178</f>
        <v>287.82</v>
      </c>
      <c r="E178" s="14" t="n">
        <f aca="false">лютий!Q178</f>
        <v>0</v>
      </c>
      <c r="F178" s="13" t="n">
        <f aca="false">лютий!F178</f>
        <v>0</v>
      </c>
      <c r="G178" s="13" t="n">
        <f aca="false">лютий!G178</f>
        <v>35.1</v>
      </c>
      <c r="H178" s="13" t="n">
        <f aca="false">лютий!H178</f>
        <v>0</v>
      </c>
      <c r="I178" s="13" t="n">
        <f aca="false">лютий!I178</f>
        <v>4.1</v>
      </c>
      <c r="J178" s="14" t="n">
        <f aca="false">ROUND(G178*I178,2)</f>
        <v>143.91</v>
      </c>
      <c r="K178" s="14"/>
      <c r="L178" s="14"/>
      <c r="M178" s="14"/>
      <c r="N178" s="14" t="n">
        <f aca="false">ROUND((G178*I178)-K178-L178-M178,2)</f>
        <v>143.91</v>
      </c>
      <c r="O178" s="14"/>
      <c r="P178" s="14" t="n">
        <f aca="false">ROUND(IF(D178=0,IF((N178-E178-O178)&gt;0,(N178-E178-O178),0),IF((D178+N178-O178)&gt;0,(D178+N178-O178),0)),2)</f>
        <v>431.73</v>
      </c>
      <c r="Q178" s="14" t="n">
        <f aca="false">ROUND(IF(E178=0,IF((D178+N178-O178)&lt;0,ABS(D178+N178-O178),0),IF((N178-E178-O178)&lt;0,ABS(N178-E178-O178),0)),2)</f>
        <v>0</v>
      </c>
    </row>
    <row r="179" customFormat="false" ht="15" hidden="false" customHeight="true" outlineLevel="0" collapsed="false">
      <c r="A179" s="12" t="s">
        <v>533</v>
      </c>
      <c r="B179" s="12" t="str">
        <f aca="false">лютий!B179</f>
        <v>Григоренко Н.Е.</v>
      </c>
      <c r="C179" s="12" t="s">
        <v>535</v>
      </c>
      <c r="D179" s="14" t="n">
        <f aca="false">лютий!P179</f>
        <v>515.86</v>
      </c>
      <c r="E179" s="14" t="n">
        <f aca="false">лютий!Q179</f>
        <v>0</v>
      </c>
      <c r="F179" s="13" t="n">
        <f aca="false">лютий!F179</f>
        <v>0</v>
      </c>
      <c r="G179" s="13" t="n">
        <f aca="false">лютий!G179</f>
        <v>62.91</v>
      </c>
      <c r="H179" s="13" t="n">
        <f aca="false">лютий!H179</f>
        <v>0</v>
      </c>
      <c r="I179" s="13" t="n">
        <f aca="false">лютий!I179</f>
        <v>4.1</v>
      </c>
      <c r="J179" s="14" t="n">
        <f aca="false">ROUND(G179*I179,2)</f>
        <v>257.93</v>
      </c>
      <c r="K179" s="14"/>
      <c r="L179" s="14"/>
      <c r="M179" s="14"/>
      <c r="N179" s="14" t="n">
        <f aca="false">ROUND((G179*I179)-K179-L179-M179,2)</f>
        <v>257.93</v>
      </c>
      <c r="O179" s="14"/>
      <c r="P179" s="14" t="n">
        <f aca="false">ROUND(IF(D179=0,IF((N179-E179-O179)&gt;0,(N179-E179-O179),0),IF((D179+N179-O179)&gt;0,(D179+N179-O179),0)),2)</f>
        <v>773.79</v>
      </c>
      <c r="Q179" s="14" t="n">
        <f aca="false">ROUND(IF(E179=0,IF((D179+N179-O179)&lt;0,ABS(D179+N179-O179),0),IF((N179-E179-O179)&lt;0,ABS(N179-E179-O179),0)),2)</f>
        <v>0</v>
      </c>
    </row>
    <row r="180" customFormat="false" ht="15" hidden="false" customHeight="true" outlineLevel="0" collapsed="false">
      <c r="A180" s="12" t="s">
        <v>536</v>
      </c>
      <c r="B180" s="12" t="str">
        <f aca="false">лютий!B180</f>
        <v>Бондарчук В.В.</v>
      </c>
      <c r="C180" s="12" t="s">
        <v>538</v>
      </c>
      <c r="D180" s="14" t="n">
        <f aca="false">лютий!P180</f>
        <v>541.44</v>
      </c>
      <c r="E180" s="14" t="n">
        <f aca="false">лютий!Q180</f>
        <v>0</v>
      </c>
      <c r="F180" s="13" t="n">
        <f aca="false">лютий!F180</f>
        <v>0</v>
      </c>
      <c r="G180" s="13" t="n">
        <f aca="false">лютий!G180</f>
        <v>66.03</v>
      </c>
      <c r="H180" s="13" t="n">
        <f aca="false">лютий!H180</f>
        <v>0</v>
      </c>
      <c r="I180" s="13" t="n">
        <f aca="false">лютий!I180</f>
        <v>4.1</v>
      </c>
      <c r="J180" s="14" t="n">
        <f aca="false">ROUND(G180*I180,2)</f>
        <v>270.72</v>
      </c>
      <c r="K180" s="14"/>
      <c r="L180" s="14"/>
      <c r="M180" s="14"/>
      <c r="N180" s="14" t="n">
        <f aca="false">ROUND((G180*I180)-K180-L180-M180,2)</f>
        <v>270.72</v>
      </c>
      <c r="O180" s="14"/>
      <c r="P180" s="14" t="n">
        <f aca="false">ROUND(IF(D180=0,IF((N180-E180-O180)&gt;0,(N180-E180-O180),0),IF((D180+N180-O180)&gt;0,(D180+N180-O180),0)),2)</f>
        <v>812.16</v>
      </c>
      <c r="Q180" s="14" t="n">
        <f aca="false">ROUND(IF(E180=0,IF((D180+N180-O180)&lt;0,ABS(D180+N180-O180),0),IF((N180-E180-O180)&lt;0,ABS(N180-E180-O180),0)),2)</f>
        <v>0</v>
      </c>
    </row>
    <row r="181" customFormat="false" ht="15" hidden="false" customHeight="true" outlineLevel="0" collapsed="false">
      <c r="A181" s="12" t="s">
        <v>539</v>
      </c>
      <c r="B181" s="12" t="str">
        <f aca="false">лютий!B181</f>
        <v>Рябініна Н.І.</v>
      </c>
      <c r="C181" s="12" t="s">
        <v>541</v>
      </c>
      <c r="D181" s="14" t="n">
        <f aca="false">лютий!P181</f>
        <v>243.14</v>
      </c>
      <c r="E181" s="14" t="n">
        <f aca="false">лютий!Q181</f>
        <v>0</v>
      </c>
      <c r="F181" s="13" t="n">
        <f aca="false">лютий!F181</f>
        <v>0</v>
      </c>
      <c r="G181" s="13" t="n">
        <f aca="false">лютий!G181</f>
        <v>49.9</v>
      </c>
      <c r="H181" s="13" t="n">
        <f aca="false">лютий!H181</f>
        <v>0</v>
      </c>
      <c r="I181" s="13" t="n">
        <f aca="false">лютий!I181</f>
        <v>4.1</v>
      </c>
      <c r="J181" s="14" t="n">
        <f aca="false">ROUND(G181*I181,2)</f>
        <v>204.59</v>
      </c>
      <c r="K181" s="14"/>
      <c r="L181" s="14"/>
      <c r="M181" s="14"/>
      <c r="N181" s="14" t="n">
        <f aca="false">ROUND((G181*I181)-K181-L181-M181,2)</f>
        <v>204.59</v>
      </c>
      <c r="O181" s="14"/>
      <c r="P181" s="14" t="n">
        <f aca="false">ROUND(IF(D181=0,IF((N181-E181-O181)&gt;0,(N181-E181-O181),0),IF((D181+N181-O181)&gt;0,(D181+N181-O181),0)),2)</f>
        <v>447.73</v>
      </c>
      <c r="Q181" s="14" t="n">
        <f aca="false">ROUND(IF(E181=0,IF((D181+N181-O181)&lt;0,ABS(D181+N181-O181),0),IF((N181-E181-O181)&lt;0,ABS(N181-E181-O181),0)),2)</f>
        <v>0</v>
      </c>
    </row>
    <row r="182" customFormat="false" ht="15" hidden="false" customHeight="true" outlineLevel="0" collapsed="false">
      <c r="A182" s="12" t="s">
        <v>542</v>
      </c>
      <c r="B182" s="12" t="str">
        <f aca="false">лютий!B182</f>
        <v>Шапіро В.І.</v>
      </c>
      <c r="C182" s="12" t="s">
        <v>544</v>
      </c>
      <c r="D182" s="14" t="n">
        <f aca="false">лютий!P182</f>
        <v>286.34</v>
      </c>
      <c r="E182" s="14" t="n">
        <f aca="false">лютий!Q182</f>
        <v>0</v>
      </c>
      <c r="F182" s="13" t="n">
        <f aca="false">лютий!F182</f>
        <v>0</v>
      </c>
      <c r="G182" s="13" t="n">
        <f aca="false">лютий!G182</f>
        <v>34.92</v>
      </c>
      <c r="H182" s="13" t="n">
        <f aca="false">лютий!H182</f>
        <v>0</v>
      </c>
      <c r="I182" s="13" t="n">
        <f aca="false">лютий!I182</f>
        <v>4.1</v>
      </c>
      <c r="J182" s="14" t="n">
        <f aca="false">ROUND(G182*I182,2)</f>
        <v>143.17</v>
      </c>
      <c r="K182" s="14"/>
      <c r="L182" s="14"/>
      <c r="M182" s="14"/>
      <c r="N182" s="14" t="n">
        <f aca="false">ROUND((G182*I182)-K182-L182-M182,2)</f>
        <v>143.17</v>
      </c>
      <c r="O182" s="14"/>
      <c r="P182" s="14" t="n">
        <f aca="false">ROUND(IF(D182=0,IF((N182-E182-O182)&gt;0,(N182-E182-O182),0),IF((D182+N182-O182)&gt;0,(D182+N182-O182),0)),2)</f>
        <v>429.51</v>
      </c>
      <c r="Q182" s="14" t="n">
        <f aca="false">ROUND(IF(E182=0,IF((D182+N182-O182)&lt;0,ABS(D182+N182-O182),0),IF((N182-E182-O182)&lt;0,ABS(N182-E182-O182),0)),2)</f>
        <v>0</v>
      </c>
    </row>
    <row r="183" customFormat="false" ht="15" hidden="false" customHeight="true" outlineLevel="0" collapsed="false">
      <c r="A183" s="12" t="s">
        <v>545</v>
      </c>
      <c r="B183" s="12" t="str">
        <f aca="false">лютий!B183</f>
        <v>Крамаренко О.О.</v>
      </c>
      <c r="C183" s="12" t="s">
        <v>547</v>
      </c>
      <c r="D183" s="14" t="n">
        <f aca="false">лютий!P183</f>
        <v>507.66</v>
      </c>
      <c r="E183" s="14" t="n">
        <f aca="false">лютий!Q183</f>
        <v>0</v>
      </c>
      <c r="F183" s="13" t="n">
        <f aca="false">лютий!F183</f>
        <v>0</v>
      </c>
      <c r="G183" s="13" t="n">
        <f aca="false">лютий!G183</f>
        <v>61.91</v>
      </c>
      <c r="H183" s="13" t="n">
        <f aca="false">лютий!H183</f>
        <v>0</v>
      </c>
      <c r="I183" s="13" t="n">
        <f aca="false">лютий!I183</f>
        <v>4.1</v>
      </c>
      <c r="J183" s="14" t="n">
        <f aca="false">ROUND(G183*I183,2)</f>
        <v>253.83</v>
      </c>
      <c r="K183" s="14"/>
      <c r="L183" s="14"/>
      <c r="M183" s="14"/>
      <c r="N183" s="14" t="n">
        <f aca="false">ROUND((G183*I183)-K183-L183-M183,2)</f>
        <v>253.83</v>
      </c>
      <c r="O183" s="14"/>
      <c r="P183" s="14" t="n">
        <f aca="false">ROUND(IF(D183=0,IF((N183-E183-O183)&gt;0,(N183-E183-O183),0),IF((D183+N183-O183)&gt;0,(D183+N183-O183),0)),2)</f>
        <v>761.49</v>
      </c>
      <c r="Q183" s="14" t="n">
        <f aca="false">ROUND(IF(E183=0,IF((D183+N183-O183)&lt;0,ABS(D183+N183-O183),0),IF((N183-E183-O183)&lt;0,ABS(N183-E183-O183),0)),2)</f>
        <v>0</v>
      </c>
    </row>
    <row r="184" customFormat="false" ht="15" hidden="false" customHeight="true" outlineLevel="0" collapsed="false">
      <c r="A184" s="12" t="s">
        <v>548</v>
      </c>
      <c r="B184" s="12" t="str">
        <f aca="false">лютий!B184</f>
        <v>Свиридов В.Ф.</v>
      </c>
      <c r="C184" s="12" t="s">
        <v>550</v>
      </c>
      <c r="D184" s="14" t="n">
        <f aca="false">лютий!P184</f>
        <v>12608.35</v>
      </c>
      <c r="E184" s="14" t="n">
        <f aca="false">лютий!Q184</f>
        <v>0</v>
      </c>
      <c r="F184" s="13" t="n">
        <f aca="false">лютий!F184</f>
        <v>0</v>
      </c>
      <c r="G184" s="13" t="n">
        <f aca="false">лютий!G184</f>
        <v>65.15</v>
      </c>
      <c r="H184" s="13" t="n">
        <f aca="false">лютий!H184</f>
        <v>0</v>
      </c>
      <c r="I184" s="13" t="n">
        <f aca="false">лютий!I184</f>
        <v>4.1</v>
      </c>
      <c r="J184" s="14" t="n">
        <f aca="false">ROUND(G184*I184,2)</f>
        <v>267.12</v>
      </c>
      <c r="K184" s="14"/>
      <c r="L184" s="14"/>
      <c r="M184" s="14"/>
      <c r="N184" s="14" t="n">
        <f aca="false">ROUND((G184*I184)-K184-L184-M184,2)</f>
        <v>267.12</v>
      </c>
      <c r="O184" s="14"/>
      <c r="P184" s="14" t="n">
        <f aca="false">ROUND(IF(D184=0,IF((N184-E184-O184)&gt;0,(N184-E184-O184),0),IF((D184+N184-O184)&gt;0,(D184+N184-O184),0)),2)</f>
        <v>12875.47</v>
      </c>
      <c r="Q184" s="14" t="n">
        <f aca="false">ROUND(IF(E184=0,IF((D184+N184-O184)&lt;0,ABS(D184+N184-O184),0),IF((N184-E184-O184)&lt;0,ABS(N184-E184-O184),0)),2)</f>
        <v>0</v>
      </c>
    </row>
    <row r="185" customFormat="false" ht="15" hidden="false" customHeight="true" outlineLevel="0" collapsed="false">
      <c r="A185" s="12" t="s">
        <v>551</v>
      </c>
      <c r="B185" s="12" t="str">
        <f aca="false">лютий!B185</f>
        <v>Домацький В.А.</v>
      </c>
      <c r="C185" s="12" t="s">
        <v>553</v>
      </c>
      <c r="D185" s="14" t="n">
        <f aca="false">лютий!P185</f>
        <v>410</v>
      </c>
      <c r="E185" s="14" t="n">
        <f aca="false">лютий!Q185</f>
        <v>0</v>
      </c>
      <c r="F185" s="13" t="n">
        <f aca="false">лютий!F185</f>
        <v>0</v>
      </c>
      <c r="G185" s="13" t="n">
        <f aca="false">лютий!G185</f>
        <v>50</v>
      </c>
      <c r="H185" s="13" t="n">
        <f aca="false">лютий!H185</f>
        <v>0</v>
      </c>
      <c r="I185" s="13" t="n">
        <f aca="false">лютий!I185</f>
        <v>4.1</v>
      </c>
      <c r="J185" s="14" t="n">
        <f aca="false">ROUND(G185*I185,2)</f>
        <v>205</v>
      </c>
      <c r="K185" s="14"/>
      <c r="L185" s="14"/>
      <c r="M185" s="14"/>
      <c r="N185" s="14" t="n">
        <f aca="false">ROUND((G185*I185)-K185-L185-M185,2)</f>
        <v>205</v>
      </c>
      <c r="O185" s="14"/>
      <c r="P185" s="14" t="n">
        <f aca="false">ROUND(IF(D185=0,IF((N185-E185-O185)&gt;0,(N185-E185-O185),0),IF((D185+N185-O185)&gt;0,(D185+N185-O185),0)),2)</f>
        <v>615</v>
      </c>
      <c r="Q185" s="14" t="n">
        <f aca="false">ROUND(IF(E185=0,IF((D185+N185-O185)&lt;0,ABS(D185+N185-O185),0),IF((N185-E185-O185)&lt;0,ABS(N185-E185-O185),0)),2)</f>
        <v>0</v>
      </c>
    </row>
    <row r="186" customFormat="false" ht="15" hidden="false" customHeight="true" outlineLevel="0" collapsed="false">
      <c r="A186" s="12" t="s">
        <v>554</v>
      </c>
      <c r="B186" s="12" t="str">
        <f aca="false">лютий!B186</f>
        <v>Шаповалова І.А.</v>
      </c>
      <c r="C186" s="12" t="s">
        <v>556</v>
      </c>
      <c r="D186" s="14" t="n">
        <f aca="false">лютий!P186</f>
        <v>6475.23</v>
      </c>
      <c r="E186" s="14" t="n">
        <f aca="false">лютий!Q186</f>
        <v>0</v>
      </c>
      <c r="F186" s="13" t="n">
        <f aca="false">лютий!F186</f>
        <v>0</v>
      </c>
      <c r="G186" s="13" t="n">
        <f aca="false">лютий!G186</f>
        <v>35.1</v>
      </c>
      <c r="H186" s="13" t="n">
        <f aca="false">лютий!H186</f>
        <v>0</v>
      </c>
      <c r="I186" s="13" t="n">
        <f aca="false">лютий!I186</f>
        <v>4.1</v>
      </c>
      <c r="J186" s="14" t="n">
        <f aca="false">ROUND(G186*I186,2)</f>
        <v>143.91</v>
      </c>
      <c r="K186" s="14"/>
      <c r="L186" s="14"/>
      <c r="M186" s="14"/>
      <c r="N186" s="14" t="n">
        <f aca="false">ROUND((G186*I186)-K186-L186-M186,2)</f>
        <v>143.91</v>
      </c>
      <c r="O186" s="14"/>
      <c r="P186" s="14" t="n">
        <f aca="false">ROUND(IF(D186=0,IF((N186-E186-O186)&gt;0,(N186-E186-O186),0),IF((D186+N186-O186)&gt;0,(D186+N186-O186),0)),2)</f>
        <v>6619.14</v>
      </c>
      <c r="Q186" s="14" t="n">
        <f aca="false">ROUND(IF(E186=0,IF((D186+N186-O186)&lt;0,ABS(D186+N186-O186),0),IF((N186-E186-O186)&lt;0,ABS(N186-E186-O186),0)),2)</f>
        <v>0</v>
      </c>
    </row>
    <row r="187" customFormat="false" ht="15" hidden="false" customHeight="true" outlineLevel="0" collapsed="false">
      <c r="A187" s="12" t="s">
        <v>557</v>
      </c>
      <c r="B187" s="12" t="str">
        <f aca="false">лютий!B187</f>
        <v>Кононенко О.В.</v>
      </c>
      <c r="C187" s="12" t="s">
        <v>559</v>
      </c>
      <c r="D187" s="14" t="n">
        <f aca="false">лютий!P187</f>
        <v>2005.98</v>
      </c>
      <c r="E187" s="14" t="n">
        <f aca="false">лютий!Q187</f>
        <v>0</v>
      </c>
      <c r="F187" s="13" t="n">
        <f aca="false">лютий!F187</f>
        <v>0</v>
      </c>
      <c r="G187" s="13" t="n">
        <f aca="false">лютий!G187</f>
        <v>61.8</v>
      </c>
      <c r="H187" s="13" t="n">
        <f aca="false">лютий!H187</f>
        <v>0</v>
      </c>
      <c r="I187" s="13" t="n">
        <f aca="false">лютий!I187</f>
        <v>4.1</v>
      </c>
      <c r="J187" s="14" t="n">
        <f aca="false">ROUND(G187*I187,2)</f>
        <v>253.38</v>
      </c>
      <c r="K187" s="14"/>
      <c r="L187" s="14"/>
      <c r="M187" s="14"/>
      <c r="N187" s="14" t="n">
        <f aca="false">ROUND((G187*I187)-K187-L187-M187,2)</f>
        <v>253.38</v>
      </c>
      <c r="O187" s="14"/>
      <c r="P187" s="14" t="n">
        <f aca="false">ROUND(IF(D187=0,IF((N187-E187-O187)&gt;0,(N187-E187-O187),0),IF((D187+N187-O187)&gt;0,(D187+N187-O187),0)),2)</f>
        <v>2259.36</v>
      </c>
      <c r="Q187" s="14" t="n">
        <f aca="false">ROUND(IF(E187=0,IF((D187+N187-O187)&lt;0,ABS(D187+N187-O187),0),IF((N187-E187-O187)&lt;0,ABS(N187-E187-O187),0)),2)</f>
        <v>0</v>
      </c>
    </row>
    <row r="188" customFormat="false" ht="15" hidden="false" customHeight="true" outlineLevel="0" collapsed="false">
      <c r="A188" s="12" t="s">
        <v>560</v>
      </c>
      <c r="B188" s="12" t="str">
        <f aca="false">лютий!B188</f>
        <v>Овчаренко Т.І.</v>
      </c>
      <c r="C188" s="12" t="s">
        <v>562</v>
      </c>
      <c r="D188" s="14" t="n">
        <f aca="false">лютий!P188</f>
        <v>582.7</v>
      </c>
      <c r="E188" s="14" t="n">
        <f aca="false">лютий!Q188</f>
        <v>0</v>
      </c>
      <c r="F188" s="13" t="n">
        <f aca="false">лютий!F188</f>
        <v>0</v>
      </c>
      <c r="G188" s="13" t="n">
        <f aca="false">лютий!G188</f>
        <v>71.06</v>
      </c>
      <c r="H188" s="13" t="n">
        <f aca="false">лютий!H188</f>
        <v>0</v>
      </c>
      <c r="I188" s="13" t="n">
        <f aca="false">лютий!I188</f>
        <v>4.1</v>
      </c>
      <c r="J188" s="14" t="n">
        <f aca="false">ROUND(G188*I188,2)</f>
        <v>291.35</v>
      </c>
      <c r="K188" s="14"/>
      <c r="L188" s="14"/>
      <c r="M188" s="14"/>
      <c r="N188" s="14" t="n">
        <f aca="false">ROUND((G188*I188)-K188-L188-M188,2)</f>
        <v>291.35</v>
      </c>
      <c r="O188" s="14"/>
      <c r="P188" s="14" t="n">
        <f aca="false">ROUND(IF(D188=0,IF((N188-E188-O188)&gt;0,(N188-E188-O188),0),IF((D188+N188-O188)&gt;0,(D188+N188-O188),0)),2)</f>
        <v>874.05</v>
      </c>
      <c r="Q188" s="14" t="n">
        <f aca="false">ROUND(IF(E188=0,IF((D188+N188-O188)&lt;0,ABS(D188+N188-O188),0),IF((N188-E188-O188)&lt;0,ABS(N188-E188-O188),0)),2)</f>
        <v>0</v>
      </c>
    </row>
    <row r="189" customFormat="false" ht="15" hidden="false" customHeight="true" outlineLevel="0" collapsed="false">
      <c r="A189" s="12" t="s">
        <v>563</v>
      </c>
      <c r="B189" s="12" t="str">
        <f aca="false">лютий!B189</f>
        <v>Попукайло О.Г.</v>
      </c>
      <c r="C189" s="12" t="s">
        <v>565</v>
      </c>
      <c r="D189" s="14" t="n">
        <f aca="false">лютий!P189</f>
        <v>5157.76</v>
      </c>
      <c r="E189" s="14" t="n">
        <f aca="false">лютий!Q189</f>
        <v>0</v>
      </c>
      <c r="F189" s="13" t="n">
        <f aca="false">лютий!F189</f>
        <v>0</v>
      </c>
      <c r="G189" s="13" t="n">
        <f aca="false">лютий!G189</f>
        <v>49.15</v>
      </c>
      <c r="H189" s="13" t="n">
        <f aca="false">лютий!H189</f>
        <v>0</v>
      </c>
      <c r="I189" s="13" t="n">
        <f aca="false">лютий!I189</f>
        <v>4.1</v>
      </c>
      <c r="J189" s="14" t="n">
        <f aca="false">ROUND(G189*I189,2)</f>
        <v>201.52</v>
      </c>
      <c r="K189" s="14"/>
      <c r="L189" s="14"/>
      <c r="M189" s="14"/>
      <c r="N189" s="14" t="n">
        <f aca="false">ROUND((G189*I189)-K189-L189-M189,2)</f>
        <v>201.52</v>
      </c>
      <c r="O189" s="14"/>
      <c r="P189" s="14" t="n">
        <f aca="false">ROUND(IF(D189=0,IF((N189-E189-O189)&gt;0,(N189-E189-O189),0),IF((D189+N189-O189)&gt;0,(D189+N189-O189),0)),2)</f>
        <v>5359.28</v>
      </c>
      <c r="Q189" s="14" t="n">
        <f aca="false">ROUND(IF(E189=0,IF((D189+N189-O189)&lt;0,ABS(D189+N189-O189),0),IF((N189-E189-O189)&lt;0,ABS(N189-E189-O189),0)),2)</f>
        <v>0</v>
      </c>
    </row>
    <row r="190" customFormat="false" ht="15" hidden="false" customHeight="true" outlineLevel="0" collapsed="false">
      <c r="A190" s="12" t="s">
        <v>566</v>
      </c>
      <c r="B190" s="12" t="str">
        <f aca="false">лютий!B190</f>
        <v>Онищенко А.В.</v>
      </c>
      <c r="C190" s="12" t="s">
        <v>568</v>
      </c>
      <c r="D190" s="14" t="n">
        <f aca="false">лютий!P190</f>
        <v>6611.78</v>
      </c>
      <c r="E190" s="14" t="n">
        <f aca="false">лютий!Q190</f>
        <v>0</v>
      </c>
      <c r="F190" s="13" t="n">
        <f aca="false">лютий!F190</f>
        <v>0</v>
      </c>
      <c r="G190" s="13" t="n">
        <f aca="false">лютий!G190</f>
        <v>53.72</v>
      </c>
      <c r="H190" s="13" t="n">
        <f aca="false">лютий!H190</f>
        <v>0</v>
      </c>
      <c r="I190" s="13" t="n">
        <f aca="false">лютий!I190</f>
        <v>4.1</v>
      </c>
      <c r="J190" s="14" t="n">
        <f aca="false">ROUND(G190*I190,2)</f>
        <v>220.25</v>
      </c>
      <c r="K190" s="14"/>
      <c r="L190" s="14"/>
      <c r="M190" s="14"/>
      <c r="N190" s="14" t="n">
        <f aca="false">ROUND((G190*I190)-K190-L190-M190,2)</f>
        <v>220.25</v>
      </c>
      <c r="O190" s="14"/>
      <c r="P190" s="14" t="n">
        <f aca="false">ROUND(IF(D190=0,IF((N190-E190-O190)&gt;0,(N190-E190-O190),0),IF((D190+N190-O190)&gt;0,(D190+N190-O190),0)),2)</f>
        <v>6832.03</v>
      </c>
      <c r="Q190" s="14" t="n">
        <f aca="false">ROUND(IF(E190=0,IF((D190+N190-O190)&lt;0,ABS(D190+N190-O190),0),IF((N190-E190-O190)&lt;0,ABS(N190-E190-O190),0)),2)</f>
        <v>0</v>
      </c>
    </row>
    <row r="191" customFormat="false" ht="15" hidden="false" customHeight="true" outlineLevel="0" collapsed="false">
      <c r="A191" s="12" t="s">
        <v>569</v>
      </c>
      <c r="B191" s="12" t="str">
        <f aca="false">лютий!B191</f>
        <v>Соколова О.О.</v>
      </c>
      <c r="C191" s="12" t="s">
        <v>571</v>
      </c>
      <c r="D191" s="14" t="n">
        <f aca="false">лютий!P191</f>
        <v>848.34</v>
      </c>
      <c r="E191" s="14" t="n">
        <f aca="false">лютий!Q191</f>
        <v>0</v>
      </c>
      <c r="F191" s="13" t="n">
        <f aca="false">лютий!F191</f>
        <v>0</v>
      </c>
      <c r="G191" s="13" t="n">
        <f aca="false">лютий!G191</f>
        <v>68.97</v>
      </c>
      <c r="H191" s="13" t="n">
        <f aca="false">лютий!H191</f>
        <v>0</v>
      </c>
      <c r="I191" s="13" t="n">
        <f aca="false">лютий!I191</f>
        <v>4.1</v>
      </c>
      <c r="J191" s="14" t="n">
        <f aca="false">ROUND(G191*I191,2)</f>
        <v>282.78</v>
      </c>
      <c r="K191" s="14"/>
      <c r="L191" s="14"/>
      <c r="M191" s="14"/>
      <c r="N191" s="14" t="n">
        <f aca="false">ROUND((G191*I191)-K191-L191-M191,2)</f>
        <v>282.78</v>
      </c>
      <c r="O191" s="14"/>
      <c r="P191" s="14" t="n">
        <f aca="false">ROUND(IF(D191=0,IF((N191-E191-O191)&gt;0,(N191-E191-O191),0),IF((D191+N191-O191)&gt;0,(D191+N191-O191),0)),2)</f>
        <v>1131.12</v>
      </c>
      <c r="Q191" s="14" t="n">
        <f aca="false">ROUND(IF(E191=0,IF((D191+N191-O191)&lt;0,ABS(D191+N191-O191),0),IF((N191-E191-O191)&lt;0,ABS(N191-E191-O191),0)),2)</f>
        <v>0</v>
      </c>
    </row>
    <row r="192" customFormat="false" ht="15" hidden="false" customHeight="true" outlineLevel="0" collapsed="false">
      <c r="A192" s="12" t="s">
        <v>572</v>
      </c>
      <c r="B192" s="12" t="str">
        <f aca="false">лютий!B192</f>
        <v>Ільіна В.П.</v>
      </c>
      <c r="C192" s="12" t="s">
        <v>574</v>
      </c>
      <c r="D192" s="14" t="n">
        <f aca="false">лютий!P192</f>
        <v>8431.01</v>
      </c>
      <c r="E192" s="14" t="n">
        <f aca="false">лютий!Q192</f>
        <v>0</v>
      </c>
      <c r="F192" s="13" t="n">
        <f aca="false">лютий!F192</f>
        <v>0</v>
      </c>
      <c r="G192" s="13" t="n">
        <f aca="false">лютий!G192</f>
        <v>49.86</v>
      </c>
      <c r="H192" s="13" t="n">
        <f aca="false">лютий!H192</f>
        <v>0</v>
      </c>
      <c r="I192" s="13" t="n">
        <f aca="false">лютий!I192</f>
        <v>4.1</v>
      </c>
      <c r="J192" s="14" t="n">
        <f aca="false">ROUND(G192*I192,2)</f>
        <v>204.43</v>
      </c>
      <c r="K192" s="14"/>
      <c r="L192" s="14"/>
      <c r="M192" s="14"/>
      <c r="N192" s="14" t="n">
        <f aca="false">ROUND((G192*I192)-K192-L192-M192,2)</f>
        <v>204.43</v>
      </c>
      <c r="O192" s="14"/>
      <c r="P192" s="14" t="n">
        <f aca="false">ROUND(IF(D192=0,IF((N192-E192-O192)&gt;0,(N192-E192-O192),0),IF((D192+N192-O192)&gt;0,(D192+N192-O192),0)),2)</f>
        <v>8635.44</v>
      </c>
      <c r="Q192" s="14" t="n">
        <f aca="false">ROUND(IF(E192=0,IF((D192+N192-O192)&lt;0,ABS(D192+N192-O192),0),IF((N192-E192-O192)&lt;0,ABS(N192-E192-O192),0)),2)</f>
        <v>0</v>
      </c>
    </row>
    <row r="193" customFormat="false" ht="15" hidden="false" customHeight="true" outlineLevel="0" collapsed="false">
      <c r="A193" s="12" t="s">
        <v>575</v>
      </c>
      <c r="B193" s="12" t="str">
        <f aca="false">лютий!B193</f>
        <v>Чешок Г.К.</v>
      </c>
      <c r="C193" s="12" t="s">
        <v>577</v>
      </c>
      <c r="D193" s="14" t="n">
        <f aca="false">лютий!P193</f>
        <v>12385.51</v>
      </c>
      <c r="E193" s="14" t="n">
        <f aca="false">лютий!Q193</f>
        <v>0</v>
      </c>
      <c r="F193" s="13" t="n">
        <f aca="false">лютий!F193</f>
        <v>0</v>
      </c>
      <c r="G193" s="13" t="n">
        <f aca="false">лютий!G193</f>
        <v>60.86</v>
      </c>
      <c r="H193" s="13" t="n">
        <f aca="false">лютий!H193</f>
        <v>0</v>
      </c>
      <c r="I193" s="13" t="n">
        <f aca="false">лютий!I193</f>
        <v>4.1</v>
      </c>
      <c r="J193" s="14" t="n">
        <f aca="false">ROUND(G193*I193,2)</f>
        <v>249.53</v>
      </c>
      <c r="K193" s="14"/>
      <c r="L193" s="14"/>
      <c r="M193" s="14"/>
      <c r="N193" s="14" t="n">
        <f aca="false">ROUND((G193*I193)-K193-L193-M193,2)</f>
        <v>249.53</v>
      </c>
      <c r="O193" s="14"/>
      <c r="P193" s="14" t="n">
        <f aca="false">ROUND(IF(D193=0,IF((N193-E193-O193)&gt;0,(N193-E193-O193),0),IF((D193+N193-O193)&gt;0,(D193+N193-O193),0)),2)</f>
        <v>12635.04</v>
      </c>
      <c r="Q193" s="14" t="n">
        <f aca="false">ROUND(IF(E193=0,IF((D193+N193-O193)&lt;0,ABS(D193+N193-O193),0),IF((N193-E193-O193)&lt;0,ABS(N193-E193-O193),0)),2)</f>
        <v>0</v>
      </c>
    </row>
    <row r="194" customFormat="false" ht="15" hidden="false" customHeight="true" outlineLevel="0" collapsed="false">
      <c r="A194" s="12" t="s">
        <v>578</v>
      </c>
      <c r="B194" s="12" t="str">
        <f aca="false">лютий!B194</f>
        <v>Бердников В.А.</v>
      </c>
      <c r="C194" s="12" t="s">
        <v>580</v>
      </c>
      <c r="D194" s="14" t="n">
        <f aca="false">лютий!P194</f>
        <v>8919.47</v>
      </c>
      <c r="E194" s="14" t="n">
        <f aca="false">лютий!Q194</f>
        <v>0</v>
      </c>
      <c r="F194" s="13" t="n">
        <f aca="false">лютий!F194</f>
        <v>0</v>
      </c>
      <c r="G194" s="13" t="n">
        <f aca="false">лютий!G194</f>
        <v>66.75</v>
      </c>
      <c r="H194" s="13" t="n">
        <f aca="false">лютий!H194</f>
        <v>0</v>
      </c>
      <c r="I194" s="13" t="n">
        <f aca="false">лютий!I194</f>
        <v>4.1</v>
      </c>
      <c r="J194" s="14" t="n">
        <f aca="false">ROUND(G194*I194,2)</f>
        <v>273.68</v>
      </c>
      <c r="K194" s="14"/>
      <c r="L194" s="14"/>
      <c r="M194" s="14"/>
      <c r="N194" s="14" t="n">
        <f aca="false">ROUND((G194*I194)-K194-L194-M194,2)</f>
        <v>273.68</v>
      </c>
      <c r="O194" s="14"/>
      <c r="P194" s="14" t="n">
        <f aca="false">ROUND(IF(D194=0,IF((N194-E194-O194)&gt;0,(N194-E194-O194),0),IF((D194+N194-O194)&gt;0,(D194+N194-O194),0)),2)</f>
        <v>9193.15</v>
      </c>
      <c r="Q194" s="14" t="n">
        <f aca="false">ROUND(IF(E194=0,IF((D194+N194-O194)&lt;0,ABS(D194+N194-O194),0),IF((N194-E194-O194)&lt;0,ABS(N194-E194-O194),0)),2)</f>
        <v>0</v>
      </c>
    </row>
    <row r="195" customFormat="false" ht="15" hidden="false" customHeight="true" outlineLevel="0" collapsed="false">
      <c r="A195" s="12" t="s">
        <v>581</v>
      </c>
      <c r="B195" s="12" t="str">
        <f aca="false">лютий!B195</f>
        <v>Щербак Н.В.</v>
      </c>
      <c r="C195" s="12" t="s">
        <v>583</v>
      </c>
      <c r="D195" s="14" t="n">
        <f aca="false">лютий!P195</f>
        <v>13671.56</v>
      </c>
      <c r="E195" s="14" t="n">
        <f aca="false">лютий!Q195</f>
        <v>0</v>
      </c>
      <c r="F195" s="13" t="n">
        <f aca="false">лютий!F195</f>
        <v>0</v>
      </c>
      <c r="G195" s="13" t="n">
        <f aca="false">лютий!G195</f>
        <v>72.49</v>
      </c>
      <c r="H195" s="13" t="n">
        <f aca="false">лютий!H195</f>
        <v>0</v>
      </c>
      <c r="I195" s="13" t="n">
        <f aca="false">лютий!I195</f>
        <v>4.1</v>
      </c>
      <c r="J195" s="14" t="n">
        <f aca="false">ROUND(G195*I195,2)</f>
        <v>297.21</v>
      </c>
      <c r="K195" s="14"/>
      <c r="L195" s="14"/>
      <c r="M195" s="14"/>
      <c r="N195" s="14" t="n">
        <f aca="false">ROUND((G195*I195)-K195-L195-M195,2)</f>
        <v>297.21</v>
      </c>
      <c r="O195" s="14"/>
      <c r="P195" s="14" t="n">
        <f aca="false">ROUND(IF(D195=0,IF((N195-E195-O195)&gt;0,(N195-E195-O195),0),IF((D195+N195-O195)&gt;0,(D195+N195-O195),0)),2)</f>
        <v>13968.77</v>
      </c>
      <c r="Q195" s="14" t="n">
        <f aca="false">ROUND(IF(E195=0,IF((D195+N195-O195)&lt;0,ABS(D195+N195-O195),0),IF((N195-E195-O195)&lt;0,ABS(N195-E195-O195),0)),2)</f>
        <v>0</v>
      </c>
    </row>
    <row r="196" customFormat="false" ht="15" hidden="false" customHeight="true" outlineLevel="0" collapsed="false">
      <c r="A196" s="12" t="s">
        <v>584</v>
      </c>
      <c r="B196" s="12" t="str">
        <f aca="false">лютий!B196</f>
        <v>Рожков Ю.М.</v>
      </c>
      <c r="C196" s="12" t="s">
        <v>586</v>
      </c>
      <c r="D196" s="14" t="n">
        <f aca="false">лютий!P196</f>
        <v>350.54</v>
      </c>
      <c r="E196" s="14" t="n">
        <f aca="false">лютий!Q196</f>
        <v>0</v>
      </c>
      <c r="F196" s="13" t="n">
        <f aca="false">лютий!F196</f>
        <v>0</v>
      </c>
      <c r="G196" s="13" t="n">
        <f aca="false">лютий!G196</f>
        <v>49.8</v>
      </c>
      <c r="H196" s="13" t="n">
        <f aca="false">лютий!H196</f>
        <v>0</v>
      </c>
      <c r="I196" s="13" t="n">
        <f aca="false">лютий!I196</f>
        <v>4.1</v>
      </c>
      <c r="J196" s="14" t="n">
        <f aca="false">ROUND(G196*I196,2)</f>
        <v>204.18</v>
      </c>
      <c r="K196" s="14"/>
      <c r="L196" s="14"/>
      <c r="M196" s="14"/>
      <c r="N196" s="14" t="n">
        <f aca="false">ROUND((G196*I196)-K196-L196-M196,2)</f>
        <v>204.18</v>
      </c>
      <c r="O196" s="14"/>
      <c r="P196" s="14" t="n">
        <f aca="false">ROUND(IF(D196=0,IF((N196-E196-O196)&gt;0,(N196-E196-O196),0),IF((D196+N196-O196)&gt;0,(D196+N196-O196),0)),2)</f>
        <v>554.72</v>
      </c>
      <c r="Q196" s="14" t="n">
        <f aca="false">ROUND(IF(E196=0,IF((D196+N196-O196)&lt;0,ABS(D196+N196-O196),0),IF((N196-E196-O196)&lt;0,ABS(N196-E196-O196),0)),2)</f>
        <v>0</v>
      </c>
    </row>
    <row r="197" customFormat="false" ht="15" hidden="false" customHeight="true" outlineLevel="0" collapsed="false">
      <c r="A197" s="12" t="s">
        <v>587</v>
      </c>
      <c r="B197" s="12" t="str">
        <f aca="false">лютий!B197</f>
        <v>Кобець В.В.</v>
      </c>
      <c r="C197" s="12" t="s">
        <v>589</v>
      </c>
      <c r="D197" s="14" t="n">
        <f aca="false">лютий!P197</f>
        <v>7750.63</v>
      </c>
      <c r="E197" s="14" t="n">
        <f aca="false">лютий!Q197</f>
        <v>0</v>
      </c>
      <c r="F197" s="13" t="n">
        <f aca="false">лютий!F197</f>
        <v>0</v>
      </c>
      <c r="G197" s="13" t="n">
        <f aca="false">лютий!G197</f>
        <v>62.36</v>
      </c>
      <c r="H197" s="13" t="n">
        <f aca="false">лютий!H197</f>
        <v>0</v>
      </c>
      <c r="I197" s="13" t="n">
        <f aca="false">лютий!I197</f>
        <v>4.1</v>
      </c>
      <c r="J197" s="14" t="n">
        <f aca="false">ROUND(G197*I197,2)</f>
        <v>255.68</v>
      </c>
      <c r="K197" s="14"/>
      <c r="L197" s="14"/>
      <c r="M197" s="14"/>
      <c r="N197" s="14" t="n">
        <f aca="false">ROUND((G197*I197)-K197-L197-M197,2)</f>
        <v>255.68</v>
      </c>
      <c r="O197" s="14"/>
      <c r="P197" s="14" t="n">
        <f aca="false">ROUND(IF(D197=0,IF((N197-E197-O197)&gt;0,(N197-E197-O197),0),IF((D197+N197-O197)&gt;0,(D197+N197-O197),0)),2)</f>
        <v>8006.31</v>
      </c>
      <c r="Q197" s="14" t="n">
        <f aca="false">ROUND(IF(E197=0,IF((D197+N197-O197)&lt;0,ABS(D197+N197-O197),0),IF((N197-E197-O197)&lt;0,ABS(N197-E197-O197),0)),2)</f>
        <v>0</v>
      </c>
    </row>
    <row r="198" customFormat="false" ht="15" hidden="false" customHeight="true" outlineLevel="0" collapsed="false">
      <c r="A198" s="12" t="s">
        <v>590</v>
      </c>
      <c r="B198" s="12" t="str">
        <f aca="false">лютий!B198</f>
        <v>Щерба Л.О.</v>
      </c>
      <c r="C198" s="12" t="s">
        <v>592</v>
      </c>
      <c r="D198" s="14" t="n">
        <f aca="false">лютий!P198</f>
        <v>561.7</v>
      </c>
      <c r="E198" s="14" t="n">
        <f aca="false">лютий!Q198</f>
        <v>0</v>
      </c>
      <c r="F198" s="13" t="n">
        <f aca="false">лютий!F198</f>
        <v>0</v>
      </c>
      <c r="G198" s="13" t="n">
        <f aca="false">лютий!G198</f>
        <v>68.5</v>
      </c>
      <c r="H198" s="13" t="n">
        <f aca="false">лютий!H198</f>
        <v>0</v>
      </c>
      <c r="I198" s="13" t="n">
        <f aca="false">лютий!I198</f>
        <v>4.1</v>
      </c>
      <c r="J198" s="14" t="n">
        <f aca="false">ROUND(G198*I198,2)</f>
        <v>280.85</v>
      </c>
      <c r="K198" s="14"/>
      <c r="L198" s="14"/>
      <c r="M198" s="14"/>
      <c r="N198" s="14" t="n">
        <f aca="false">ROUND((G198*I198)-K198-L198-M198,2)</f>
        <v>280.85</v>
      </c>
      <c r="O198" s="14"/>
      <c r="P198" s="14" t="n">
        <f aca="false">ROUND(IF(D198=0,IF((N198-E198-O198)&gt;0,(N198-E198-O198),0),IF((D198+N198-O198)&gt;0,(D198+N198-O198),0)),2)</f>
        <v>842.55</v>
      </c>
      <c r="Q198" s="14" t="n">
        <f aca="false">ROUND(IF(E198=0,IF((D198+N198-O198)&lt;0,ABS(D198+N198-O198),0),IF((N198-E198-O198)&lt;0,ABS(N198-E198-O198),0)),2)</f>
        <v>0</v>
      </c>
    </row>
    <row r="199" customFormat="false" ht="15" hidden="false" customHeight="true" outlineLevel="0" collapsed="false">
      <c r="A199" s="12" t="s">
        <v>593</v>
      </c>
      <c r="B199" s="12" t="str">
        <f aca="false">лютий!B199</f>
        <v>Сапунова І.В.</v>
      </c>
      <c r="C199" s="12" t="s">
        <v>595</v>
      </c>
      <c r="D199" s="14" t="n">
        <f aca="false">лютий!P199</f>
        <v>11589.76</v>
      </c>
      <c r="E199" s="14" t="n">
        <f aca="false">лютий!Q199</f>
        <v>0</v>
      </c>
      <c r="F199" s="13" t="n">
        <f aca="false">лютий!F199</f>
        <v>0</v>
      </c>
      <c r="G199" s="13" t="n">
        <f aca="false">лютий!G199</f>
        <v>70.42</v>
      </c>
      <c r="H199" s="13" t="n">
        <f aca="false">лютий!H199</f>
        <v>0</v>
      </c>
      <c r="I199" s="13" t="n">
        <f aca="false">лютий!I199</f>
        <v>4.1</v>
      </c>
      <c r="J199" s="14" t="n">
        <f aca="false">ROUND(G199*I199,2)</f>
        <v>288.72</v>
      </c>
      <c r="K199" s="14"/>
      <c r="L199" s="14"/>
      <c r="M199" s="14"/>
      <c r="N199" s="14" t="n">
        <f aca="false">ROUND((G199*I199)-K199-L199-M199,2)</f>
        <v>288.72</v>
      </c>
      <c r="O199" s="14"/>
      <c r="P199" s="14" t="n">
        <f aca="false">ROUND(IF(D199=0,IF((N199-E199-O199)&gt;0,(N199-E199-O199),0),IF((D199+N199-O199)&gt;0,(D199+N199-O199),0)),2)</f>
        <v>11878.48</v>
      </c>
      <c r="Q199" s="14" t="n">
        <f aca="false">ROUND(IF(E199=0,IF((D199+N199-O199)&lt;0,ABS(D199+N199-O199),0),IF((N199-E199-O199)&lt;0,ABS(N199-E199-O199),0)),2)</f>
        <v>0</v>
      </c>
    </row>
    <row r="200" customFormat="false" ht="15" hidden="false" customHeight="true" outlineLevel="0" collapsed="false">
      <c r="A200" s="12" t="s">
        <v>596</v>
      </c>
      <c r="B200" s="12" t="str">
        <f aca="false">лютий!B200</f>
        <v>Саввідіс В.О.</v>
      </c>
      <c r="C200" s="12" t="s">
        <v>598</v>
      </c>
      <c r="D200" s="14" t="n">
        <f aca="false">лютий!P200</f>
        <v>10486.28</v>
      </c>
      <c r="E200" s="14" t="n">
        <f aca="false">лютий!Q200</f>
        <v>0</v>
      </c>
      <c r="F200" s="13" t="n">
        <f aca="false">лютий!F200</f>
        <v>0</v>
      </c>
      <c r="G200" s="13" t="n">
        <f aca="false">лютий!G200</f>
        <v>49.7</v>
      </c>
      <c r="H200" s="13" t="n">
        <f aca="false">лютий!H200</f>
        <v>0</v>
      </c>
      <c r="I200" s="13" t="n">
        <f aca="false">лютий!I200</f>
        <v>4.1</v>
      </c>
      <c r="J200" s="14" t="n">
        <f aca="false">ROUND(G200*I200,2)</f>
        <v>203.77</v>
      </c>
      <c r="K200" s="14"/>
      <c r="L200" s="14"/>
      <c r="M200" s="14"/>
      <c r="N200" s="14" t="n">
        <f aca="false">ROUND((G200*I200)-K200-L200-M200,2)</f>
        <v>203.77</v>
      </c>
      <c r="O200" s="14"/>
      <c r="P200" s="14" t="n">
        <f aca="false">ROUND(IF(D200=0,IF((N200-E200-O200)&gt;0,(N200-E200-O200),0),IF((D200+N200-O200)&gt;0,(D200+N200-O200),0)),2)</f>
        <v>10690.05</v>
      </c>
      <c r="Q200" s="14" t="n">
        <f aca="false">ROUND(IF(E200=0,IF((D200+N200-O200)&lt;0,ABS(D200+N200-O200),0),IF((N200-E200-O200)&lt;0,ABS(N200-E200-O200),0)),2)</f>
        <v>0</v>
      </c>
    </row>
    <row r="201" customFormat="false" ht="15" hidden="false" customHeight="true" outlineLevel="0" collapsed="false">
      <c r="A201" s="12" t="s">
        <v>599</v>
      </c>
      <c r="B201" s="12" t="str">
        <f aca="false">лютий!B201</f>
        <v>Кашина Г.І.</v>
      </c>
      <c r="C201" s="12" t="s">
        <v>601</v>
      </c>
      <c r="D201" s="14" t="n">
        <f aca="false">лютий!P201</f>
        <v>12576.34</v>
      </c>
      <c r="E201" s="14" t="n">
        <f aca="false">лютий!Q201</f>
        <v>0</v>
      </c>
      <c r="F201" s="13" t="n">
        <f aca="false">лютий!F201</f>
        <v>0</v>
      </c>
      <c r="G201" s="13" t="n">
        <f aca="false">лютий!G201</f>
        <v>62.6</v>
      </c>
      <c r="H201" s="13" t="n">
        <f aca="false">лютий!H201</f>
        <v>0</v>
      </c>
      <c r="I201" s="13" t="n">
        <f aca="false">лютий!I201</f>
        <v>4.1</v>
      </c>
      <c r="J201" s="14" t="n">
        <f aca="false">ROUND(G201*I201,2)</f>
        <v>256.66</v>
      </c>
      <c r="K201" s="14"/>
      <c r="L201" s="14"/>
      <c r="M201" s="14"/>
      <c r="N201" s="14" t="n">
        <f aca="false">ROUND((G201*I201)-K201-L201-M201,2)</f>
        <v>256.66</v>
      </c>
      <c r="O201" s="14"/>
      <c r="P201" s="14" t="n">
        <f aca="false">ROUND(IF(D201=0,IF((N201-E201-O201)&gt;0,(N201-E201-O201),0),IF((D201+N201-O201)&gt;0,(D201+N201-O201),0)),2)</f>
        <v>12833</v>
      </c>
      <c r="Q201" s="14" t="n">
        <f aca="false">ROUND(IF(E201=0,IF((D201+N201-O201)&lt;0,ABS(D201+N201-O201),0),IF((N201-E201-O201)&lt;0,ABS(N201-E201-O201),0)),2)</f>
        <v>0</v>
      </c>
    </row>
    <row r="202" customFormat="false" ht="15" hidden="false" customHeight="true" outlineLevel="0" collapsed="false">
      <c r="A202" s="12" t="s">
        <v>602</v>
      </c>
      <c r="B202" s="12" t="str">
        <f aca="false">лютий!B202</f>
        <v>Фадеєва Є.А.</v>
      </c>
      <c r="C202" s="12" t="s">
        <v>604</v>
      </c>
      <c r="D202" s="14" t="n">
        <f aca="false">лютий!P202</f>
        <v>577.28</v>
      </c>
      <c r="E202" s="14" t="n">
        <f aca="false">лютий!Q202</f>
        <v>0</v>
      </c>
      <c r="F202" s="13" t="n">
        <f aca="false">лютий!F202</f>
        <v>0</v>
      </c>
      <c r="G202" s="13" t="n">
        <f aca="false">лютий!G202</f>
        <v>70.4</v>
      </c>
      <c r="H202" s="13" t="n">
        <f aca="false">лютий!H202</f>
        <v>0</v>
      </c>
      <c r="I202" s="13" t="n">
        <f aca="false">лютий!I202</f>
        <v>4.1</v>
      </c>
      <c r="J202" s="14" t="n">
        <f aca="false">ROUND(G202*I202,2)</f>
        <v>288.64</v>
      </c>
      <c r="K202" s="14"/>
      <c r="L202" s="14"/>
      <c r="M202" s="14"/>
      <c r="N202" s="14" t="n">
        <f aca="false">ROUND((G202*I202)-K202-L202-M202,2)</f>
        <v>288.64</v>
      </c>
      <c r="O202" s="14"/>
      <c r="P202" s="14" t="n">
        <f aca="false">ROUND(IF(D202=0,IF((N202-E202-O202)&gt;0,(N202-E202-O202),0),IF((D202+N202-O202)&gt;0,(D202+N202-O202),0)),2)</f>
        <v>865.92</v>
      </c>
      <c r="Q202" s="14" t="n">
        <f aca="false">ROUND(IF(E202=0,IF((D202+N202-O202)&lt;0,ABS(D202+N202-O202),0),IF((N202-E202-O202)&lt;0,ABS(N202-E202-O202),0)),2)</f>
        <v>0</v>
      </c>
    </row>
    <row r="203" customFormat="false" ht="15" hidden="false" customHeight="true" outlineLevel="0" collapsed="false">
      <c r="A203" s="12" t="s">
        <v>605</v>
      </c>
      <c r="B203" s="12" t="str">
        <f aca="false">лютий!B203</f>
        <v>Бойко О.А.</v>
      </c>
      <c r="C203" s="12" t="s">
        <v>607</v>
      </c>
      <c r="D203" s="14" t="n">
        <f aca="false">лютий!P203</f>
        <v>575.64</v>
      </c>
      <c r="E203" s="14" t="n">
        <f aca="false">лютий!Q203</f>
        <v>0</v>
      </c>
      <c r="F203" s="13" t="n">
        <f aca="false">лютий!F203</f>
        <v>0</v>
      </c>
      <c r="G203" s="13" t="n">
        <f aca="false">лютий!G203</f>
        <v>70.2</v>
      </c>
      <c r="H203" s="13" t="n">
        <f aca="false">лютий!H203</f>
        <v>0</v>
      </c>
      <c r="I203" s="13" t="n">
        <f aca="false">лютий!I203</f>
        <v>4.1</v>
      </c>
      <c r="J203" s="14" t="n">
        <f aca="false">ROUND(G203*I203,2)</f>
        <v>287.82</v>
      </c>
      <c r="K203" s="14"/>
      <c r="L203" s="14"/>
      <c r="M203" s="14"/>
      <c r="N203" s="14" t="n">
        <f aca="false">ROUND((G203*I203)-K203-L203-M203,2)</f>
        <v>287.82</v>
      </c>
      <c r="O203" s="14"/>
      <c r="P203" s="14" t="n">
        <f aca="false">ROUND(IF(D203=0,IF((N203-E203-O203)&gt;0,(N203-E203-O203),0),IF((D203+N203-O203)&gt;0,(D203+N203-O203),0)),2)</f>
        <v>863.46</v>
      </c>
      <c r="Q203" s="14" t="n">
        <f aca="false">ROUND(IF(E203=0,IF((D203+N203-O203)&lt;0,ABS(D203+N203-O203),0),IF((N203-E203-O203)&lt;0,ABS(N203-E203-O203),0)),2)</f>
        <v>0</v>
      </c>
    </row>
    <row r="204" customFormat="false" ht="15" hidden="false" customHeight="true" outlineLevel="0" collapsed="false">
      <c r="A204" s="12" t="s">
        <v>608</v>
      </c>
      <c r="B204" s="12" t="str">
        <f aca="false">лютий!B204</f>
        <v>Дудник І.А.</v>
      </c>
      <c r="C204" s="12" t="s">
        <v>610</v>
      </c>
      <c r="D204" s="14" t="n">
        <f aca="false">лютий!P204</f>
        <v>9469.77</v>
      </c>
      <c r="E204" s="14" t="n">
        <f aca="false">лютий!Q204</f>
        <v>0</v>
      </c>
      <c r="F204" s="13" t="n">
        <f aca="false">лютий!F204</f>
        <v>0</v>
      </c>
      <c r="G204" s="13" t="n">
        <f aca="false">лютий!G204</f>
        <v>49.94</v>
      </c>
      <c r="H204" s="13" t="n">
        <f aca="false">лютий!H204</f>
        <v>0</v>
      </c>
      <c r="I204" s="13" t="n">
        <f aca="false">лютий!I204</f>
        <v>4.1</v>
      </c>
      <c r="J204" s="14" t="n">
        <f aca="false">ROUND(G204*I204,2)</f>
        <v>204.75</v>
      </c>
      <c r="K204" s="14"/>
      <c r="L204" s="14"/>
      <c r="M204" s="14"/>
      <c r="N204" s="14" t="n">
        <f aca="false">ROUND((G204*I204)-K204-L204-M204,2)</f>
        <v>204.75</v>
      </c>
      <c r="O204" s="14"/>
      <c r="P204" s="14" t="n">
        <f aca="false">ROUND(IF(D204=0,IF((N204-E204-O204)&gt;0,(N204-E204-O204),0),IF((D204+N204-O204)&gt;0,(D204+N204-O204),0)),2)</f>
        <v>9674.52</v>
      </c>
      <c r="Q204" s="14" t="n">
        <f aca="false">ROUND(IF(E204=0,IF((D204+N204-O204)&lt;0,ABS(D204+N204-O204),0),IF((N204-E204-O204)&lt;0,ABS(N204-E204-O204),0)),2)</f>
        <v>0</v>
      </c>
    </row>
    <row r="205" customFormat="false" ht="15" hidden="false" customHeight="true" outlineLevel="0" collapsed="false">
      <c r="A205" s="12" t="s">
        <v>611</v>
      </c>
      <c r="B205" s="12" t="str">
        <f aca="false">лютий!B205</f>
        <v>Лебедєва Т.В.</v>
      </c>
      <c r="C205" s="12" t="s">
        <v>613</v>
      </c>
      <c r="D205" s="14" t="n">
        <f aca="false">лютий!P205</f>
        <v>10468.06</v>
      </c>
      <c r="E205" s="14" t="n">
        <f aca="false">лютий!Q205</f>
        <v>0</v>
      </c>
      <c r="F205" s="13" t="n">
        <f aca="false">лютий!F205</f>
        <v>0</v>
      </c>
      <c r="G205" s="13" t="n">
        <f aca="false">лютий!G205</f>
        <v>62.3</v>
      </c>
      <c r="H205" s="13" t="n">
        <f aca="false">лютий!H205</f>
        <v>0</v>
      </c>
      <c r="I205" s="13" t="n">
        <f aca="false">лютий!I205</f>
        <v>4.1</v>
      </c>
      <c r="J205" s="14" t="n">
        <f aca="false">ROUND(G205*I205,2)</f>
        <v>255.43</v>
      </c>
      <c r="K205" s="14"/>
      <c r="L205" s="14"/>
      <c r="M205" s="14"/>
      <c r="N205" s="14" t="n">
        <f aca="false">ROUND((G205*I205)-K205-L205-M205,2)</f>
        <v>255.43</v>
      </c>
      <c r="O205" s="14"/>
      <c r="P205" s="14" t="n">
        <f aca="false">ROUND(IF(D205=0,IF((N205-E205-O205)&gt;0,(N205-E205-O205),0),IF((D205+N205-O205)&gt;0,(D205+N205-O205),0)),2)</f>
        <v>10723.49</v>
      </c>
      <c r="Q205" s="14" t="n">
        <f aca="false">ROUND(IF(E205=0,IF((D205+N205-O205)&lt;0,ABS(D205+N205-O205),0),IF((N205-E205-O205)&lt;0,ABS(N205-E205-O205),0)),2)</f>
        <v>0</v>
      </c>
    </row>
    <row r="206" customFormat="false" ht="15" hidden="false" customHeight="true" outlineLevel="0" collapsed="false">
      <c r="A206" s="12" t="s">
        <v>614</v>
      </c>
      <c r="B206" s="12" t="str">
        <f aca="false">лютий!B206</f>
        <v>Криницький Л.С.</v>
      </c>
      <c r="C206" s="12" t="s">
        <v>616</v>
      </c>
      <c r="D206" s="14" t="n">
        <f aca="false">лютий!P206</f>
        <v>277.2</v>
      </c>
      <c r="E206" s="14" t="n">
        <f aca="false">лютий!Q206</f>
        <v>0</v>
      </c>
      <c r="F206" s="13" t="n">
        <f aca="false">лютий!F206</f>
        <v>0</v>
      </c>
      <c r="G206" s="13" t="n">
        <f aca="false">лютий!G206</f>
        <v>67.61</v>
      </c>
      <c r="H206" s="13" t="n">
        <f aca="false">лютий!H206</f>
        <v>0</v>
      </c>
      <c r="I206" s="13" t="n">
        <f aca="false">лютий!I206</f>
        <v>4.1</v>
      </c>
      <c r="J206" s="14" t="n">
        <f aca="false">ROUND(G206*I206,2)</f>
        <v>277.2</v>
      </c>
      <c r="K206" s="14"/>
      <c r="L206" s="14"/>
      <c r="M206" s="14"/>
      <c r="N206" s="14" t="n">
        <f aca="false">ROUND((G206*I206)-K206-L206-M206,2)</f>
        <v>277.2</v>
      </c>
      <c r="O206" s="14"/>
      <c r="P206" s="14" t="n">
        <f aca="false">ROUND(IF(D206=0,IF((N206-E206-O206)&gt;0,(N206-E206-O206),0),IF((D206+N206-O206)&gt;0,(D206+N206-O206),0)),2)</f>
        <v>554.4</v>
      </c>
      <c r="Q206" s="14" t="n">
        <f aca="false">ROUND(IF(E206=0,IF((D206+N206-O206)&lt;0,ABS(D206+N206-O206),0),IF((N206-E206-O206)&lt;0,ABS(N206-E206-O206),0)),2)</f>
        <v>0</v>
      </c>
    </row>
    <row r="207" customFormat="false" ht="14.25" hidden="false" customHeight="true" outlineLevel="0" collapsed="false">
      <c r="A207" s="12" t="s">
        <v>617</v>
      </c>
      <c r="B207" s="12" t="str">
        <f aca="false">лютий!B207</f>
        <v>Сафонов В.В.</v>
      </c>
      <c r="C207" s="12" t="s">
        <v>619</v>
      </c>
      <c r="D207" s="14" t="n">
        <f aca="false">лютий!P207</f>
        <v>12883.02</v>
      </c>
      <c r="E207" s="14" t="n">
        <f aca="false">лютий!Q207</f>
        <v>0</v>
      </c>
      <c r="F207" s="13" t="n">
        <f aca="false">лютий!F207</f>
        <v>0</v>
      </c>
      <c r="G207" s="13" t="n">
        <f aca="false">лютий!G207</f>
        <v>70.38</v>
      </c>
      <c r="H207" s="13" t="n">
        <f aca="false">лютий!H207</f>
        <v>0</v>
      </c>
      <c r="I207" s="13" t="n">
        <f aca="false">лютий!I207</f>
        <v>4.1</v>
      </c>
      <c r="J207" s="14" t="n">
        <f aca="false">ROUND(G207*I207,2)</f>
        <v>288.56</v>
      </c>
      <c r="K207" s="14"/>
      <c r="L207" s="14"/>
      <c r="M207" s="14"/>
      <c r="N207" s="14" t="n">
        <f aca="false">ROUND((G207*I207)-K207-L207-M207,2)</f>
        <v>288.56</v>
      </c>
      <c r="O207" s="14"/>
      <c r="P207" s="14" t="n">
        <f aca="false">ROUND(IF(D207=0,IF((N207-E207-O207)&gt;0,(N207-E207-O207),0),IF((D207+N207-O207)&gt;0,(D207+N207-O207),0)),2)</f>
        <v>13171.58</v>
      </c>
      <c r="Q207" s="14" t="n">
        <f aca="false">ROUND(IF(E207=0,IF((D207+N207-O207)&lt;0,ABS(D207+N207-O207),0),IF((N207-E207-O207)&lt;0,ABS(N207-E207-O207),0)),2)</f>
        <v>0</v>
      </c>
    </row>
    <row r="208" customFormat="false" ht="15" hidden="false" customHeight="true" outlineLevel="0" collapsed="false">
      <c r="A208" s="12" t="s">
        <v>620</v>
      </c>
      <c r="B208" s="12" t="str">
        <f aca="false">лютий!B208</f>
        <v>Мільковська Р.Г.</v>
      </c>
      <c r="C208" s="12" t="s">
        <v>622</v>
      </c>
      <c r="D208" s="14" t="n">
        <f aca="false">лютий!P208</f>
        <v>9240.92</v>
      </c>
      <c r="E208" s="14" t="n">
        <f aca="false">лютий!Q208</f>
        <v>0</v>
      </c>
      <c r="F208" s="13" t="n">
        <f aca="false">лютий!F208</f>
        <v>0</v>
      </c>
      <c r="G208" s="13" t="n">
        <f aca="false">лютий!G208</f>
        <v>49.88</v>
      </c>
      <c r="H208" s="13" t="n">
        <f aca="false">лютий!H208</f>
        <v>0</v>
      </c>
      <c r="I208" s="13" t="n">
        <f aca="false">лютий!I208</f>
        <v>4.1</v>
      </c>
      <c r="J208" s="14" t="n">
        <f aca="false">ROUND(G208*I208,2)</f>
        <v>204.51</v>
      </c>
      <c r="K208" s="14"/>
      <c r="L208" s="14"/>
      <c r="M208" s="14"/>
      <c r="N208" s="14" t="n">
        <f aca="false">ROUND((G208*I208)-K208-L208-M208,2)</f>
        <v>204.51</v>
      </c>
      <c r="O208" s="14"/>
      <c r="P208" s="14" t="n">
        <f aca="false">ROUND(IF(D208=0,IF((N208-E208-O208)&gt;0,(N208-E208-O208),0),IF((D208+N208-O208)&gt;0,(D208+N208-O208),0)),2)</f>
        <v>9445.43</v>
      </c>
      <c r="Q208" s="14" t="n">
        <f aca="false">ROUND(IF(E208=0,IF((D208+N208-O208)&lt;0,ABS(D208+N208-O208),0),IF((N208-E208-O208)&lt;0,ABS(N208-E208-O208),0)),2)</f>
        <v>0</v>
      </c>
    </row>
    <row r="209" customFormat="false" ht="15" hidden="false" customHeight="true" outlineLevel="0" collapsed="false">
      <c r="A209" s="12" t="s">
        <v>623</v>
      </c>
      <c r="B209" s="12" t="str">
        <f aca="false">лютий!B209</f>
        <v>Заранкін С.М.</v>
      </c>
      <c r="C209" s="12" t="s">
        <v>625</v>
      </c>
      <c r="D209" s="14" t="n">
        <f aca="false">лютий!P209</f>
        <v>10631.88</v>
      </c>
      <c r="E209" s="14" t="n">
        <f aca="false">лютий!Q209</f>
        <v>0</v>
      </c>
      <c r="F209" s="13" t="n">
        <f aca="false">лютий!F209</f>
        <v>0</v>
      </c>
      <c r="G209" s="13" t="n">
        <f aca="false">лютий!G209</f>
        <v>62.02</v>
      </c>
      <c r="H209" s="13" t="n">
        <f aca="false">лютий!H209</f>
        <v>0</v>
      </c>
      <c r="I209" s="13" t="n">
        <f aca="false">лютий!I209</f>
        <v>4.1</v>
      </c>
      <c r="J209" s="14" t="n">
        <f aca="false">ROUND(G209*I209,2)</f>
        <v>254.28</v>
      </c>
      <c r="K209" s="14"/>
      <c r="L209" s="14"/>
      <c r="M209" s="14"/>
      <c r="N209" s="14" t="n">
        <f aca="false">ROUND((G209*I209)-K209-L209-M209,2)</f>
        <v>254.28</v>
      </c>
      <c r="O209" s="14"/>
      <c r="P209" s="14" t="n">
        <f aca="false">ROUND(IF(D209=0,IF((N209-E209-O209)&gt;0,(N209-E209-O209),0),IF((D209+N209-O209)&gt;0,(D209+N209-O209),0)),2)</f>
        <v>10886.16</v>
      </c>
      <c r="Q209" s="14" t="n">
        <f aca="false">ROUND(IF(E209=0,IF((D209+N209-O209)&lt;0,ABS(D209+N209-O209),0),IF((N209-E209-O209)&lt;0,ABS(N209-E209-O209),0)),2)</f>
        <v>0</v>
      </c>
    </row>
    <row r="210" customFormat="false" ht="15" hidden="false" customHeight="true" outlineLevel="0" collapsed="false">
      <c r="A210" s="12" t="s">
        <v>626</v>
      </c>
      <c r="B210" s="12" t="str">
        <f aca="false">лютий!B210</f>
        <v>Сіянко О.М.</v>
      </c>
      <c r="C210" s="12" t="s">
        <v>628</v>
      </c>
      <c r="D210" s="14" t="n">
        <f aca="false">лютий!P210</f>
        <v>3680.24</v>
      </c>
      <c r="E210" s="14" t="n">
        <f aca="false">лютий!Q210</f>
        <v>0</v>
      </c>
      <c r="F210" s="13" t="n">
        <f aca="false">лютий!F210</f>
        <v>0</v>
      </c>
      <c r="G210" s="13" t="n">
        <f aca="false">лютий!G210</f>
        <v>67.6</v>
      </c>
      <c r="H210" s="13" t="n">
        <f aca="false">лютий!H210</f>
        <v>0</v>
      </c>
      <c r="I210" s="13" t="n">
        <f aca="false">лютий!I210</f>
        <v>4.1</v>
      </c>
      <c r="J210" s="14" t="n">
        <f aca="false">ROUND(G210*I210,2)</f>
        <v>277.16</v>
      </c>
      <c r="K210" s="14"/>
      <c r="L210" s="14"/>
      <c r="M210" s="14"/>
      <c r="N210" s="14" t="n">
        <f aca="false">ROUND((G210*I210)-K210-L210-M210,2)</f>
        <v>277.16</v>
      </c>
      <c r="O210" s="14"/>
      <c r="P210" s="14" t="n">
        <f aca="false">ROUND(IF(D210=0,IF((N210-E210-O210)&gt;0,(N210-E210-O210),0),IF((D210+N210-O210)&gt;0,(D210+N210-O210),0)),2)</f>
        <v>3957.4</v>
      </c>
      <c r="Q210" s="14" t="n">
        <f aca="false">ROUND(IF(E210=0,IF((D210+N210-O210)&lt;0,ABS(D210+N210-O210),0),IF((N210-E210-O210)&lt;0,ABS(N210-E210-O210),0)),2)</f>
        <v>0</v>
      </c>
    </row>
    <row r="211" customFormat="false" ht="15" hidden="false" customHeight="true" outlineLevel="0" collapsed="false">
      <c r="A211" s="12" t="s">
        <v>629</v>
      </c>
      <c r="B211" s="12" t="str">
        <f aca="false">лютий!B211</f>
        <v>Осипов В.В.</v>
      </c>
      <c r="C211" s="12" t="s">
        <v>631</v>
      </c>
      <c r="D211" s="14" t="n">
        <f aca="false">лютий!P211</f>
        <v>10436</v>
      </c>
      <c r="E211" s="14" t="n">
        <f aca="false">лютий!Q211</f>
        <v>0</v>
      </c>
      <c r="F211" s="13" t="n">
        <f aca="false">лютий!F211</f>
        <v>0</v>
      </c>
      <c r="G211" s="13" t="n">
        <f aca="false">лютий!G211</f>
        <v>70.42</v>
      </c>
      <c r="H211" s="13" t="n">
        <f aca="false">лютий!H211</f>
        <v>0</v>
      </c>
      <c r="I211" s="13" t="n">
        <f aca="false">лютий!I211</f>
        <v>4.1</v>
      </c>
      <c r="J211" s="14" t="n">
        <f aca="false">ROUND(G211*I211,2)</f>
        <v>288.72</v>
      </c>
      <c r="K211" s="14"/>
      <c r="L211" s="14"/>
      <c r="M211" s="14"/>
      <c r="N211" s="14" t="n">
        <f aca="false">ROUND((G211*I211)-K211-L211-M211,2)</f>
        <v>288.72</v>
      </c>
      <c r="O211" s="14"/>
      <c r="P211" s="14" t="n">
        <f aca="false">ROUND(IF(D211=0,IF((N211-E211-O211)&gt;0,(N211-E211-O211),0),IF((D211+N211-O211)&gt;0,(D211+N211-O211),0)),2)</f>
        <v>10724.72</v>
      </c>
      <c r="Q211" s="14" t="n">
        <f aca="false">ROUND(IF(E211=0,IF((D211+N211-O211)&lt;0,ABS(D211+N211-O211),0),IF((N211-E211-O211)&lt;0,ABS(N211-E211-O211),0)),2)</f>
        <v>0</v>
      </c>
    </row>
    <row r="212" customFormat="false" ht="15" hidden="false" customHeight="true" outlineLevel="0" collapsed="false">
      <c r="A212" s="12" t="s">
        <v>632</v>
      </c>
      <c r="B212" s="12" t="str">
        <f aca="false">лютий!B212</f>
        <v>Перепьолкін А.Л.</v>
      </c>
      <c r="C212" s="12" t="s">
        <v>634</v>
      </c>
      <c r="D212" s="14" t="n">
        <f aca="false">лютий!P212</f>
        <v>408.36</v>
      </c>
      <c r="E212" s="14" t="n">
        <f aca="false">лютий!Q212</f>
        <v>0</v>
      </c>
      <c r="F212" s="13" t="n">
        <f aca="false">лютий!F212</f>
        <v>0</v>
      </c>
      <c r="G212" s="13" t="n">
        <f aca="false">лютий!G212</f>
        <v>49.8</v>
      </c>
      <c r="H212" s="13" t="n">
        <f aca="false">лютий!H212</f>
        <v>0</v>
      </c>
      <c r="I212" s="13" t="n">
        <f aca="false">лютий!I212</f>
        <v>4.1</v>
      </c>
      <c r="J212" s="14" t="n">
        <f aca="false">ROUND(G212*I212,2)</f>
        <v>204.18</v>
      </c>
      <c r="K212" s="14"/>
      <c r="L212" s="14"/>
      <c r="M212" s="14"/>
      <c r="N212" s="14" t="n">
        <f aca="false">ROUND((G212*I212)-K212-L212-M212,2)</f>
        <v>204.18</v>
      </c>
      <c r="O212" s="14"/>
      <c r="P212" s="14" t="n">
        <f aca="false">ROUND(IF(D212=0,IF((N212-E212-O212)&gt;0,(N212-E212-O212),0),IF((D212+N212-O212)&gt;0,(D212+N212-O212),0)),2)</f>
        <v>612.54</v>
      </c>
      <c r="Q212" s="14" t="n">
        <f aca="false">ROUND(IF(E212=0,IF((D212+N212-O212)&lt;0,ABS(D212+N212-O212),0),IF((N212-E212-O212)&lt;0,ABS(N212-E212-O212),0)),2)</f>
        <v>0</v>
      </c>
    </row>
    <row r="213" customFormat="false" ht="15" hidden="false" customHeight="true" outlineLevel="0" collapsed="false">
      <c r="A213" s="12" t="s">
        <v>635</v>
      </c>
      <c r="B213" s="12" t="str">
        <f aca="false">лютий!B213</f>
        <v>Синегрибова В.В.</v>
      </c>
      <c r="C213" s="12" t="s">
        <v>637</v>
      </c>
      <c r="D213" s="14" t="n">
        <f aca="false">лютий!P213</f>
        <v>1744.26</v>
      </c>
      <c r="E213" s="14" t="n">
        <f aca="false">лютий!Q213</f>
        <v>0</v>
      </c>
      <c r="F213" s="13" t="n">
        <f aca="false">лютий!F213</f>
        <v>0</v>
      </c>
      <c r="G213" s="13" t="n">
        <f aca="false">лютий!G213</f>
        <v>62.7</v>
      </c>
      <c r="H213" s="13" t="n">
        <f aca="false">лютий!H213</f>
        <v>0</v>
      </c>
      <c r="I213" s="13" t="n">
        <f aca="false">лютий!I213</f>
        <v>4.1</v>
      </c>
      <c r="J213" s="14" t="n">
        <f aca="false">ROUND(G213*I213,2)</f>
        <v>257.07</v>
      </c>
      <c r="K213" s="14"/>
      <c r="L213" s="14"/>
      <c r="M213" s="14"/>
      <c r="N213" s="14" t="n">
        <f aca="false">ROUND((G213*I213)-K213-L213-M213,2)</f>
        <v>257.07</v>
      </c>
      <c r="O213" s="14"/>
      <c r="P213" s="14" t="n">
        <f aca="false">ROUND(IF(D213=0,IF((N213-E213-O213)&gt;0,(N213-E213-O213),0),IF((D213+N213-O213)&gt;0,(D213+N213-O213),0)),2)</f>
        <v>2001.33</v>
      </c>
      <c r="Q213" s="14" t="n">
        <f aca="false">ROUND(IF(E213=0,IF((D213+N213-O213)&lt;0,ABS(D213+N213-O213),0),IF((N213-E213-O213)&lt;0,ABS(N213-E213-O213),0)),2)</f>
        <v>0</v>
      </c>
    </row>
    <row r="214" customFormat="false" ht="15" hidden="false" customHeight="true" outlineLevel="0" collapsed="false">
      <c r="A214" s="12" t="s">
        <v>638</v>
      </c>
      <c r="B214" s="12" t="str">
        <f aca="false">лютий!B214</f>
        <v>Юдін М.В.</v>
      </c>
      <c r="C214" s="12" t="s">
        <v>640</v>
      </c>
      <c r="D214" s="14" t="n">
        <f aca="false">лютий!P214</f>
        <v>557.6</v>
      </c>
      <c r="E214" s="14" t="n">
        <f aca="false">лютий!Q214</f>
        <v>0</v>
      </c>
      <c r="F214" s="13" t="n">
        <f aca="false">лютий!F214</f>
        <v>0</v>
      </c>
      <c r="G214" s="13" t="n">
        <f aca="false">лютий!G214</f>
        <v>68</v>
      </c>
      <c r="H214" s="13" t="n">
        <f aca="false">лютий!H214</f>
        <v>0</v>
      </c>
      <c r="I214" s="13" t="n">
        <f aca="false">лютий!I214</f>
        <v>4.1</v>
      </c>
      <c r="J214" s="14" t="n">
        <f aca="false">ROUND(G214*I214,2)</f>
        <v>278.8</v>
      </c>
      <c r="K214" s="14"/>
      <c r="L214" s="14"/>
      <c r="M214" s="14"/>
      <c r="N214" s="14" t="n">
        <f aca="false">ROUND((G214*I214)-K214-L214-M214,2)</f>
        <v>278.8</v>
      </c>
      <c r="O214" s="14"/>
      <c r="P214" s="14" t="n">
        <f aca="false">ROUND(IF(D214=0,IF((N214-E214-O214)&gt;0,(N214-E214-O214),0),IF((D214+N214-O214)&gt;0,(D214+N214-O214),0)),2)</f>
        <v>836.4</v>
      </c>
      <c r="Q214" s="14" t="n">
        <f aca="false">ROUND(IF(E214=0,IF((D214+N214-O214)&lt;0,ABS(D214+N214-O214),0),IF((N214-E214-O214)&lt;0,ABS(N214-E214-O214),0)),2)</f>
        <v>0</v>
      </c>
    </row>
    <row r="215" customFormat="false" ht="15" hidden="false" customHeight="true" outlineLevel="0" collapsed="false">
      <c r="A215" s="12" t="s">
        <v>641</v>
      </c>
      <c r="B215" s="12" t="str">
        <f aca="false">лютий!B215</f>
        <v>Сергєєва Н.О.</v>
      </c>
      <c r="C215" s="12" t="s">
        <v>643</v>
      </c>
      <c r="D215" s="14" t="n">
        <f aca="false">лютий!P215</f>
        <v>577.04</v>
      </c>
      <c r="E215" s="14" t="n">
        <f aca="false">лютий!Q215</f>
        <v>0</v>
      </c>
      <c r="F215" s="13" t="n">
        <f aca="false">лютий!F215</f>
        <v>0</v>
      </c>
      <c r="G215" s="13" t="n">
        <f aca="false">лютий!G215</f>
        <v>72.1</v>
      </c>
      <c r="H215" s="13" t="n">
        <f aca="false">лютий!H215</f>
        <v>0</v>
      </c>
      <c r="I215" s="13" t="n">
        <f aca="false">лютий!I215</f>
        <v>4.1</v>
      </c>
      <c r="J215" s="14" t="n">
        <f aca="false">ROUND(G215*I215,2)</f>
        <v>295.61</v>
      </c>
      <c r="K215" s="14"/>
      <c r="L215" s="14"/>
      <c r="M215" s="14"/>
      <c r="N215" s="14" t="n">
        <f aca="false">ROUND((G215*I215)-K215-L215-M215,2)</f>
        <v>295.61</v>
      </c>
      <c r="O215" s="14"/>
      <c r="P215" s="14" t="n">
        <f aca="false">ROUND(IF(D215=0,IF((N215-E215-O215)&gt;0,(N215-E215-O215),0),IF((D215+N215-O215)&gt;0,(D215+N215-O215),0)),2)</f>
        <v>872.65</v>
      </c>
      <c r="Q215" s="14" t="n">
        <f aca="false">ROUND(IF(E215=0,IF((D215+N215-O215)&lt;0,ABS(D215+N215-O215),0),IF((N215-E215-O215)&lt;0,ABS(N215-E215-O215),0)),2)</f>
        <v>0</v>
      </c>
    </row>
    <row r="216" customFormat="false" ht="15" hidden="false" customHeight="true" outlineLevel="0" collapsed="false">
      <c r="A216" s="12" t="s">
        <v>644</v>
      </c>
      <c r="B216" s="12" t="str">
        <f aca="false">лютий!B216</f>
        <v>Рева І.П.</v>
      </c>
      <c r="C216" s="12" t="s">
        <v>646</v>
      </c>
      <c r="D216" s="14" t="n">
        <f aca="false">лютий!P216</f>
        <v>407.7</v>
      </c>
      <c r="E216" s="14" t="n">
        <f aca="false">лютий!Q216</f>
        <v>0</v>
      </c>
      <c r="F216" s="13" t="n">
        <f aca="false">лютий!F216</f>
        <v>0</v>
      </c>
      <c r="G216" s="13" t="n">
        <f aca="false">лютий!G216</f>
        <v>49.72</v>
      </c>
      <c r="H216" s="13" t="n">
        <f aca="false">лютий!H216</f>
        <v>0</v>
      </c>
      <c r="I216" s="13" t="n">
        <f aca="false">лютий!I216</f>
        <v>4.1</v>
      </c>
      <c r="J216" s="14" t="n">
        <f aca="false">ROUND(G216*I216,2)</f>
        <v>203.85</v>
      </c>
      <c r="K216" s="14"/>
      <c r="L216" s="14"/>
      <c r="M216" s="14"/>
      <c r="N216" s="14" t="n">
        <f aca="false">ROUND((G216*I216)-K216-L216-M216,2)</f>
        <v>203.85</v>
      </c>
      <c r="O216" s="14"/>
      <c r="P216" s="14" t="n">
        <f aca="false">ROUND(IF(D216=0,IF((N216-E216-O216)&gt;0,(N216-E216-O216),0),IF((D216+N216-O216)&gt;0,(D216+N216-O216),0)),2)</f>
        <v>611.55</v>
      </c>
      <c r="Q216" s="14" t="n">
        <f aca="false">ROUND(IF(E216=0,IF((D216+N216-O216)&lt;0,ABS(D216+N216-O216),0),IF((N216-E216-O216)&lt;0,ABS(N216-E216-O216),0)),2)</f>
        <v>0</v>
      </c>
    </row>
    <row r="217" customFormat="false" ht="15" hidden="false" customHeight="true" outlineLevel="0" collapsed="false">
      <c r="A217" s="12" t="s">
        <v>647</v>
      </c>
      <c r="B217" s="12" t="str">
        <f aca="false">лютий!B217</f>
        <v>Почапський Ю.Т.</v>
      </c>
      <c r="C217" s="12" t="s">
        <v>649</v>
      </c>
      <c r="D217" s="14" t="n">
        <f aca="false">лютий!P217</f>
        <v>0</v>
      </c>
      <c r="E217" s="14" t="n">
        <f aca="false">лютий!Q217</f>
        <v>29.35</v>
      </c>
      <c r="F217" s="13" t="n">
        <f aca="false">лютий!F217</f>
        <v>0</v>
      </c>
      <c r="G217" s="13" t="n">
        <f aca="false">лютий!G217</f>
        <v>62.39</v>
      </c>
      <c r="H217" s="13" t="n">
        <f aca="false">лютий!H217</f>
        <v>0</v>
      </c>
      <c r="I217" s="13" t="n">
        <f aca="false">лютий!I217</f>
        <v>4.1</v>
      </c>
      <c r="J217" s="14" t="n">
        <f aca="false">ROUND(G217*I217,2)</f>
        <v>255.8</v>
      </c>
      <c r="K217" s="14"/>
      <c r="L217" s="14"/>
      <c r="M217" s="14"/>
      <c r="N217" s="14" t="n">
        <f aca="false">ROUND((G217*I217)-K217-L217-M217,2)</f>
        <v>255.8</v>
      </c>
      <c r="O217" s="14"/>
      <c r="P217" s="14" t="n">
        <f aca="false">ROUND(IF(D217=0,IF((N217-E217-O217)&gt;0,(N217-E217-O217),0),IF((D217+N217-O217)&gt;0,(D217+N217-O217),0)),2)</f>
        <v>226.45</v>
      </c>
      <c r="Q217" s="14" t="n">
        <f aca="false">ROUND(IF(E217=0,IF((D217+N217-O217)&lt;0,ABS(D217+N217-O217),0),IF((N217-E217-O217)&lt;0,ABS(N217-E217-O217),0)),2)</f>
        <v>0</v>
      </c>
    </row>
    <row r="218" customFormat="false" ht="15" hidden="false" customHeight="true" outlineLevel="0" collapsed="false">
      <c r="A218" s="12" t="s">
        <v>650</v>
      </c>
      <c r="B218" s="12" t="str">
        <f aca="false">лютий!B218</f>
        <v>Васильченко М.П.</v>
      </c>
      <c r="C218" s="12" t="s">
        <v>652</v>
      </c>
      <c r="D218" s="14" t="n">
        <f aca="false">лютий!P218</f>
        <v>13059.39</v>
      </c>
      <c r="E218" s="14" t="n">
        <f aca="false">лютий!Q218</f>
        <v>0</v>
      </c>
      <c r="F218" s="13" t="n">
        <f aca="false">лютий!F218</f>
        <v>0</v>
      </c>
      <c r="G218" s="13" t="n">
        <f aca="false">лютий!G218</f>
        <v>67.47</v>
      </c>
      <c r="H218" s="13" t="n">
        <f aca="false">лютий!H218</f>
        <v>0</v>
      </c>
      <c r="I218" s="13" t="n">
        <f aca="false">лютий!I218</f>
        <v>4.1</v>
      </c>
      <c r="J218" s="14" t="n">
        <f aca="false">ROUND(G218*I218,2)</f>
        <v>276.63</v>
      </c>
      <c r="K218" s="14"/>
      <c r="L218" s="14"/>
      <c r="M218" s="14"/>
      <c r="N218" s="14" t="n">
        <f aca="false">ROUND((G218*I218)-K218-L218-M218,2)</f>
        <v>276.63</v>
      </c>
      <c r="O218" s="14"/>
      <c r="P218" s="14" t="n">
        <f aca="false">ROUND(IF(D218=0,IF((N218-E218-O218)&gt;0,(N218-E218-O218),0),IF((D218+N218-O218)&gt;0,(D218+N218-O218),0)),2)</f>
        <v>13336.02</v>
      </c>
      <c r="Q218" s="14" t="n">
        <f aca="false">ROUND(IF(E218=0,IF((D218+N218-O218)&lt;0,ABS(D218+N218-O218),0),IF((N218-E218-O218)&lt;0,ABS(N218-E218-O218),0)),2)</f>
        <v>0</v>
      </c>
    </row>
    <row r="219" customFormat="false" ht="15" hidden="false" customHeight="true" outlineLevel="0" collapsed="false">
      <c r="A219" s="12" t="s">
        <v>653</v>
      </c>
      <c r="B219" s="12" t="str">
        <f aca="false">лютий!B219</f>
        <v>Черненко Т.А.</v>
      </c>
      <c r="C219" s="12" t="s">
        <v>655</v>
      </c>
      <c r="D219" s="14" t="n">
        <f aca="false">лютий!P219</f>
        <v>577.36</v>
      </c>
      <c r="E219" s="14" t="n">
        <f aca="false">лютий!Q219</f>
        <v>0</v>
      </c>
      <c r="F219" s="13" t="n">
        <f aca="false">лютий!F219</f>
        <v>0</v>
      </c>
      <c r="G219" s="13" t="n">
        <f aca="false">лютий!G219</f>
        <v>70.41</v>
      </c>
      <c r="H219" s="13" t="n">
        <f aca="false">лютий!H219</f>
        <v>0</v>
      </c>
      <c r="I219" s="13" t="n">
        <f aca="false">лютий!I219</f>
        <v>4.1</v>
      </c>
      <c r="J219" s="14" t="n">
        <f aca="false">ROUND(G219*I219,2)</f>
        <v>288.68</v>
      </c>
      <c r="K219" s="14"/>
      <c r="L219" s="14"/>
      <c r="M219" s="14"/>
      <c r="N219" s="14" t="n">
        <f aca="false">ROUND((G219*I219)-K219-L219-M219,2)</f>
        <v>288.68</v>
      </c>
      <c r="O219" s="14"/>
      <c r="P219" s="14" t="n">
        <f aca="false">ROUND(IF(D219=0,IF((N219-E219-O219)&gt;0,(N219-E219-O219),0),IF((D219+N219-O219)&gt;0,(D219+N219-O219),0)),2)</f>
        <v>866.04</v>
      </c>
      <c r="Q219" s="14" t="n">
        <f aca="false">ROUND(IF(E219=0,IF((D219+N219-O219)&lt;0,ABS(D219+N219-O219),0),IF((N219-E219-O219)&lt;0,ABS(N219-E219-O219),0)),2)</f>
        <v>0</v>
      </c>
    </row>
    <row r="220" customFormat="false" ht="15" hidden="false" customHeight="true" outlineLevel="0" collapsed="false">
      <c r="A220" s="12" t="s">
        <v>656</v>
      </c>
      <c r="B220" s="12" t="str">
        <f aca="false">лютий!B220</f>
        <v>Сиротенко Я.О.</v>
      </c>
      <c r="C220" s="12" t="s">
        <v>658</v>
      </c>
      <c r="D220" s="14" t="n">
        <f aca="false">лютий!P220</f>
        <v>4452.24</v>
      </c>
      <c r="E220" s="14" t="n">
        <f aca="false">лютий!Q220</f>
        <v>0</v>
      </c>
      <c r="F220" s="13" t="n">
        <f aca="false">лютий!F220</f>
        <v>0</v>
      </c>
      <c r="G220" s="13" t="n">
        <f aca="false">лютий!G220</f>
        <v>49.73</v>
      </c>
      <c r="H220" s="13" t="n">
        <f aca="false">лютий!H220</f>
        <v>0</v>
      </c>
      <c r="I220" s="13" t="n">
        <f aca="false">лютий!I220</f>
        <v>4.1</v>
      </c>
      <c r="J220" s="14" t="n">
        <f aca="false">ROUND(G220*I220,2)</f>
        <v>203.89</v>
      </c>
      <c r="K220" s="14"/>
      <c r="L220" s="14"/>
      <c r="M220" s="14"/>
      <c r="N220" s="14" t="n">
        <f aca="false">ROUND((G220*I220)-K220-L220-M220,2)</f>
        <v>203.89</v>
      </c>
      <c r="O220" s="14"/>
      <c r="P220" s="14" t="n">
        <f aca="false">ROUND(IF(D220=0,IF((N220-E220-O220)&gt;0,(N220-E220-O220),0),IF((D220+N220-O220)&gt;0,(D220+N220-O220),0)),2)</f>
        <v>4656.13</v>
      </c>
      <c r="Q220" s="14" t="n">
        <f aca="false">ROUND(IF(E220=0,IF((D220+N220-O220)&lt;0,ABS(D220+N220-O220),0),IF((N220-E220-O220)&lt;0,ABS(N220-E220-O220),0)),2)</f>
        <v>0</v>
      </c>
    </row>
    <row r="221" customFormat="false" ht="15.75" hidden="false" customHeight="true" outlineLevel="0" collapsed="false">
      <c r="A221" s="12" t="s">
        <v>659</v>
      </c>
      <c r="B221" s="12" t="str">
        <f aca="false">лютий!B221</f>
        <v>Корнюшенко О.О.</v>
      </c>
      <c r="C221" s="12" t="s">
        <v>661</v>
      </c>
      <c r="D221" s="14" t="n">
        <f aca="false">лютий!P221</f>
        <v>8033.2</v>
      </c>
      <c r="E221" s="14" t="n">
        <f aca="false">лютий!Q221</f>
        <v>0</v>
      </c>
      <c r="F221" s="13" t="n">
        <f aca="false">лютий!F221</f>
        <v>0</v>
      </c>
      <c r="G221" s="13" t="n">
        <f aca="false">лютий!G221</f>
        <v>62</v>
      </c>
      <c r="H221" s="13" t="n">
        <f aca="false">лютий!H221</f>
        <v>0</v>
      </c>
      <c r="I221" s="13" t="n">
        <f aca="false">лютий!I221</f>
        <v>4.1</v>
      </c>
      <c r="J221" s="14" t="n">
        <f aca="false">ROUND(G221*I221,2)</f>
        <v>254.2</v>
      </c>
      <c r="K221" s="14"/>
      <c r="L221" s="14"/>
      <c r="M221" s="14"/>
      <c r="N221" s="14" t="n">
        <f aca="false">ROUND((G221*I221)-K221-L221-M221,2)</f>
        <v>254.2</v>
      </c>
      <c r="O221" s="14"/>
      <c r="P221" s="14" t="n">
        <f aca="false">ROUND(IF(D221=0,IF((N221-E221-O221)&gt;0,(N221-E221-O221),0),IF((D221+N221-O221)&gt;0,(D221+N221-O221),0)),2)</f>
        <v>8287.4</v>
      </c>
      <c r="Q221" s="14" t="n">
        <f aca="false">ROUND(IF(E221=0,IF((D221+N221-O221)&lt;0,ABS(D221+N221-O221),0),IF((N221-E221-O221)&lt;0,ABS(N221-E221-O221),0)),2)</f>
        <v>0</v>
      </c>
    </row>
    <row r="222" customFormat="false" ht="15" hidden="false" customHeight="true" outlineLevel="0" collapsed="false">
      <c r="A222" s="15"/>
      <c r="B222" s="15"/>
      <c r="C222" s="15"/>
      <c r="D222" s="16" t="n">
        <f aca="false">SUM(D7:D221)</f>
        <v>858443.06</v>
      </c>
      <c r="E222" s="16" t="n">
        <f aca="false">SUM(E7:E221)</f>
        <v>3663.19</v>
      </c>
      <c r="F222" s="16"/>
      <c r="G222" s="20" t="n">
        <f aca="false">SUM(G7:G221)</f>
        <v>11652.42</v>
      </c>
      <c r="H222" s="16" t="n">
        <f aca="false">SUM(H7:H221)</f>
        <v>0</v>
      </c>
      <c r="I222" s="16"/>
      <c r="J222" s="16" t="n">
        <f aca="false">SUM(J7:J221)</f>
        <v>47774.99</v>
      </c>
      <c r="K222" s="16" t="n">
        <f aca="false">SUM(K7:K221)</f>
        <v>0</v>
      </c>
      <c r="L222" s="16" t="n">
        <f aca="false">SUM(L7:L221)</f>
        <v>0</v>
      </c>
      <c r="M222" s="16" t="n">
        <f aca="false">SUM(M7:M221)</f>
        <v>0</v>
      </c>
      <c r="N222" s="16" t="n">
        <f aca="false">SUM(N7:N221)</f>
        <v>47774.99</v>
      </c>
      <c r="O222" s="16" t="n">
        <f aca="false">SUM(O7:O221)</f>
        <v>0</v>
      </c>
      <c r="P222" s="16" t="n">
        <f aca="false">SUM(P7:P221)</f>
        <v>905229.57</v>
      </c>
      <c r="Q222" s="16" t="n">
        <f aca="false">SUM(Q7:Q221)</f>
        <v>2674.71</v>
      </c>
    </row>
    <row r="223" customFormat="false" ht="15.75" hidden="false" customHeight="true" outlineLevel="0" collapsed="false">
      <c r="A223" s="15"/>
      <c r="B223" s="15"/>
      <c r="C223" s="15"/>
      <c r="D223" s="16" t="n">
        <f aca="false">D222-E222</f>
        <v>854779.87</v>
      </c>
      <c r="E223" s="16"/>
      <c r="F223" s="16"/>
      <c r="G223" s="20"/>
      <c r="H223" s="16"/>
      <c r="I223" s="16"/>
      <c r="J223" s="16"/>
      <c r="K223" s="16"/>
      <c r="L223" s="16"/>
      <c r="M223" s="16"/>
      <c r="N223" s="16"/>
      <c r="O223" s="16"/>
      <c r="P223" s="16" t="n">
        <f aca="false">P222-Q222</f>
        <v>902554.86</v>
      </c>
      <c r="Q223" s="16"/>
    </row>
    <row r="224" customFormat="false" ht="15" hidden="false" customHeight="false" outlineLevel="0" collapsed="false">
      <c r="U224" s="17" t="n">
        <v>32657.23</v>
      </c>
    </row>
    <row r="226" customFormat="false" ht="15" hidden="false" customHeight="false" outlineLevel="0" collapsed="false">
      <c r="U226" s="17" t="n">
        <f aca="false">U224-O222</f>
        <v>32657.23</v>
      </c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printOptions headings="false" gridLines="false" gridLinesSet="true" horizontalCentered="true" verticalCentered="false"/>
  <pageMargins left="0" right="0" top="0.511805555555556" bottom="0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25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A161" activeCellId="0" sqref="A16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76"/>
    <col collapsed="false" customWidth="true" hidden="false" outlineLevel="0" max="2" min="2" style="1" width="23.25"/>
    <col collapsed="false" customWidth="true" hidden="false" outlineLevel="0" max="3" min="3" style="1" width="7"/>
    <col collapsed="false" customWidth="true" hidden="false" outlineLevel="0" max="4" min="4" style="1" width="9.26"/>
    <col collapsed="false" customWidth="true" hidden="false" outlineLevel="0" max="6" min="6" style="1" width="5.37"/>
    <col collapsed="false" customWidth="true" hidden="false" outlineLevel="0" max="7" min="7" style="1" width="6.88"/>
    <col collapsed="false" customWidth="true" hidden="false" outlineLevel="0" max="8" min="8" style="1" width="5.63"/>
    <col collapsed="false" customWidth="true" hidden="false" outlineLevel="0" max="9" min="9" style="1" width="6.25"/>
    <col collapsed="false" customWidth="true" hidden="false" outlineLevel="0" max="10" min="10" style="1" width="9.12"/>
    <col collapsed="false" customWidth="true" hidden="false" outlineLevel="0" max="11" min="11" style="1" width="6.25"/>
    <col collapsed="false" customWidth="true" hidden="false" outlineLevel="0" max="12" min="12" style="1" width="7"/>
    <col collapsed="false" customWidth="true" hidden="false" outlineLevel="0" max="13" min="13" style="1" width="7.13"/>
    <col collapsed="false" customWidth="true" hidden="false" outlineLevel="0" max="14" min="14" style="1" width="9.12"/>
    <col collapsed="false" customWidth="true" hidden="false" outlineLevel="0" max="15" min="15" style="1" width="9.63"/>
    <col collapsed="false" customWidth="true" hidden="false" outlineLevel="0" max="16" min="16" style="1" width="9.26"/>
    <col collapsed="false" customWidth="true" hidden="false" outlineLevel="0" max="17" min="17" style="1" width="9.12"/>
    <col collapsed="false" customWidth="true" hidden="false" outlineLevel="0" max="22" min="22" style="1" width="11"/>
  </cols>
  <sheetData>
    <row r="1" customFormat="false" ht="15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2" t="s">
        <v>1</v>
      </c>
      <c r="O1" s="2"/>
      <c r="P1" s="2"/>
      <c r="Q1" s="2"/>
    </row>
    <row r="2" customFormat="false" ht="18" hidden="false" customHeight="true" outlineLevel="0" collapsed="false">
      <c r="A2" s="3"/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8.75" hidden="false" customHeight="true" outlineLevel="0" collapsed="false">
      <c r="A3" s="3"/>
      <c r="B3" s="4" t="s">
        <v>664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true" outlineLevel="0" collapsed="false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60" hidden="false" customHeight="true" outlineLevel="0" collapsed="false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7</v>
      </c>
      <c r="Q6" s="19" t="s">
        <v>8</v>
      </c>
    </row>
    <row r="7" customFormat="false" ht="15" hidden="false" customHeight="true" outlineLevel="0" collapsed="false">
      <c r="A7" s="12" t="s">
        <v>19</v>
      </c>
      <c r="B7" s="12" t="str">
        <f aca="false">березень!B7</f>
        <v>Бережний В.М.</v>
      </c>
      <c r="C7" s="12" t="s">
        <v>21</v>
      </c>
      <c r="D7" s="14" t="n">
        <f aca="false">березень!P7</f>
        <v>1613.56</v>
      </c>
      <c r="E7" s="14" t="n">
        <f aca="false">березень!Q7</f>
        <v>0</v>
      </c>
      <c r="F7" s="13" t="n">
        <f aca="false">березень!F7</f>
        <v>0</v>
      </c>
      <c r="G7" s="13" t="n">
        <f aca="false">березень!G7</f>
        <v>64.26</v>
      </c>
      <c r="H7" s="13" t="n">
        <f aca="false">березень!H7</f>
        <v>0</v>
      </c>
      <c r="I7" s="13" t="n">
        <f aca="false">березень!I7</f>
        <v>4.1</v>
      </c>
      <c r="J7" s="14" t="n">
        <f aca="false">ROUND(G7*I7,2)</f>
        <v>263.47</v>
      </c>
      <c r="K7" s="14"/>
      <c r="L7" s="14"/>
      <c r="M7" s="14"/>
      <c r="N7" s="14" t="n">
        <f aca="false">ROUND((G7*I7)-K7-L7-M7,2)</f>
        <v>263.47</v>
      </c>
      <c r="O7" s="14"/>
      <c r="P7" s="14" t="n">
        <f aca="false">ROUND(IF(D7=0,IF((N7-E7-O7)&gt;0,(N7-E7-O7),0),IF((D7+N7-O7)&gt;0,(D7+N7-O7),0)),2)</f>
        <v>1877.03</v>
      </c>
      <c r="Q7" s="14" t="n">
        <f aca="false">ROUND(IF(E7=0,IF((D7+N7-O7)&lt;0,ABS(D7+N7-O7),0),IF((N7-E7-O7)&lt;0,ABS(N7-E7-O7),0)),2)</f>
        <v>0</v>
      </c>
    </row>
    <row r="8" customFormat="false" ht="15" hidden="false" customHeight="true" outlineLevel="0" collapsed="false">
      <c r="A8" s="12" t="s">
        <v>22</v>
      </c>
      <c r="B8" s="12" t="str">
        <f aca="false">березень!B8</f>
        <v>Старикова Т.О.</v>
      </c>
      <c r="C8" s="12" t="s">
        <v>24</v>
      </c>
      <c r="D8" s="14" t="n">
        <f aca="false">березень!P8</f>
        <v>599.13</v>
      </c>
      <c r="E8" s="14" t="n">
        <f aca="false">березень!Q8</f>
        <v>0</v>
      </c>
      <c r="F8" s="13" t="n">
        <f aca="false">березень!F8</f>
        <v>0</v>
      </c>
      <c r="G8" s="13" t="n">
        <f aca="false">березень!G8</f>
        <v>48.71</v>
      </c>
      <c r="H8" s="13" t="n">
        <f aca="false">березень!H8</f>
        <v>0</v>
      </c>
      <c r="I8" s="13" t="n">
        <f aca="false">березень!I8</f>
        <v>4.1</v>
      </c>
      <c r="J8" s="14" t="n">
        <f aca="false">ROUND(G8*I8,2)</f>
        <v>199.71</v>
      </c>
      <c r="K8" s="14"/>
      <c r="L8" s="14"/>
      <c r="M8" s="14"/>
      <c r="N8" s="14" t="n">
        <f aca="false">ROUND((G8*I8)-K8-L8-M8,2)</f>
        <v>199.71</v>
      </c>
      <c r="O8" s="14"/>
      <c r="P8" s="14" t="n">
        <f aca="false">ROUND(IF(D8=0,IF((N8-E8-O8)&gt;0,(N8-E8-O8),0),IF((D8+N8-O8)&gt;0,(D8+N8-O8),0)),2)</f>
        <v>798.84</v>
      </c>
      <c r="Q8" s="14" t="n">
        <f aca="false">ROUND(IF(E8=0,IF((D8+N8-O8)&lt;0,ABS(D8+N8-O8),0),IF((N8-E8-O8)&lt;0,ABS(N8-E8-O8),0)),2)</f>
        <v>0</v>
      </c>
    </row>
    <row r="9" customFormat="false" ht="15" hidden="false" customHeight="true" outlineLevel="0" collapsed="false">
      <c r="A9" s="12" t="s">
        <v>25</v>
      </c>
      <c r="B9" s="12" t="str">
        <f aca="false">березень!B9</f>
        <v>Мазур Т.В.</v>
      </c>
      <c r="C9" s="12" t="s">
        <v>27</v>
      </c>
      <c r="D9" s="14" t="n">
        <f aca="false">березень!P9</f>
        <v>574</v>
      </c>
      <c r="E9" s="14" t="n">
        <f aca="false">березень!Q9</f>
        <v>0</v>
      </c>
      <c r="F9" s="13" t="n">
        <f aca="false">березень!F9</f>
        <v>0</v>
      </c>
      <c r="G9" s="13" t="n">
        <f aca="false">березень!G9</f>
        <v>35</v>
      </c>
      <c r="H9" s="13" t="n">
        <f aca="false">березень!H9</f>
        <v>0</v>
      </c>
      <c r="I9" s="13" t="n">
        <f aca="false">березень!I9</f>
        <v>4.1</v>
      </c>
      <c r="J9" s="14" t="n">
        <f aca="false">ROUND(G9*I9,2)</f>
        <v>143.5</v>
      </c>
      <c r="K9" s="14"/>
      <c r="L9" s="14"/>
      <c r="M9" s="14"/>
      <c r="N9" s="14" t="n">
        <f aca="false">ROUND((G9*I9)-K9-L9-M9,2)</f>
        <v>143.5</v>
      </c>
      <c r="O9" s="14"/>
      <c r="P9" s="14" t="n">
        <f aca="false">ROUND(IF(D9=0,IF((N9-E9-O9)&gt;0,(N9-E9-O9),0),IF((D9+N9-O9)&gt;0,(D9+N9-O9),0)),2)</f>
        <v>717.5</v>
      </c>
      <c r="Q9" s="14" t="n">
        <f aca="false">ROUND(IF(E9=0,IF((D9+N9-O9)&lt;0,ABS(D9+N9-O9),0),IF((N9-E9-O9)&lt;0,ABS(N9-E9-O9),0)),2)</f>
        <v>0</v>
      </c>
    </row>
    <row r="10" customFormat="false" ht="15" hidden="false" customHeight="true" outlineLevel="0" collapsed="false">
      <c r="A10" s="12" t="s">
        <v>28</v>
      </c>
      <c r="B10" s="12" t="str">
        <f aca="false">березень!B10</f>
        <v>Сокол О.В.</v>
      </c>
      <c r="C10" s="12" t="s">
        <v>30</v>
      </c>
      <c r="D10" s="14" t="n">
        <f aca="false">березень!P10</f>
        <v>505.12</v>
      </c>
      <c r="E10" s="14" t="n">
        <f aca="false">березень!Q10</f>
        <v>0</v>
      </c>
      <c r="F10" s="13" t="n">
        <f aca="false">березень!F10</f>
        <v>0</v>
      </c>
      <c r="G10" s="13" t="n">
        <f aca="false">березень!G10</f>
        <v>61.6</v>
      </c>
      <c r="H10" s="13" t="n">
        <f aca="false">березень!H10</f>
        <v>0</v>
      </c>
      <c r="I10" s="13" t="n">
        <f aca="false">березень!I10</f>
        <v>4.1</v>
      </c>
      <c r="J10" s="14" t="n">
        <f aca="false">ROUND(G10*I10,2)</f>
        <v>252.56</v>
      </c>
      <c r="K10" s="14"/>
      <c r="L10" s="14"/>
      <c r="M10" s="14"/>
      <c r="N10" s="14" t="n">
        <f aca="false">ROUND((G10*I10)-K10-L10-M10,2)</f>
        <v>252.56</v>
      </c>
      <c r="O10" s="14"/>
      <c r="P10" s="14" t="n">
        <f aca="false">ROUND(IF(D10=0,IF((N10-E10-O10)&gt;0,(N10-E10-O10),0),IF((D10+N10-O10)&gt;0,(D10+N10-O10),0)),2)</f>
        <v>757.68</v>
      </c>
      <c r="Q10" s="14" t="n">
        <f aca="false">ROUND(IF(E10=0,IF((D10+N10-O10)&lt;0,ABS(D10+N10-O10),0),IF((N10-E10-O10)&lt;0,ABS(N10-E10-O10),0)),2)</f>
        <v>0</v>
      </c>
    </row>
    <row r="11" customFormat="false" ht="15" hidden="false" customHeight="true" outlineLevel="0" collapsed="false">
      <c r="A11" s="12" t="s">
        <v>31</v>
      </c>
      <c r="B11" s="12" t="str">
        <f aca="false">березень!B11</f>
        <v>Семко Л.І.</v>
      </c>
      <c r="C11" s="12" t="s">
        <v>33</v>
      </c>
      <c r="D11" s="14" t="n">
        <f aca="false">березень!P11</f>
        <v>2992.44</v>
      </c>
      <c r="E11" s="14" t="n">
        <f aca="false">березень!Q11</f>
        <v>0</v>
      </c>
      <c r="F11" s="13" t="n">
        <f aca="false">березень!F11</f>
        <v>0</v>
      </c>
      <c r="G11" s="13" t="n">
        <f aca="false">березень!G11</f>
        <v>28.34</v>
      </c>
      <c r="H11" s="13" t="n">
        <f aca="false">березень!H11</f>
        <v>0</v>
      </c>
      <c r="I11" s="13" t="n">
        <f aca="false">березень!I11</f>
        <v>4.1</v>
      </c>
      <c r="J11" s="14" t="n">
        <f aca="false">ROUND(G11*I11,2)</f>
        <v>116.19</v>
      </c>
      <c r="K11" s="14"/>
      <c r="L11" s="14"/>
      <c r="M11" s="14"/>
      <c r="N11" s="14" t="n">
        <f aca="false">ROUND((G11*I11)-K11-L11-M11,2)</f>
        <v>116.19</v>
      </c>
      <c r="O11" s="14"/>
      <c r="P11" s="14" t="n">
        <f aca="false">ROUND(IF(D11=0,IF((N11-E11-O11)&gt;0,(N11-E11-O11),0),IF((D11+N11-O11)&gt;0,(D11+N11-O11),0)),2)</f>
        <v>3108.63</v>
      </c>
      <c r="Q11" s="14" t="n">
        <f aca="false">ROUND(IF(E11=0,IF((D11+N11-O11)&lt;0,ABS(D11+N11-O11),0),IF((N11-E11-O11)&lt;0,ABS(N11-E11-O11),0)),2)</f>
        <v>0</v>
      </c>
    </row>
    <row r="12" customFormat="false" ht="15" hidden="false" customHeight="true" outlineLevel="0" collapsed="false">
      <c r="A12" s="12" t="s">
        <v>31</v>
      </c>
      <c r="B12" s="12" t="str">
        <f aca="false">березень!B12</f>
        <v>Гаркуша Н.І.</v>
      </c>
      <c r="C12" s="12" t="s">
        <v>35</v>
      </c>
      <c r="D12" s="14" t="n">
        <f aca="false">березень!P12</f>
        <v>1260.19</v>
      </c>
      <c r="E12" s="14" t="n">
        <f aca="false">березень!Q12</f>
        <v>0</v>
      </c>
      <c r="F12" s="13" t="n">
        <f aca="false">березень!F12</f>
        <v>0</v>
      </c>
      <c r="G12" s="13" t="n">
        <f aca="false">березень!G12</f>
        <v>36.66</v>
      </c>
      <c r="H12" s="13" t="n">
        <f aca="false">березень!H12</f>
        <v>0</v>
      </c>
      <c r="I12" s="13" t="n">
        <f aca="false">березень!I12</f>
        <v>4.1</v>
      </c>
      <c r="J12" s="14" t="n">
        <f aca="false">ROUND(G12*I12,2)</f>
        <v>150.31</v>
      </c>
      <c r="K12" s="14"/>
      <c r="L12" s="14"/>
      <c r="M12" s="14"/>
      <c r="N12" s="14" t="n">
        <f aca="false">ROUND((G12*I12)-K12-L12-M12,2)</f>
        <v>150.31</v>
      </c>
      <c r="O12" s="14"/>
      <c r="P12" s="14" t="n">
        <f aca="false">ROUND(IF(D12=0,IF((N12-E12-O12)&gt;0,(N12-E12-O12),0),IF((D12+N12-O12)&gt;0,(D12+N12-O12),0)),2)</f>
        <v>1410.5</v>
      </c>
      <c r="Q12" s="14" t="n">
        <f aca="false">ROUND(IF(E12=0,IF((D12+N12-O12)&lt;0,ABS(D12+N12-O12),0),IF((N12-E12-O12)&lt;0,ABS(N12-E12-O12),0)),2)</f>
        <v>0</v>
      </c>
    </row>
    <row r="13" customFormat="false" ht="15" hidden="false" customHeight="true" outlineLevel="0" collapsed="false">
      <c r="A13" s="12" t="s">
        <v>36</v>
      </c>
      <c r="B13" s="12" t="str">
        <f aca="false">березень!B13</f>
        <v>Андріяшев В.М</v>
      </c>
      <c r="C13" s="12" t="s">
        <v>38</v>
      </c>
      <c r="D13" s="14" t="n">
        <f aca="false">березень!P13</f>
        <v>747.1</v>
      </c>
      <c r="E13" s="14" t="n">
        <f aca="false">березень!Q13</f>
        <v>0</v>
      </c>
      <c r="F13" s="13" t="n">
        <f aca="false">березень!F13</f>
        <v>0</v>
      </c>
      <c r="G13" s="13" t="n">
        <f aca="false">березень!G13</f>
        <v>49.8</v>
      </c>
      <c r="H13" s="13" t="n">
        <f aca="false">березень!H13</f>
        <v>0</v>
      </c>
      <c r="I13" s="13" t="n">
        <f aca="false">березень!I13</f>
        <v>4.1</v>
      </c>
      <c r="J13" s="14" t="n">
        <f aca="false">ROUND(G13*I13,2)</f>
        <v>204.18</v>
      </c>
      <c r="K13" s="14"/>
      <c r="L13" s="14"/>
      <c r="M13" s="14"/>
      <c r="N13" s="14" t="n">
        <f aca="false">ROUND((G13*I13)-K13-L13-M13,2)</f>
        <v>204.18</v>
      </c>
      <c r="O13" s="14"/>
      <c r="P13" s="14" t="n">
        <f aca="false">ROUND(IF(D13=0,IF((N13-E13-O13)&gt;0,(N13-E13-O13),0),IF((D13+N13-O13)&gt;0,(D13+N13-O13),0)),2)</f>
        <v>951.28</v>
      </c>
      <c r="Q13" s="14" t="n">
        <f aca="false">ROUND(IF(E13=0,IF((D13+N13-O13)&lt;0,ABS(D13+N13-O13),0),IF((N13-E13-O13)&lt;0,ABS(N13-E13-O13),0)),2)</f>
        <v>0</v>
      </c>
    </row>
    <row r="14" customFormat="false" ht="15" hidden="false" customHeight="true" outlineLevel="0" collapsed="false">
      <c r="A14" s="12" t="s">
        <v>39</v>
      </c>
      <c r="B14" s="12" t="str">
        <f aca="false">березень!B14</f>
        <v>Старчикова О.М.</v>
      </c>
      <c r="C14" s="12" t="s">
        <v>41</v>
      </c>
      <c r="D14" s="14" t="n">
        <f aca="false">березень!P14</f>
        <v>568.28</v>
      </c>
      <c r="E14" s="14" t="n">
        <f aca="false">березень!Q14</f>
        <v>0</v>
      </c>
      <c r="F14" s="13" t="n">
        <f aca="false">березень!F14</f>
        <v>0</v>
      </c>
      <c r="G14" s="13" t="n">
        <f aca="false">березень!G14</f>
        <v>34.65</v>
      </c>
      <c r="H14" s="13" t="n">
        <f aca="false">березень!H14</f>
        <v>0</v>
      </c>
      <c r="I14" s="13" t="n">
        <f aca="false">березень!I14</f>
        <v>4.1</v>
      </c>
      <c r="J14" s="14" t="n">
        <f aca="false">ROUND(G14*I14,2)</f>
        <v>142.07</v>
      </c>
      <c r="K14" s="14"/>
      <c r="L14" s="14"/>
      <c r="M14" s="14"/>
      <c r="N14" s="14" t="n">
        <f aca="false">ROUND((G14*I14)-K14-L14-M14,2)</f>
        <v>142.07</v>
      </c>
      <c r="O14" s="14"/>
      <c r="P14" s="14" t="n">
        <f aca="false">ROUND(IF(D14=0,IF((N14-E14-O14)&gt;0,(N14-E14-O14),0),IF((D14+N14-O14)&gt;0,(D14+N14-O14),0)),2)</f>
        <v>710.35</v>
      </c>
      <c r="Q14" s="14" t="n">
        <f aca="false">ROUND(IF(E14=0,IF((D14+N14-O14)&lt;0,ABS(D14+N14-O14),0),IF((N14-E14-O14)&lt;0,ABS(N14-E14-O14),0)),2)</f>
        <v>0</v>
      </c>
    </row>
    <row r="15" customFormat="false" ht="15" hidden="false" customHeight="true" outlineLevel="0" collapsed="false">
      <c r="A15" s="12" t="s">
        <v>42</v>
      </c>
      <c r="B15" s="12" t="str">
        <f aca="false">березень!B15</f>
        <v>Безер Т.М</v>
      </c>
      <c r="C15" s="12" t="s">
        <v>44</v>
      </c>
      <c r="D15" s="14" t="n">
        <f aca="false">березень!P15</f>
        <v>757.28</v>
      </c>
      <c r="E15" s="14" t="n">
        <f aca="false">березень!Q15</f>
        <v>0</v>
      </c>
      <c r="F15" s="13" t="n">
        <f aca="false">березень!F15</f>
        <v>0</v>
      </c>
      <c r="G15" s="13" t="n">
        <f aca="false">березень!G15</f>
        <v>62.14</v>
      </c>
      <c r="H15" s="13" t="n">
        <f aca="false">березень!H15</f>
        <v>0</v>
      </c>
      <c r="I15" s="13" t="n">
        <f aca="false">березень!I15</f>
        <v>4.1</v>
      </c>
      <c r="J15" s="14" t="n">
        <f aca="false">ROUND(G15*I15,2)</f>
        <v>254.77</v>
      </c>
      <c r="K15" s="14"/>
      <c r="L15" s="14"/>
      <c r="M15" s="14"/>
      <c r="N15" s="14" t="n">
        <f aca="false">ROUND((G15*I15)-K15-L15-M15,2)</f>
        <v>254.77</v>
      </c>
      <c r="O15" s="14"/>
      <c r="P15" s="14" t="n">
        <f aca="false">ROUND(IF(D15=0,IF((N15-E15-O15)&gt;0,(N15-E15-O15),0),IF((D15+N15-O15)&gt;0,(D15+N15-O15),0)),2)</f>
        <v>1012.05</v>
      </c>
      <c r="Q15" s="14" t="n">
        <f aca="false">ROUND(IF(E15=0,IF((D15+N15-O15)&lt;0,ABS(D15+N15-O15),0),IF((N15-E15-O15)&lt;0,ABS(N15-E15-O15),0)),2)</f>
        <v>0</v>
      </c>
    </row>
    <row r="16" customFormat="false" ht="15" hidden="false" customHeight="true" outlineLevel="0" collapsed="false">
      <c r="A16" s="12" t="s">
        <v>45</v>
      </c>
      <c r="B16" s="12" t="str">
        <f aca="false">березень!B16</f>
        <v>Решетило М.М</v>
      </c>
      <c r="C16" s="12" t="s">
        <v>47</v>
      </c>
      <c r="D16" s="14" t="n">
        <f aca="false">березень!P16</f>
        <v>1603.2</v>
      </c>
      <c r="E16" s="14" t="n">
        <f aca="false">березень!Q16</f>
        <v>0</v>
      </c>
      <c r="F16" s="13" t="n">
        <f aca="false">березень!F16</f>
        <v>0</v>
      </c>
      <c r="G16" s="13" t="n">
        <f aca="false">березень!G16</f>
        <v>65.16</v>
      </c>
      <c r="H16" s="13" t="n">
        <f aca="false">березень!H16</f>
        <v>0</v>
      </c>
      <c r="I16" s="13" t="n">
        <f aca="false">березень!I16</f>
        <v>4.1</v>
      </c>
      <c r="J16" s="14" t="n">
        <f aca="false">ROUND(G16*I16,2)</f>
        <v>267.16</v>
      </c>
      <c r="K16" s="14"/>
      <c r="L16" s="14"/>
      <c r="M16" s="14"/>
      <c r="N16" s="14" t="n">
        <f aca="false">ROUND((G16*I16)-K16-L16-M16,2)</f>
        <v>267.16</v>
      </c>
      <c r="O16" s="14"/>
      <c r="P16" s="14" t="n">
        <f aca="false">ROUND(IF(D16=0,IF((N16-E16-O16)&gt;0,(N16-E16-O16),0),IF((D16+N16-O16)&gt;0,(D16+N16-O16),0)),2)</f>
        <v>1870.36</v>
      </c>
      <c r="Q16" s="14" t="n">
        <f aca="false">ROUND(IF(E16=0,IF((D16+N16-O16)&lt;0,ABS(D16+N16-O16),0),IF((N16-E16-O16)&lt;0,ABS(N16-E16-O16),0)),2)</f>
        <v>0</v>
      </c>
    </row>
    <row r="17" customFormat="false" ht="15" hidden="false" customHeight="true" outlineLevel="0" collapsed="false">
      <c r="A17" s="12" t="s">
        <v>48</v>
      </c>
      <c r="B17" s="12" t="str">
        <f aca="false">березень!B17</f>
        <v>Фесенко О.В.</v>
      </c>
      <c r="C17" s="12" t="s">
        <v>50</v>
      </c>
      <c r="D17" s="14" t="n">
        <f aca="false">березень!P17</f>
        <v>5492.92</v>
      </c>
      <c r="E17" s="14" t="n">
        <f aca="false">березень!Q17</f>
        <v>0</v>
      </c>
      <c r="F17" s="13" t="n">
        <f aca="false">березень!F17</f>
        <v>0</v>
      </c>
      <c r="G17" s="13" t="n">
        <f aca="false">березень!G17</f>
        <v>50.1</v>
      </c>
      <c r="H17" s="13" t="n">
        <f aca="false">березень!H17</f>
        <v>0</v>
      </c>
      <c r="I17" s="13" t="n">
        <f aca="false">березень!I17</f>
        <v>4.1</v>
      </c>
      <c r="J17" s="14" t="n">
        <f aca="false">ROUND(G17*I17,2)</f>
        <v>205.41</v>
      </c>
      <c r="K17" s="14"/>
      <c r="L17" s="14"/>
      <c r="M17" s="14"/>
      <c r="N17" s="14" t="n">
        <f aca="false">ROUND((G17*I17)-K17-L17-M17,2)</f>
        <v>205.41</v>
      </c>
      <c r="O17" s="14"/>
      <c r="P17" s="14" t="n">
        <f aca="false">ROUND(IF(D17=0,IF((N17-E17-O17)&gt;0,(N17-E17-O17),0),IF((D17+N17-O17)&gt;0,(D17+N17-O17),0)),2)</f>
        <v>5698.33</v>
      </c>
      <c r="Q17" s="14" t="n">
        <f aca="false">ROUND(IF(E17=0,IF((D17+N17-O17)&lt;0,ABS(D17+N17-O17),0),IF((N17-E17-O17)&lt;0,ABS(N17-E17-O17),0)),2)</f>
        <v>0</v>
      </c>
    </row>
    <row r="18" customFormat="false" ht="15" hidden="false" customHeight="true" outlineLevel="0" collapsed="false">
      <c r="A18" s="12" t="s">
        <v>51</v>
      </c>
      <c r="B18" s="12" t="str">
        <f aca="false">березень!B18</f>
        <v>Петренко О.М.</v>
      </c>
      <c r="C18" s="12" t="s">
        <v>53</v>
      </c>
      <c r="D18" s="14" t="n">
        <f aca="false">березень!P18</f>
        <v>1981.16</v>
      </c>
      <c r="E18" s="14" t="n">
        <f aca="false">березень!Q18</f>
        <v>0</v>
      </c>
      <c r="F18" s="13" t="n">
        <f aca="false">березень!F18</f>
        <v>0</v>
      </c>
      <c r="G18" s="13" t="n">
        <f aca="false">березень!G18</f>
        <v>35.2</v>
      </c>
      <c r="H18" s="13" t="n">
        <f aca="false">березень!H18</f>
        <v>0</v>
      </c>
      <c r="I18" s="13" t="n">
        <f aca="false">березень!I18</f>
        <v>4.1</v>
      </c>
      <c r="J18" s="14" t="n">
        <f aca="false">ROUND(G18*I18,2)</f>
        <v>144.32</v>
      </c>
      <c r="K18" s="14"/>
      <c r="L18" s="14"/>
      <c r="M18" s="14"/>
      <c r="N18" s="14" t="n">
        <f aca="false">ROUND((G18*I18)-K18-L18-M18,2)</f>
        <v>144.32</v>
      </c>
      <c r="O18" s="14"/>
      <c r="P18" s="14" t="n">
        <f aca="false">ROUND(IF(D18=0,IF((N18-E18-O18)&gt;0,(N18-E18-O18),0),IF((D18+N18-O18)&gt;0,(D18+N18-O18),0)),2)</f>
        <v>2125.48</v>
      </c>
      <c r="Q18" s="14" t="n">
        <f aca="false">ROUND(IF(E18=0,IF((D18+N18-O18)&lt;0,ABS(D18+N18-O18),0),IF((N18-E18-O18)&lt;0,ABS(N18-E18-O18),0)),2)</f>
        <v>0</v>
      </c>
    </row>
    <row r="19" customFormat="false" ht="15" hidden="false" customHeight="true" outlineLevel="0" collapsed="false">
      <c r="A19" s="12" t="s">
        <v>54</v>
      </c>
      <c r="B19" s="12" t="str">
        <f aca="false">березень!B19</f>
        <v>Зеленюк А.Д</v>
      </c>
      <c r="C19" s="12" t="s">
        <v>56</v>
      </c>
      <c r="D19" s="14" t="n">
        <f aca="false">березень!P19</f>
        <v>12951.81</v>
      </c>
      <c r="E19" s="14" t="n">
        <f aca="false">березень!Q19</f>
        <v>0</v>
      </c>
      <c r="F19" s="13" t="n">
        <f aca="false">березень!F19</f>
        <v>0</v>
      </c>
      <c r="G19" s="13" t="n">
        <f aca="false">березень!G19</f>
        <v>62.78</v>
      </c>
      <c r="H19" s="13" t="n">
        <f aca="false">березень!H19</f>
        <v>0</v>
      </c>
      <c r="I19" s="13" t="n">
        <f aca="false">березень!I19</f>
        <v>4.1</v>
      </c>
      <c r="J19" s="14" t="n">
        <f aca="false">ROUND(G19*I19,2)</f>
        <v>257.4</v>
      </c>
      <c r="K19" s="14"/>
      <c r="L19" s="14"/>
      <c r="M19" s="14"/>
      <c r="N19" s="14" t="n">
        <f aca="false">ROUND((G19*I19)-K19-L19-M19,2)</f>
        <v>257.4</v>
      </c>
      <c r="O19" s="14"/>
      <c r="P19" s="14" t="n">
        <f aca="false">ROUND(IF(D19=0,IF((N19-E19-O19)&gt;0,(N19-E19-O19),0),IF((D19+N19-O19)&gt;0,(D19+N19-O19),0)),2)</f>
        <v>13209.21</v>
      </c>
      <c r="Q19" s="14" t="n">
        <f aca="false">ROUND(IF(E19=0,IF((D19+N19-O19)&lt;0,ABS(D19+N19-O19),0),IF((N19-E19-O19)&lt;0,ABS(N19-E19-O19),0)),2)</f>
        <v>0</v>
      </c>
    </row>
    <row r="20" customFormat="false" ht="15" hidden="false" customHeight="true" outlineLevel="0" collapsed="false">
      <c r="A20" s="12" t="s">
        <v>57</v>
      </c>
      <c r="B20" s="12" t="str">
        <f aca="false">березень!B20</f>
        <v>Вовк І.В</v>
      </c>
      <c r="C20" s="12" t="s">
        <v>59</v>
      </c>
      <c r="D20" s="14" t="n">
        <f aca="false">березень!P20</f>
        <v>5546.28</v>
      </c>
      <c r="E20" s="14" t="n">
        <f aca="false">березень!Q20</f>
        <v>0</v>
      </c>
      <c r="F20" s="13" t="n">
        <f aca="false">березень!F20</f>
        <v>0</v>
      </c>
      <c r="G20" s="13" t="n">
        <f aca="false">березень!G20</f>
        <v>28.23</v>
      </c>
      <c r="H20" s="13" t="n">
        <f aca="false">березень!H20</f>
        <v>0</v>
      </c>
      <c r="I20" s="13" t="n">
        <f aca="false">березень!I20</f>
        <v>4.1</v>
      </c>
      <c r="J20" s="14" t="n">
        <f aca="false">ROUND(G20*I20,2)</f>
        <v>115.74</v>
      </c>
      <c r="K20" s="14"/>
      <c r="L20" s="14"/>
      <c r="M20" s="14"/>
      <c r="N20" s="14" t="n">
        <f aca="false">ROUND((G20*I20)-K20-L20-M20,2)</f>
        <v>115.74</v>
      </c>
      <c r="O20" s="14"/>
      <c r="P20" s="14" t="n">
        <f aca="false">ROUND(IF(D20=0,IF((N20-E20-O20)&gt;0,(N20-E20-O20),0),IF((D20+N20-O20)&gt;0,(D20+N20-O20),0)),2)</f>
        <v>5662.02</v>
      </c>
      <c r="Q20" s="14" t="n">
        <f aca="false">ROUND(IF(E20=0,IF((D20+N20-O20)&lt;0,ABS(D20+N20-O20),0),IF((N20-E20-O20)&lt;0,ABS(N20-E20-O20),0)),2)</f>
        <v>0</v>
      </c>
    </row>
    <row r="21" customFormat="false" ht="15" hidden="false" customHeight="true" outlineLevel="0" collapsed="false">
      <c r="A21" s="12" t="s">
        <v>57</v>
      </c>
      <c r="B21" s="12" t="str">
        <f aca="false">березень!B21</f>
        <v>Романовський В.М</v>
      </c>
      <c r="C21" s="12" t="s">
        <v>61</v>
      </c>
      <c r="D21" s="14" t="n">
        <f aca="false">березень!P21</f>
        <v>5917.1</v>
      </c>
      <c r="E21" s="14" t="n">
        <f aca="false">березень!Q21</f>
        <v>0</v>
      </c>
      <c r="F21" s="13" t="n">
        <f aca="false">березень!F21</f>
        <v>0</v>
      </c>
      <c r="G21" s="13" t="n">
        <f aca="false">березень!G21</f>
        <v>37.84</v>
      </c>
      <c r="H21" s="13" t="n">
        <f aca="false">березень!H21</f>
        <v>0</v>
      </c>
      <c r="I21" s="13" t="n">
        <f aca="false">березень!I21</f>
        <v>4.1</v>
      </c>
      <c r="J21" s="14" t="n">
        <f aca="false">ROUND(G21*I21,2)</f>
        <v>155.14</v>
      </c>
      <c r="K21" s="14"/>
      <c r="L21" s="14"/>
      <c r="M21" s="14"/>
      <c r="N21" s="14" t="n">
        <f aca="false">ROUND((G21*I21)-K21-L21-M21,2)</f>
        <v>155.14</v>
      </c>
      <c r="O21" s="14"/>
      <c r="P21" s="14" t="n">
        <f aca="false">ROUND(IF(D21=0,IF((N21-E21-O21)&gt;0,(N21-E21-O21),0),IF((D21+N21-O21)&gt;0,(D21+N21-O21),0)),2)</f>
        <v>6072.24</v>
      </c>
      <c r="Q21" s="14" t="n">
        <f aca="false">ROUND(IF(E21=0,IF((D21+N21-O21)&lt;0,ABS(D21+N21-O21),0),IF((N21-E21-O21)&lt;0,ABS(N21-E21-O21),0)),2)</f>
        <v>0</v>
      </c>
    </row>
    <row r="22" customFormat="false" ht="15" hidden="false" customHeight="true" outlineLevel="0" collapsed="false">
      <c r="A22" s="12" t="s">
        <v>62</v>
      </c>
      <c r="B22" s="12" t="str">
        <f aca="false">березень!B22</f>
        <v>Ряба Л.І</v>
      </c>
      <c r="C22" s="12" t="s">
        <v>64</v>
      </c>
      <c r="D22" s="14" t="n">
        <f aca="false">березень!P22</f>
        <v>672.2</v>
      </c>
      <c r="E22" s="14" t="n">
        <f aca="false">березень!Q22</f>
        <v>0</v>
      </c>
      <c r="F22" s="13" t="n">
        <f aca="false">березень!F22</f>
        <v>0</v>
      </c>
      <c r="G22" s="13" t="n">
        <f aca="false">березень!G22</f>
        <v>49.24</v>
      </c>
      <c r="H22" s="13" t="n">
        <f aca="false">березень!H22</f>
        <v>0</v>
      </c>
      <c r="I22" s="13" t="n">
        <f aca="false">березень!I22</f>
        <v>4.1</v>
      </c>
      <c r="J22" s="14" t="n">
        <f aca="false">ROUND(G22*I22,2)</f>
        <v>201.88</v>
      </c>
      <c r="K22" s="14"/>
      <c r="L22" s="14"/>
      <c r="M22" s="14"/>
      <c r="N22" s="14" t="n">
        <f aca="false">ROUND((G22*I22)-K22-L22-M22,2)</f>
        <v>201.88</v>
      </c>
      <c r="O22" s="14"/>
      <c r="P22" s="14" t="n">
        <f aca="false">ROUND(IF(D22=0,IF((N22-E22-O22)&gt;0,(N22-E22-O22),0),IF((D22+N22-O22)&gt;0,(D22+N22-O22),0)),2)</f>
        <v>874.08</v>
      </c>
      <c r="Q22" s="14" t="n">
        <f aca="false">ROUND(IF(E22=0,IF((D22+N22-O22)&lt;0,ABS(D22+N22-O22),0),IF((N22-E22-O22)&lt;0,ABS(N22-E22-O22),0)),2)</f>
        <v>0</v>
      </c>
    </row>
    <row r="23" customFormat="false" ht="15" hidden="false" customHeight="true" outlineLevel="0" collapsed="false">
      <c r="A23" s="12" t="s">
        <v>65</v>
      </c>
      <c r="B23" s="12" t="str">
        <f aca="false">березень!B23</f>
        <v>Кас'янова О.А.</v>
      </c>
      <c r="C23" s="12" t="s">
        <v>67</v>
      </c>
      <c r="D23" s="14" t="n">
        <f aca="false">березень!P23</f>
        <v>867.53</v>
      </c>
      <c r="E23" s="14" t="n">
        <f aca="false">березень!Q23</f>
        <v>0</v>
      </c>
      <c r="F23" s="13" t="n">
        <f aca="false">березень!F23</f>
        <v>0</v>
      </c>
      <c r="G23" s="13" t="n">
        <f aca="false">березень!G23</f>
        <v>35.1</v>
      </c>
      <c r="H23" s="13" t="n">
        <f aca="false">березень!H23</f>
        <v>0</v>
      </c>
      <c r="I23" s="13" t="n">
        <f aca="false">березень!I23</f>
        <v>4.1</v>
      </c>
      <c r="J23" s="14" t="n">
        <f aca="false">ROUND(G23*I23,2)</f>
        <v>143.91</v>
      </c>
      <c r="K23" s="14"/>
      <c r="L23" s="14"/>
      <c r="M23" s="14"/>
      <c r="N23" s="14" t="n">
        <f aca="false">ROUND((G23*I23)-K23-L23-M23,2)</f>
        <v>143.91</v>
      </c>
      <c r="O23" s="14"/>
      <c r="P23" s="14" t="n">
        <f aca="false">ROUND(IF(D23=0,IF((N23-E23-O23)&gt;0,(N23-E23-O23),0),IF((D23+N23-O23)&gt;0,(D23+N23-O23),0)),2)</f>
        <v>1011.44</v>
      </c>
      <c r="Q23" s="14" t="n">
        <f aca="false">ROUND(IF(E23=0,IF((D23+N23-O23)&lt;0,ABS(D23+N23-O23),0),IF((N23-E23-O23)&lt;0,ABS(N23-E23-O23),0)),2)</f>
        <v>0</v>
      </c>
    </row>
    <row r="24" customFormat="false" ht="15" hidden="false" customHeight="true" outlineLevel="0" collapsed="false">
      <c r="A24" s="12" t="s">
        <v>68</v>
      </c>
      <c r="B24" s="12" t="str">
        <f aca="false">березень!B24</f>
        <v>Корякіна М.В.</v>
      </c>
      <c r="C24" s="12" t="s">
        <v>70</v>
      </c>
      <c r="D24" s="14" t="n">
        <f aca="false">березень!P24</f>
        <v>5461.37</v>
      </c>
      <c r="E24" s="14" t="n">
        <f aca="false">березень!Q24</f>
        <v>0</v>
      </c>
      <c r="F24" s="13" t="n">
        <f aca="false">березень!F24</f>
        <v>0</v>
      </c>
      <c r="G24" s="13" t="n">
        <f aca="false">березень!G24</f>
        <v>61.9</v>
      </c>
      <c r="H24" s="13" t="n">
        <f aca="false">березень!H24</f>
        <v>0</v>
      </c>
      <c r="I24" s="13" t="n">
        <f aca="false">березень!I24</f>
        <v>4.1</v>
      </c>
      <c r="J24" s="14" t="n">
        <f aca="false">ROUND(G24*I24,2)</f>
        <v>253.79</v>
      </c>
      <c r="K24" s="14"/>
      <c r="L24" s="14"/>
      <c r="M24" s="14"/>
      <c r="N24" s="14" t="n">
        <f aca="false">ROUND((G24*I24)-K24-L24-M24,2)</f>
        <v>253.79</v>
      </c>
      <c r="O24" s="14"/>
      <c r="P24" s="14" t="n">
        <f aca="false">ROUND(IF(D24=0,IF((N24-E24-O24)&gt;0,(N24-E24-O24),0),IF((D24+N24-O24)&gt;0,(D24+N24-O24),0)),2)</f>
        <v>5715.16</v>
      </c>
      <c r="Q24" s="14" t="n">
        <f aca="false">ROUND(IF(E24=0,IF((D24+N24-O24)&lt;0,ABS(D24+N24-O24),0),IF((N24-E24-O24)&lt;0,ABS(N24-E24-O24),0)),2)</f>
        <v>0</v>
      </c>
    </row>
    <row r="25" customFormat="false" ht="15" hidden="false" customHeight="true" outlineLevel="0" collapsed="false">
      <c r="A25" s="12" t="s">
        <v>71</v>
      </c>
      <c r="B25" s="12" t="str">
        <f aca="false">березень!B25</f>
        <v>Сокерчак А.В.</v>
      </c>
      <c r="C25" s="12" t="s">
        <v>73</v>
      </c>
      <c r="D25" s="14" t="n">
        <f aca="false">березень!P25</f>
        <v>1087.32</v>
      </c>
      <c r="E25" s="14" t="n">
        <f aca="false">березень!Q25</f>
        <v>0</v>
      </c>
      <c r="F25" s="13" t="n">
        <f aca="false">березень!F25</f>
        <v>0</v>
      </c>
      <c r="G25" s="13" t="n">
        <f aca="false">березень!G25</f>
        <v>66.3</v>
      </c>
      <c r="H25" s="13" t="n">
        <f aca="false">березень!H25</f>
        <v>0</v>
      </c>
      <c r="I25" s="13" t="n">
        <f aca="false">березень!I25</f>
        <v>4.1</v>
      </c>
      <c r="J25" s="14" t="n">
        <f aca="false">ROUND(G25*I25,2)</f>
        <v>271.83</v>
      </c>
      <c r="K25" s="14"/>
      <c r="L25" s="14"/>
      <c r="M25" s="14"/>
      <c r="N25" s="14" t="n">
        <f aca="false">ROUND((G25*I25)-K25-L25-M25,2)</f>
        <v>271.83</v>
      </c>
      <c r="O25" s="14"/>
      <c r="P25" s="14" t="n">
        <f aca="false">ROUND(IF(D25=0,IF((N25-E25-O25)&gt;0,(N25-E25-O25),0),IF((D25+N25-O25)&gt;0,(D25+N25-O25),0)),2)</f>
        <v>1359.15</v>
      </c>
      <c r="Q25" s="14" t="n">
        <f aca="false">ROUND(IF(E25=0,IF((D25+N25-O25)&lt;0,ABS(D25+N25-O25),0),IF((N25-E25-O25)&lt;0,ABS(N25-E25-O25),0)),2)</f>
        <v>0</v>
      </c>
    </row>
    <row r="26" customFormat="false" ht="15" hidden="false" customHeight="true" outlineLevel="0" collapsed="false">
      <c r="A26" s="12" t="s">
        <v>74</v>
      </c>
      <c r="B26" s="12" t="str">
        <f aca="false">березень!B26</f>
        <v>Кравченко В.А</v>
      </c>
      <c r="C26" s="12" t="s">
        <v>76</v>
      </c>
      <c r="D26" s="14" t="n">
        <f aca="false">березень!P26</f>
        <v>633.21</v>
      </c>
      <c r="E26" s="14" t="n">
        <f aca="false">березень!Q26</f>
        <v>0</v>
      </c>
      <c r="F26" s="13" t="n">
        <f aca="false">березень!F26</f>
        <v>0</v>
      </c>
      <c r="G26" s="13" t="n">
        <f aca="false">березень!G26</f>
        <v>51.48</v>
      </c>
      <c r="H26" s="13" t="n">
        <f aca="false">березень!H26</f>
        <v>0</v>
      </c>
      <c r="I26" s="13" t="n">
        <f aca="false">березень!I26</f>
        <v>4.1</v>
      </c>
      <c r="J26" s="14" t="n">
        <f aca="false">ROUND(G26*I26,2)</f>
        <v>211.07</v>
      </c>
      <c r="K26" s="14"/>
      <c r="L26" s="14"/>
      <c r="M26" s="14"/>
      <c r="N26" s="14" t="n">
        <f aca="false">ROUND((G26*I26)-K26-L26-M26,2)</f>
        <v>211.07</v>
      </c>
      <c r="O26" s="14"/>
      <c r="P26" s="14" t="n">
        <f aca="false">ROUND(IF(D26=0,IF((N26-E26-O26)&gt;0,(N26-E26-O26),0),IF((D26+N26-O26)&gt;0,(D26+N26-O26),0)),2)</f>
        <v>844.28</v>
      </c>
      <c r="Q26" s="14" t="n">
        <f aca="false">ROUND(IF(E26=0,IF((D26+N26-O26)&lt;0,ABS(D26+N26-O26),0),IF((N26-E26-O26)&lt;0,ABS(N26-E26-O26),0)),2)</f>
        <v>0</v>
      </c>
    </row>
    <row r="27" customFormat="false" ht="15" hidden="false" customHeight="true" outlineLevel="0" collapsed="false">
      <c r="A27" s="12" t="s">
        <v>77</v>
      </c>
      <c r="B27" s="12" t="str">
        <f aca="false">березень!B27</f>
        <v>Чичикало А.С</v>
      </c>
      <c r="C27" s="12" t="s">
        <v>79</v>
      </c>
      <c r="D27" s="14" t="n">
        <f aca="false">березень!P27</f>
        <v>0</v>
      </c>
      <c r="E27" s="14" t="n">
        <f aca="false">березень!Q27</f>
        <v>139.13</v>
      </c>
      <c r="F27" s="13" t="n">
        <f aca="false">березень!F27</f>
        <v>0</v>
      </c>
      <c r="G27" s="13" t="n">
        <f aca="false">березень!G27</f>
        <v>35.1</v>
      </c>
      <c r="H27" s="13" t="n">
        <f aca="false">березень!H27</f>
        <v>0</v>
      </c>
      <c r="I27" s="13" t="n">
        <f aca="false">березень!I27</f>
        <v>4.1</v>
      </c>
      <c r="J27" s="14" t="n">
        <f aca="false">ROUND(G27*I27,2)</f>
        <v>143.91</v>
      </c>
      <c r="K27" s="14"/>
      <c r="L27" s="14"/>
      <c r="M27" s="14"/>
      <c r="N27" s="14" t="n">
        <f aca="false">ROUND((G27*I27)-K27-L27-M27,2)</f>
        <v>143.91</v>
      </c>
      <c r="O27" s="14"/>
      <c r="P27" s="14" t="n">
        <f aca="false">ROUND(IF(D27=0,IF((N27-E27-O27)&gt;0,(N27-E27-O27),0),IF((D27+N27-O27)&gt;0,(D27+N27-O27),0)),2)</f>
        <v>4.78</v>
      </c>
      <c r="Q27" s="14" t="n">
        <f aca="false">ROUND(IF(E27=0,IF((D27+N27-O27)&lt;0,ABS(D27+N27-O27),0),IF((N27-E27-O27)&lt;0,ABS(N27-E27-O27),0)),2)</f>
        <v>0</v>
      </c>
    </row>
    <row r="28" customFormat="false" ht="15" hidden="false" customHeight="true" outlineLevel="0" collapsed="false">
      <c r="A28" s="12" t="s">
        <v>80</v>
      </c>
      <c r="B28" s="12" t="str">
        <f aca="false">березень!B28</f>
        <v>Сільващук А.А</v>
      </c>
      <c r="C28" s="12" t="s">
        <v>82</v>
      </c>
      <c r="D28" s="14" t="n">
        <f aca="false">березень!P28</f>
        <v>771.21</v>
      </c>
      <c r="E28" s="14" t="n">
        <f aca="false">березень!Q28</f>
        <v>0</v>
      </c>
      <c r="F28" s="13" t="n">
        <f aca="false">березень!F28</f>
        <v>0</v>
      </c>
      <c r="G28" s="13" t="n">
        <f aca="false">березень!G28</f>
        <v>62.7</v>
      </c>
      <c r="H28" s="13" t="n">
        <f aca="false">березень!H28</f>
        <v>0</v>
      </c>
      <c r="I28" s="13" t="n">
        <f aca="false">березень!I28</f>
        <v>4.1</v>
      </c>
      <c r="J28" s="14" t="n">
        <f aca="false">ROUND(G28*I28,2)</f>
        <v>257.07</v>
      </c>
      <c r="K28" s="14"/>
      <c r="L28" s="14"/>
      <c r="M28" s="14"/>
      <c r="N28" s="14" t="n">
        <f aca="false">ROUND((G28*I28)-K28-L28-M28,2)</f>
        <v>257.07</v>
      </c>
      <c r="O28" s="14"/>
      <c r="P28" s="14" t="n">
        <f aca="false">ROUND(IF(D28=0,IF((N28-E28-O28)&gt;0,(N28-E28-O28),0),IF((D28+N28-O28)&gt;0,(D28+N28-O28),0)),2)</f>
        <v>1028.28</v>
      </c>
      <c r="Q28" s="14" t="n">
        <f aca="false">ROUND(IF(E28=0,IF((D28+N28-O28)&lt;0,ABS(D28+N28-O28),0),IF((N28-E28-O28)&lt;0,ABS(N28-E28-O28),0)),2)</f>
        <v>0</v>
      </c>
    </row>
    <row r="29" customFormat="false" ht="15" hidden="false" customHeight="true" outlineLevel="0" collapsed="false">
      <c r="A29" s="12" t="s">
        <v>83</v>
      </c>
      <c r="B29" s="12" t="str">
        <f aca="false">березень!B29</f>
        <v>Стеценко Г.М</v>
      </c>
      <c r="C29" s="12" t="s">
        <v>85</v>
      </c>
      <c r="D29" s="14" t="n">
        <f aca="false">березень!P29</f>
        <v>1071.24</v>
      </c>
      <c r="E29" s="14" t="n">
        <f aca="false">березень!Q29</f>
        <v>0</v>
      </c>
      <c r="F29" s="13" t="n">
        <f aca="false">березень!F29</f>
        <v>0</v>
      </c>
      <c r="G29" s="13" t="n">
        <f aca="false">березень!G29</f>
        <v>65.32</v>
      </c>
      <c r="H29" s="13" t="n">
        <f aca="false">березень!H29</f>
        <v>0</v>
      </c>
      <c r="I29" s="13" t="n">
        <f aca="false">березень!I29</f>
        <v>4.1</v>
      </c>
      <c r="J29" s="14" t="n">
        <f aca="false">ROUND(G29*I29,2)</f>
        <v>267.81</v>
      </c>
      <c r="K29" s="14"/>
      <c r="L29" s="14"/>
      <c r="M29" s="14"/>
      <c r="N29" s="14" t="n">
        <f aca="false">ROUND((G29*I29)-K29-L29-M29,2)</f>
        <v>267.81</v>
      </c>
      <c r="O29" s="14"/>
      <c r="P29" s="14" t="n">
        <f aca="false">ROUND(IF(D29=0,IF((N29-E29-O29)&gt;0,(N29-E29-O29),0),IF((D29+N29-O29)&gt;0,(D29+N29-O29),0)),2)</f>
        <v>1339.05</v>
      </c>
      <c r="Q29" s="14" t="n">
        <f aca="false">ROUND(IF(E29=0,IF((D29+N29-O29)&lt;0,ABS(D29+N29-O29),0),IF((N29-E29-O29)&lt;0,ABS(N29-E29-O29),0)),2)</f>
        <v>0</v>
      </c>
    </row>
    <row r="30" customFormat="false" ht="15" hidden="false" customHeight="true" outlineLevel="0" collapsed="false">
      <c r="A30" s="12" t="s">
        <v>86</v>
      </c>
      <c r="B30" s="12" t="str">
        <f aca="false">березень!B30</f>
        <v>Кирдячкіна П.А</v>
      </c>
      <c r="C30" s="12" t="s">
        <v>88</v>
      </c>
      <c r="D30" s="14" t="n">
        <f aca="false">березень!P30</f>
        <v>560.79</v>
      </c>
      <c r="E30" s="14" t="n">
        <f aca="false">березень!Q30</f>
        <v>0</v>
      </c>
      <c r="F30" s="13" t="n">
        <f aca="false">березень!F30</f>
        <v>0</v>
      </c>
      <c r="G30" s="13" t="n">
        <f aca="false">березень!G30</f>
        <v>49.7</v>
      </c>
      <c r="H30" s="13" t="n">
        <f aca="false">березень!H30</f>
        <v>0</v>
      </c>
      <c r="I30" s="13" t="n">
        <f aca="false">березень!I30</f>
        <v>4.1</v>
      </c>
      <c r="J30" s="14" t="n">
        <f aca="false">ROUND(G30*I30,2)</f>
        <v>203.77</v>
      </c>
      <c r="K30" s="14"/>
      <c r="L30" s="14"/>
      <c r="M30" s="14"/>
      <c r="N30" s="14" t="n">
        <f aca="false">ROUND((G30*I30)-K30-L30-M30,2)</f>
        <v>203.77</v>
      </c>
      <c r="O30" s="14"/>
      <c r="P30" s="14" t="n">
        <f aca="false">ROUND(IF(D30=0,IF((N30-E30-O30)&gt;0,(N30-E30-O30),0),IF((D30+N30-O30)&gt;0,(D30+N30-O30),0)),2)</f>
        <v>764.56</v>
      </c>
      <c r="Q30" s="14" t="n">
        <f aca="false">ROUND(IF(E30=0,IF((D30+N30-O30)&lt;0,ABS(D30+N30-O30),0),IF((N30-E30-O30)&lt;0,ABS(N30-E30-O30),0)),2)</f>
        <v>0</v>
      </c>
    </row>
    <row r="31" customFormat="false" ht="15" hidden="false" customHeight="true" outlineLevel="0" collapsed="false">
      <c r="A31" s="12" t="s">
        <v>89</v>
      </c>
      <c r="B31" s="12" t="str">
        <f aca="false">березень!B31</f>
        <v>Фоміченко Л.А</v>
      </c>
      <c r="C31" s="12" t="s">
        <v>91</v>
      </c>
      <c r="D31" s="14" t="n">
        <f aca="false">березень!P31</f>
        <v>4112.49</v>
      </c>
      <c r="E31" s="14" t="n">
        <f aca="false">березень!Q31</f>
        <v>0</v>
      </c>
      <c r="F31" s="13" t="n">
        <f aca="false">березень!F31</f>
        <v>0</v>
      </c>
      <c r="G31" s="13" t="n">
        <f aca="false">березень!G31</f>
        <v>35.1</v>
      </c>
      <c r="H31" s="13" t="n">
        <f aca="false">березень!H31</f>
        <v>0</v>
      </c>
      <c r="I31" s="13" t="n">
        <f aca="false">березень!I31</f>
        <v>4.1</v>
      </c>
      <c r="J31" s="14" t="n">
        <f aca="false">ROUND(G31*I31,2)</f>
        <v>143.91</v>
      </c>
      <c r="K31" s="14"/>
      <c r="L31" s="14"/>
      <c r="M31" s="14"/>
      <c r="N31" s="14" t="n">
        <f aca="false">ROUND((G31*I31)-K31-L31-M31,2)</f>
        <v>143.91</v>
      </c>
      <c r="O31" s="14"/>
      <c r="P31" s="14" t="n">
        <f aca="false">ROUND(IF(D31=0,IF((N31-E31-O31)&gt;0,(N31-E31-O31),0),IF((D31+N31-O31)&gt;0,(D31+N31-O31),0)),2)</f>
        <v>4256.4</v>
      </c>
      <c r="Q31" s="14" t="n">
        <f aca="false">ROUND(IF(E31=0,IF((D31+N31-O31)&lt;0,ABS(D31+N31-O31),0),IF((N31-E31-O31)&lt;0,ABS(N31-E31-O31),0)),2)</f>
        <v>0</v>
      </c>
    </row>
    <row r="32" customFormat="false" ht="15" hidden="false" customHeight="true" outlineLevel="0" collapsed="false">
      <c r="A32" s="12" t="s">
        <v>92</v>
      </c>
      <c r="B32" s="12" t="str">
        <f aca="false">березень!B32</f>
        <v>Сердюк А.Г</v>
      </c>
      <c r="C32" s="12" t="s">
        <v>94</v>
      </c>
      <c r="D32" s="14" t="n">
        <f aca="false">березень!P32</f>
        <v>1021.83</v>
      </c>
      <c r="E32" s="14" t="n">
        <f aca="false">березень!Q32</f>
        <v>0</v>
      </c>
      <c r="F32" s="13" t="n">
        <f aca="false">березень!F32</f>
        <v>0</v>
      </c>
      <c r="G32" s="13" t="n">
        <f aca="false">березень!G32</f>
        <v>62.31</v>
      </c>
      <c r="H32" s="13" t="n">
        <f aca="false">березень!H32</f>
        <v>0</v>
      </c>
      <c r="I32" s="13" t="n">
        <f aca="false">березень!I32</f>
        <v>4.1</v>
      </c>
      <c r="J32" s="14" t="n">
        <f aca="false">ROUND(G32*I32,2)</f>
        <v>255.47</v>
      </c>
      <c r="K32" s="14"/>
      <c r="L32" s="14"/>
      <c r="M32" s="14"/>
      <c r="N32" s="14" t="n">
        <f aca="false">ROUND((G32*I32)-K32-L32-M32,2)</f>
        <v>255.47</v>
      </c>
      <c r="O32" s="14"/>
      <c r="P32" s="14" t="n">
        <f aca="false">ROUND(IF(D32=0,IF((N32-E32-O32)&gt;0,(N32-E32-O32),0),IF((D32+N32-O32)&gt;0,(D32+N32-O32),0)),2)</f>
        <v>1277.3</v>
      </c>
      <c r="Q32" s="14" t="n">
        <f aca="false">ROUND(IF(E32=0,IF((D32+N32-O32)&lt;0,ABS(D32+N32-O32),0),IF((N32-E32-O32)&lt;0,ABS(N32-E32-O32),0)),2)</f>
        <v>0</v>
      </c>
    </row>
    <row r="33" customFormat="false" ht="15" hidden="false" customHeight="true" outlineLevel="0" collapsed="false">
      <c r="A33" s="12" t="s">
        <v>95</v>
      </c>
      <c r="B33" s="12" t="str">
        <f aca="false">березень!B33</f>
        <v>Михальченко Г.М</v>
      </c>
      <c r="C33" s="12" t="s">
        <v>97</v>
      </c>
      <c r="D33" s="14" t="n">
        <f aca="false">березень!P33</f>
        <v>13187.22</v>
      </c>
      <c r="E33" s="14" t="n">
        <f aca="false">березень!Q33</f>
        <v>0</v>
      </c>
      <c r="F33" s="13" t="n">
        <f aca="false">березень!F33</f>
        <v>0</v>
      </c>
      <c r="G33" s="13" t="n">
        <f aca="false">березень!G33</f>
        <v>65.04</v>
      </c>
      <c r="H33" s="13" t="n">
        <f aca="false">березень!H33</f>
        <v>0</v>
      </c>
      <c r="I33" s="13" t="n">
        <f aca="false">березень!I33</f>
        <v>4.1</v>
      </c>
      <c r="J33" s="14" t="n">
        <f aca="false">ROUND(G33*I33,2)</f>
        <v>266.66</v>
      </c>
      <c r="K33" s="14"/>
      <c r="L33" s="14"/>
      <c r="M33" s="14"/>
      <c r="N33" s="14" t="n">
        <f aca="false">ROUND((G33*I33)-K33-L33-M33,2)</f>
        <v>266.66</v>
      </c>
      <c r="O33" s="14"/>
      <c r="P33" s="14" t="n">
        <f aca="false">ROUND(IF(D33=0,IF((N33-E33-O33)&gt;0,(N33-E33-O33),0),IF((D33+N33-O33)&gt;0,(D33+N33-O33),0)),2)</f>
        <v>13453.88</v>
      </c>
      <c r="Q33" s="14" t="n">
        <f aca="false">ROUND(IF(E33=0,IF((D33+N33-O33)&lt;0,ABS(D33+N33-O33),0),IF((N33-E33-O33)&lt;0,ABS(N33-E33-O33),0)),2)</f>
        <v>0</v>
      </c>
    </row>
    <row r="34" customFormat="false" ht="15" hidden="false" customHeight="true" outlineLevel="0" collapsed="false">
      <c r="A34" s="12" t="s">
        <v>98</v>
      </c>
      <c r="B34" s="12" t="str">
        <f aca="false">березень!B34</f>
        <v>Замуховська Я.С</v>
      </c>
      <c r="C34" s="12" t="s">
        <v>100</v>
      </c>
      <c r="D34" s="14" t="n">
        <f aca="false">березень!P34</f>
        <v>1020.9</v>
      </c>
      <c r="E34" s="14" t="n">
        <f aca="false">березень!Q34</f>
        <v>0</v>
      </c>
      <c r="F34" s="13" t="n">
        <f aca="false">березень!F34</f>
        <v>0</v>
      </c>
      <c r="G34" s="13" t="n">
        <f aca="false">березень!G34</f>
        <v>49.8</v>
      </c>
      <c r="H34" s="13" t="n">
        <f aca="false">березень!H34</f>
        <v>0</v>
      </c>
      <c r="I34" s="13" t="n">
        <f aca="false">березень!I34</f>
        <v>4.1</v>
      </c>
      <c r="J34" s="14" t="n">
        <f aca="false">ROUND(G34*I34,2)</f>
        <v>204.18</v>
      </c>
      <c r="K34" s="14"/>
      <c r="L34" s="14"/>
      <c r="M34" s="14"/>
      <c r="N34" s="14" t="n">
        <f aca="false">ROUND((G34*I34)-K34-L34-M34,2)</f>
        <v>204.18</v>
      </c>
      <c r="O34" s="14"/>
      <c r="P34" s="14" t="n">
        <f aca="false">ROUND(IF(D34=0,IF((N34-E34-O34)&gt;0,(N34-E34-O34),0),IF((D34+N34-O34)&gt;0,(D34+N34-O34),0)),2)</f>
        <v>1225.08</v>
      </c>
      <c r="Q34" s="14" t="n">
        <f aca="false">ROUND(IF(E34=0,IF((D34+N34-O34)&lt;0,ABS(D34+N34-O34),0),IF((N34-E34-O34)&lt;0,ABS(N34-E34-O34),0)),2)</f>
        <v>0</v>
      </c>
    </row>
    <row r="35" customFormat="false" ht="15" hidden="false" customHeight="true" outlineLevel="0" collapsed="false">
      <c r="A35" s="12" t="s">
        <v>101</v>
      </c>
      <c r="B35" s="12" t="str">
        <f aca="false">березень!B35</f>
        <v>Мержиєвська Г.К</v>
      </c>
      <c r="C35" s="12" t="s">
        <v>103</v>
      </c>
      <c r="D35" s="14" t="n">
        <f aca="false">березень!P35</f>
        <v>721</v>
      </c>
      <c r="E35" s="14" t="n">
        <f aca="false">березень!Q35</f>
        <v>0</v>
      </c>
      <c r="F35" s="13" t="n">
        <f aca="false">березень!F35</f>
        <v>0</v>
      </c>
      <c r="G35" s="13" t="n">
        <f aca="false">березень!G35</f>
        <v>35.17</v>
      </c>
      <c r="H35" s="13" t="n">
        <f aca="false">березень!H35</f>
        <v>0</v>
      </c>
      <c r="I35" s="13" t="n">
        <f aca="false">березень!I35</f>
        <v>4.1</v>
      </c>
      <c r="J35" s="14" t="n">
        <f aca="false">ROUND(G35*I35,2)</f>
        <v>144.2</v>
      </c>
      <c r="K35" s="14"/>
      <c r="L35" s="14"/>
      <c r="M35" s="14"/>
      <c r="N35" s="14" t="n">
        <f aca="false">ROUND((G35*I35)-K35-L35-M35,2)</f>
        <v>144.2</v>
      </c>
      <c r="O35" s="14"/>
      <c r="P35" s="14" t="n">
        <f aca="false">ROUND(IF(D35=0,IF((N35-E35-O35)&gt;0,(N35-E35-O35),0),IF((D35+N35-O35)&gt;0,(D35+N35-O35),0)),2)</f>
        <v>865.2</v>
      </c>
      <c r="Q35" s="14" t="n">
        <f aca="false">ROUND(IF(E35=0,IF((D35+N35-O35)&lt;0,ABS(D35+N35-O35),0),IF((N35-E35-O35)&lt;0,ABS(N35-E35-O35),0)),2)</f>
        <v>0</v>
      </c>
    </row>
    <row r="36" customFormat="false" ht="15" hidden="false" customHeight="true" outlineLevel="0" collapsed="false">
      <c r="A36" s="12" t="s">
        <v>104</v>
      </c>
      <c r="B36" s="12" t="str">
        <f aca="false">березень!B36</f>
        <v>Кулакова Л.В.</v>
      </c>
      <c r="C36" s="12" t="s">
        <v>106</v>
      </c>
      <c r="D36" s="14" t="n">
        <f aca="false">березень!P36</f>
        <v>768.39</v>
      </c>
      <c r="E36" s="14" t="n">
        <f aca="false">березень!Q36</f>
        <v>0</v>
      </c>
      <c r="F36" s="13" t="n">
        <f aca="false">березень!F36</f>
        <v>0</v>
      </c>
      <c r="G36" s="13" t="n">
        <f aca="false">березень!G36</f>
        <v>62.47</v>
      </c>
      <c r="H36" s="13" t="n">
        <f aca="false">березень!H36</f>
        <v>0</v>
      </c>
      <c r="I36" s="13" t="n">
        <f aca="false">березень!I36</f>
        <v>4.1</v>
      </c>
      <c r="J36" s="14" t="n">
        <f aca="false">ROUND(G36*I36,2)</f>
        <v>256.13</v>
      </c>
      <c r="K36" s="14"/>
      <c r="L36" s="14"/>
      <c r="M36" s="14"/>
      <c r="N36" s="14" t="n">
        <f aca="false">ROUND((G36*I36)-K36-L36-M36,2)</f>
        <v>256.13</v>
      </c>
      <c r="O36" s="14"/>
      <c r="P36" s="14" t="n">
        <f aca="false">ROUND(IF(D36=0,IF((N36-E36-O36)&gt;0,(N36-E36-O36),0),IF((D36+N36-O36)&gt;0,(D36+N36-O36),0)),2)</f>
        <v>1024.52</v>
      </c>
      <c r="Q36" s="14" t="n">
        <f aca="false">ROUND(IF(E36=0,IF((D36+N36-O36)&lt;0,ABS(D36+N36-O36),0),IF((N36-E36-O36)&lt;0,ABS(N36-E36-O36),0)),2)</f>
        <v>0</v>
      </c>
    </row>
    <row r="37" customFormat="false" ht="15" hidden="false" customHeight="true" outlineLevel="0" collapsed="false">
      <c r="A37" s="12" t="s">
        <v>107</v>
      </c>
      <c r="B37" s="12" t="str">
        <f aca="false">березень!B37</f>
        <v>Бочаров В.Л.</v>
      </c>
      <c r="C37" s="12" t="s">
        <v>109</v>
      </c>
      <c r="D37" s="14" t="n">
        <f aca="false">березень!P37</f>
        <v>7792.26</v>
      </c>
      <c r="E37" s="14" t="n">
        <f aca="false">березень!Q37</f>
        <v>0</v>
      </c>
      <c r="F37" s="13" t="n">
        <f aca="false">березень!F37</f>
        <v>0</v>
      </c>
      <c r="G37" s="13" t="n">
        <f aca="false">березень!G37</f>
        <v>65.75</v>
      </c>
      <c r="H37" s="13" t="n">
        <f aca="false">березень!H37</f>
        <v>0</v>
      </c>
      <c r="I37" s="13" t="n">
        <f aca="false">березень!I37</f>
        <v>4.1</v>
      </c>
      <c r="J37" s="14" t="n">
        <f aca="false">ROUND(G37*I37,2)</f>
        <v>269.58</v>
      </c>
      <c r="K37" s="14"/>
      <c r="L37" s="14"/>
      <c r="M37" s="14"/>
      <c r="N37" s="14" t="n">
        <f aca="false">ROUND((G37*I37)-K37-L37-M37,2)</f>
        <v>269.58</v>
      </c>
      <c r="O37" s="14"/>
      <c r="P37" s="14" t="n">
        <f aca="false">ROUND(IF(D37=0,IF((N37-E37-O37)&gt;0,(N37-E37-O37),0),IF((D37+N37-O37)&gt;0,(D37+N37-O37),0)),2)</f>
        <v>8061.84</v>
      </c>
      <c r="Q37" s="14" t="n">
        <f aca="false">ROUND(IF(E37=0,IF((D37+N37-O37)&lt;0,ABS(D37+N37-O37),0),IF((N37-E37-O37)&lt;0,ABS(N37-E37-O37),0)),2)</f>
        <v>0</v>
      </c>
    </row>
    <row r="38" customFormat="false" ht="15" hidden="false" customHeight="true" outlineLevel="0" collapsed="false">
      <c r="A38" s="12" t="s">
        <v>110</v>
      </c>
      <c r="B38" s="12" t="str">
        <f aca="false">березень!B38</f>
        <v>Лучков В.Л.</v>
      </c>
      <c r="C38" s="12" t="s">
        <v>112</v>
      </c>
      <c r="D38" s="14" t="n">
        <f aca="false">березень!P38</f>
        <v>10179.86</v>
      </c>
      <c r="E38" s="14" t="n">
        <f aca="false">березень!Q38</f>
        <v>0</v>
      </c>
      <c r="F38" s="13" t="n">
        <f aca="false">березень!F38</f>
        <v>0</v>
      </c>
      <c r="G38" s="13" t="n">
        <f aca="false">березень!G38</f>
        <v>49.7</v>
      </c>
      <c r="H38" s="13" t="n">
        <f aca="false">березень!H38</f>
        <v>0</v>
      </c>
      <c r="I38" s="13" t="n">
        <f aca="false">березень!I38</f>
        <v>4.1</v>
      </c>
      <c r="J38" s="14" t="n">
        <f aca="false">ROUND(G38*I38,2)</f>
        <v>203.77</v>
      </c>
      <c r="K38" s="14"/>
      <c r="L38" s="14"/>
      <c r="M38" s="14"/>
      <c r="N38" s="14" t="n">
        <f aca="false">ROUND((G38*I38)-K38-L38-M38,2)</f>
        <v>203.77</v>
      </c>
      <c r="O38" s="14"/>
      <c r="P38" s="14" t="n">
        <f aca="false">ROUND(IF(D38=0,IF((N38-E38-O38)&gt;0,(N38-E38-O38),0),IF((D38+N38-O38)&gt;0,(D38+N38-O38),0)),2)</f>
        <v>10383.63</v>
      </c>
      <c r="Q38" s="14" t="n">
        <f aca="false">ROUND(IF(E38=0,IF((D38+N38-O38)&lt;0,ABS(D38+N38-O38),0),IF((N38-E38-O38)&lt;0,ABS(N38-E38-O38),0)),2)</f>
        <v>0</v>
      </c>
    </row>
    <row r="39" customFormat="false" ht="15" hidden="false" customHeight="true" outlineLevel="0" collapsed="false">
      <c r="A39" s="12" t="s">
        <v>113</v>
      </c>
      <c r="B39" s="12" t="str">
        <f aca="false">березень!B39</f>
        <v>Кашкар Т.М.</v>
      </c>
      <c r="C39" s="12" t="s">
        <v>115</v>
      </c>
      <c r="D39" s="14" t="n">
        <f aca="false">березень!P39</f>
        <v>431.73</v>
      </c>
      <c r="E39" s="14" t="n">
        <f aca="false">березень!Q39</f>
        <v>0</v>
      </c>
      <c r="F39" s="13" t="n">
        <f aca="false">березень!F39</f>
        <v>0</v>
      </c>
      <c r="G39" s="13" t="n">
        <f aca="false">березень!G39</f>
        <v>35.1</v>
      </c>
      <c r="H39" s="13" t="n">
        <f aca="false">березень!H39</f>
        <v>0</v>
      </c>
      <c r="I39" s="13" t="n">
        <f aca="false">березень!I39</f>
        <v>4.1</v>
      </c>
      <c r="J39" s="14" t="n">
        <f aca="false">ROUND(G39*I39,2)</f>
        <v>143.91</v>
      </c>
      <c r="K39" s="14"/>
      <c r="L39" s="14"/>
      <c r="M39" s="14"/>
      <c r="N39" s="14" t="n">
        <f aca="false">ROUND((G39*I39)-K39-L39-M39,2)</f>
        <v>143.91</v>
      </c>
      <c r="O39" s="14"/>
      <c r="P39" s="14" t="n">
        <f aca="false">ROUND(IF(D39=0,IF((N39-E39-O39)&gt;0,(N39-E39-O39),0),IF((D39+N39-O39)&gt;0,(D39+N39-O39),0)),2)</f>
        <v>575.64</v>
      </c>
      <c r="Q39" s="14" t="n">
        <f aca="false">ROUND(IF(E39=0,IF((D39+N39-O39)&lt;0,ABS(D39+N39-O39),0),IF((N39-E39-O39)&lt;0,ABS(N39-E39-O39),0)),2)</f>
        <v>0</v>
      </c>
    </row>
    <row r="40" customFormat="false" ht="15" hidden="false" customHeight="true" outlineLevel="0" collapsed="false">
      <c r="A40" s="12" t="s">
        <v>116</v>
      </c>
      <c r="B40" s="12" t="str">
        <f aca="false">березень!B40</f>
        <v>Стецюк Н.П.</v>
      </c>
      <c r="C40" s="12" t="s">
        <v>118</v>
      </c>
      <c r="D40" s="14" t="n">
        <f aca="false">березень!P40</f>
        <v>1679.48</v>
      </c>
      <c r="E40" s="14" t="n">
        <f aca="false">березень!Q40</f>
        <v>0</v>
      </c>
      <c r="F40" s="13" t="n">
        <f aca="false">березень!F40</f>
        <v>0</v>
      </c>
      <c r="G40" s="13" t="n">
        <f aca="false">березень!G40</f>
        <v>61.9</v>
      </c>
      <c r="H40" s="13" t="n">
        <f aca="false">березень!H40</f>
        <v>0</v>
      </c>
      <c r="I40" s="13" t="n">
        <f aca="false">березень!I40</f>
        <v>4.1</v>
      </c>
      <c r="J40" s="14" t="n">
        <f aca="false">ROUND(G40*I40,2)</f>
        <v>253.79</v>
      </c>
      <c r="K40" s="14"/>
      <c r="L40" s="14"/>
      <c r="M40" s="14"/>
      <c r="N40" s="14" t="n">
        <f aca="false">ROUND((G40*I40)-K40-L40-M40,2)</f>
        <v>253.79</v>
      </c>
      <c r="O40" s="14"/>
      <c r="P40" s="14" t="n">
        <f aca="false">ROUND(IF(D40=0,IF((N40-E40-O40)&gt;0,(N40-E40-O40),0),IF((D40+N40-O40)&gt;0,(D40+N40-O40),0)),2)</f>
        <v>1933.27</v>
      </c>
      <c r="Q40" s="14" t="n">
        <f aca="false">ROUND(IF(E40=0,IF((D40+N40-O40)&lt;0,ABS(D40+N40-O40),0),IF((N40-E40-O40)&lt;0,ABS(N40-E40-O40),0)),2)</f>
        <v>0</v>
      </c>
    </row>
    <row r="41" customFormat="false" ht="15" hidden="false" customHeight="true" outlineLevel="0" collapsed="false">
      <c r="A41" s="12" t="s">
        <v>119</v>
      </c>
      <c r="B41" s="12" t="str">
        <f aca="false">березень!B41</f>
        <v>Маханько В.О.</v>
      </c>
      <c r="C41" s="12" t="s">
        <v>121</v>
      </c>
      <c r="D41" s="14" t="n">
        <f aca="false">березень!P41</f>
        <v>10367.42</v>
      </c>
      <c r="E41" s="14" t="n">
        <f aca="false">березень!Q41</f>
        <v>0</v>
      </c>
      <c r="F41" s="13" t="n">
        <f aca="false">березень!F41</f>
        <v>0</v>
      </c>
      <c r="G41" s="13" t="n">
        <f aca="false">березень!G41</f>
        <v>65.53</v>
      </c>
      <c r="H41" s="13" t="n">
        <f aca="false">березень!H41</f>
        <v>0</v>
      </c>
      <c r="I41" s="13" t="n">
        <f aca="false">березень!I41</f>
        <v>4.1</v>
      </c>
      <c r="J41" s="14" t="n">
        <f aca="false">ROUND(G41*I41,2)</f>
        <v>268.67</v>
      </c>
      <c r="K41" s="14"/>
      <c r="L41" s="14"/>
      <c r="M41" s="14"/>
      <c r="N41" s="14" t="n">
        <f aca="false">ROUND((G41*I41)-K41-L41-M41,2)</f>
        <v>268.67</v>
      </c>
      <c r="O41" s="14"/>
      <c r="P41" s="14" t="n">
        <f aca="false">ROUND(IF(D41=0,IF((N41-E41-O41)&gt;0,(N41-E41-O41),0),IF((D41+N41-O41)&gt;0,(D41+N41-O41),0)),2)</f>
        <v>10636.09</v>
      </c>
      <c r="Q41" s="14" t="n">
        <f aca="false">ROUND(IF(E41=0,IF((D41+N41-O41)&lt;0,ABS(D41+N41-O41),0),IF((N41-E41-O41)&lt;0,ABS(N41-E41-O41),0)),2)</f>
        <v>0</v>
      </c>
    </row>
    <row r="42" customFormat="false" ht="15" hidden="false" customHeight="true" outlineLevel="0" collapsed="false">
      <c r="A42" s="12" t="s">
        <v>122</v>
      </c>
      <c r="B42" s="12" t="str">
        <f aca="false">березень!B42</f>
        <v>Реуцька Р.С.</v>
      </c>
      <c r="C42" s="12" t="s">
        <v>124</v>
      </c>
      <c r="D42" s="14" t="n">
        <f aca="false">березень!P42</f>
        <v>8872.77</v>
      </c>
      <c r="E42" s="14" t="n">
        <f aca="false">березень!Q42</f>
        <v>0</v>
      </c>
      <c r="F42" s="13" t="n">
        <f aca="false">березень!F42</f>
        <v>0</v>
      </c>
      <c r="G42" s="13" t="n">
        <f aca="false">березень!G42</f>
        <v>49.7</v>
      </c>
      <c r="H42" s="13" t="n">
        <f aca="false">березень!H42</f>
        <v>0</v>
      </c>
      <c r="I42" s="13" t="n">
        <f aca="false">березень!I42</f>
        <v>4.1</v>
      </c>
      <c r="J42" s="14" t="n">
        <f aca="false">ROUND(G42*I42,2)</f>
        <v>203.77</v>
      </c>
      <c r="K42" s="14"/>
      <c r="L42" s="14"/>
      <c r="M42" s="14"/>
      <c r="N42" s="14" t="n">
        <f aca="false">ROUND((G42*I42)-K42-L42-M42,2)</f>
        <v>203.77</v>
      </c>
      <c r="O42" s="14"/>
      <c r="P42" s="14" t="n">
        <f aca="false">ROUND(IF(D42=0,IF((N42-E42-O42)&gt;0,(N42-E42-O42),0),IF((D42+N42-O42)&gt;0,(D42+N42-O42),0)),2)</f>
        <v>9076.54</v>
      </c>
      <c r="Q42" s="14" t="n">
        <f aca="false">ROUND(IF(E42=0,IF((D42+N42-O42)&lt;0,ABS(D42+N42-O42),0),IF((N42-E42-O42)&lt;0,ABS(N42-E42-O42),0)),2)</f>
        <v>0</v>
      </c>
    </row>
    <row r="43" customFormat="false" ht="15" hidden="false" customHeight="true" outlineLevel="0" collapsed="false">
      <c r="A43" s="12" t="s">
        <v>125</v>
      </c>
      <c r="B43" s="12" t="str">
        <f aca="false">березень!B43</f>
        <v>Колесникова Р.Г.</v>
      </c>
      <c r="C43" s="12" t="s">
        <v>127</v>
      </c>
      <c r="D43" s="14" t="n">
        <f aca="false">березень!P43</f>
        <v>2308.29</v>
      </c>
      <c r="E43" s="14" t="n">
        <f aca="false">березень!Q43</f>
        <v>0</v>
      </c>
      <c r="F43" s="13" t="n">
        <f aca="false">березень!F43</f>
        <v>0</v>
      </c>
      <c r="G43" s="13" t="n">
        <f aca="false">березень!G43</f>
        <v>35.1</v>
      </c>
      <c r="H43" s="13" t="n">
        <f aca="false">березень!H43</f>
        <v>0</v>
      </c>
      <c r="I43" s="13" t="n">
        <f aca="false">березень!I43</f>
        <v>4.1</v>
      </c>
      <c r="J43" s="14" t="n">
        <f aca="false">ROUND(G43*I43,2)</f>
        <v>143.91</v>
      </c>
      <c r="K43" s="14"/>
      <c r="L43" s="14"/>
      <c r="M43" s="14"/>
      <c r="N43" s="14" t="n">
        <f aca="false">ROUND((G43*I43)-K43-L43-M43,2)</f>
        <v>143.91</v>
      </c>
      <c r="O43" s="14"/>
      <c r="P43" s="14" t="n">
        <f aca="false">ROUND(IF(D43=0,IF((N43-E43-O43)&gt;0,(N43-E43-O43),0),IF((D43+N43-O43)&gt;0,(D43+N43-O43),0)),2)</f>
        <v>2452.2</v>
      </c>
      <c r="Q43" s="14" t="n">
        <f aca="false">ROUND(IF(E43=0,IF((D43+N43-O43)&lt;0,ABS(D43+N43-O43),0),IF((N43-E43-O43)&lt;0,ABS(N43-E43-O43),0)),2)</f>
        <v>0</v>
      </c>
    </row>
    <row r="44" customFormat="false" ht="15" hidden="false" customHeight="true" outlineLevel="0" collapsed="false">
      <c r="A44" s="12" t="s">
        <v>128</v>
      </c>
      <c r="B44" s="12" t="str">
        <f aca="false">березень!B44</f>
        <v>Кучеренко М.М.</v>
      </c>
      <c r="C44" s="12" t="s">
        <v>130</v>
      </c>
      <c r="D44" s="14" t="n">
        <f aca="false">березень!P44</f>
        <v>11982.52</v>
      </c>
      <c r="E44" s="14" t="n">
        <f aca="false">березень!Q44</f>
        <v>0</v>
      </c>
      <c r="F44" s="13" t="n">
        <f aca="false">березень!F44</f>
        <v>0</v>
      </c>
      <c r="G44" s="13" t="n">
        <f aca="false">березень!G44</f>
        <v>61.88</v>
      </c>
      <c r="H44" s="13" t="n">
        <f aca="false">березень!H44</f>
        <v>0</v>
      </c>
      <c r="I44" s="13" t="n">
        <f aca="false">березень!I44</f>
        <v>4.1</v>
      </c>
      <c r="J44" s="14" t="n">
        <f aca="false">ROUND(G44*I44,2)</f>
        <v>253.71</v>
      </c>
      <c r="K44" s="14"/>
      <c r="L44" s="14"/>
      <c r="M44" s="14"/>
      <c r="N44" s="14" t="n">
        <f aca="false">ROUND((G44*I44)-K44-L44-M44,2)</f>
        <v>253.71</v>
      </c>
      <c r="O44" s="14"/>
      <c r="P44" s="14" t="n">
        <f aca="false">ROUND(IF(D44=0,IF((N44-E44-O44)&gt;0,(N44-E44-O44),0),IF((D44+N44-O44)&gt;0,(D44+N44-O44),0)),2)</f>
        <v>12236.23</v>
      </c>
      <c r="Q44" s="14" t="n">
        <f aca="false">ROUND(IF(E44=0,IF((D44+N44-O44)&lt;0,ABS(D44+N44-O44),0),IF((N44-E44-O44)&lt;0,ABS(N44-E44-O44),0)),2)</f>
        <v>0</v>
      </c>
    </row>
    <row r="45" customFormat="false" ht="15" hidden="false" customHeight="true" outlineLevel="0" collapsed="false">
      <c r="A45" s="12" t="s">
        <v>131</v>
      </c>
      <c r="B45" s="12" t="str">
        <f aca="false">березень!B45</f>
        <v>Гурова О.М.</v>
      </c>
      <c r="C45" s="12" t="s">
        <v>133</v>
      </c>
      <c r="D45" s="14" t="n">
        <f aca="false">березень!P45</f>
        <v>448.69</v>
      </c>
      <c r="E45" s="14" t="n">
        <f aca="false">березень!Q45</f>
        <v>0</v>
      </c>
      <c r="F45" s="13" t="n">
        <f aca="false">березень!F45</f>
        <v>0</v>
      </c>
      <c r="G45" s="13" t="n">
        <f aca="false">березень!G45</f>
        <v>62.2</v>
      </c>
      <c r="H45" s="13" t="n">
        <f aca="false">березень!H45</f>
        <v>0</v>
      </c>
      <c r="I45" s="13" t="n">
        <f aca="false">березень!I45</f>
        <v>4.1</v>
      </c>
      <c r="J45" s="14" t="n">
        <f aca="false">ROUND(G45*I45,2)</f>
        <v>255.02</v>
      </c>
      <c r="K45" s="14"/>
      <c r="L45" s="14"/>
      <c r="M45" s="14"/>
      <c r="N45" s="14" t="n">
        <f aca="false">ROUND((G45*I45)-K45-L45-M45,2)</f>
        <v>255.02</v>
      </c>
      <c r="O45" s="14"/>
      <c r="P45" s="14" t="n">
        <f aca="false">ROUND(IF(D45=0,IF((N45-E45-O45)&gt;0,(N45-E45-O45),0),IF((D45+N45-O45)&gt;0,(D45+N45-O45),0)),2)</f>
        <v>703.71</v>
      </c>
      <c r="Q45" s="14" t="n">
        <f aca="false">ROUND(IF(E45=0,IF((D45+N45-O45)&lt;0,ABS(D45+N45-O45),0),IF((N45-E45-O45)&lt;0,ABS(N45-E45-O45),0)),2)</f>
        <v>0</v>
      </c>
    </row>
    <row r="46" customFormat="false" ht="15" hidden="false" customHeight="true" outlineLevel="0" collapsed="false">
      <c r="A46" s="12" t="s">
        <v>134</v>
      </c>
      <c r="B46" s="12" t="str">
        <f aca="false">березень!B46</f>
        <v>Федорова В.І.</v>
      </c>
      <c r="C46" s="12" t="s">
        <v>136</v>
      </c>
      <c r="D46" s="14" t="n">
        <f aca="false">березень!P46</f>
        <v>72.36</v>
      </c>
      <c r="E46" s="14" t="n">
        <f aca="false">березень!Q46</f>
        <v>0</v>
      </c>
      <c r="F46" s="13" t="n">
        <f aca="false">березень!F46</f>
        <v>0</v>
      </c>
      <c r="G46" s="13" t="n">
        <f aca="false">березень!G46</f>
        <v>34.9</v>
      </c>
      <c r="H46" s="13" t="n">
        <f aca="false">березень!H46</f>
        <v>0</v>
      </c>
      <c r="I46" s="13" t="n">
        <f aca="false">березень!I46</f>
        <v>4.1</v>
      </c>
      <c r="J46" s="14" t="n">
        <f aca="false">ROUND(G46*I46,2)</f>
        <v>143.09</v>
      </c>
      <c r="K46" s="14"/>
      <c r="L46" s="14"/>
      <c r="M46" s="14"/>
      <c r="N46" s="14" t="n">
        <f aca="false">ROUND((G46*I46)-K46-L46-M46,2)</f>
        <v>143.09</v>
      </c>
      <c r="O46" s="14"/>
      <c r="P46" s="14" t="n">
        <f aca="false">ROUND(IF(D46=0,IF((N46-E46-O46)&gt;0,(N46-E46-O46),0),IF((D46+N46-O46)&gt;0,(D46+N46-O46),0)),2)</f>
        <v>215.45</v>
      </c>
      <c r="Q46" s="14" t="n">
        <f aca="false">ROUND(IF(E46=0,IF((D46+N46-O46)&lt;0,ABS(D46+N46-O46),0),IF((N46-E46-O46)&lt;0,ABS(N46-E46-O46),0)),2)</f>
        <v>0</v>
      </c>
    </row>
    <row r="47" customFormat="false" ht="15" hidden="false" customHeight="true" outlineLevel="0" collapsed="false">
      <c r="A47" s="12" t="s">
        <v>137</v>
      </c>
      <c r="B47" s="12" t="str">
        <f aca="false">березень!B47</f>
        <v>Лаптєв В.І.</v>
      </c>
      <c r="C47" s="12" t="s">
        <v>139</v>
      </c>
      <c r="D47" s="14" t="n">
        <f aca="false">березень!P47</f>
        <v>600.24</v>
      </c>
      <c r="E47" s="14" t="n">
        <f aca="false">березень!Q47</f>
        <v>0</v>
      </c>
      <c r="F47" s="13" t="n">
        <f aca="false">березень!F47</f>
        <v>0</v>
      </c>
      <c r="G47" s="13" t="n">
        <f aca="false">березень!G47</f>
        <v>48.8</v>
      </c>
      <c r="H47" s="13" t="n">
        <f aca="false">березень!H47</f>
        <v>0</v>
      </c>
      <c r="I47" s="13" t="n">
        <f aca="false">березень!I47</f>
        <v>4.1</v>
      </c>
      <c r="J47" s="14" t="n">
        <f aca="false">ROUND(G47*I47,2)</f>
        <v>200.08</v>
      </c>
      <c r="K47" s="14"/>
      <c r="L47" s="14"/>
      <c r="M47" s="14"/>
      <c r="N47" s="14" t="n">
        <f aca="false">ROUND((G47*I47)-K47-L47-M47,2)</f>
        <v>200.08</v>
      </c>
      <c r="O47" s="14"/>
      <c r="P47" s="14" t="n">
        <f aca="false">ROUND(IF(D47=0,IF((N47-E47-O47)&gt;0,(N47-E47-O47),0),IF((D47+N47-O47)&gt;0,(D47+N47-O47),0)),2)</f>
        <v>800.32</v>
      </c>
      <c r="Q47" s="14" t="n">
        <f aca="false">ROUND(IF(E47=0,IF((D47+N47-O47)&lt;0,ABS(D47+N47-O47),0),IF((N47-E47-O47)&lt;0,ABS(N47-E47-O47),0)),2)</f>
        <v>0</v>
      </c>
    </row>
    <row r="48" customFormat="false" ht="15" hidden="false" customHeight="true" outlineLevel="0" collapsed="false">
      <c r="A48" s="12" t="s">
        <v>140</v>
      </c>
      <c r="B48" s="12" t="str">
        <f aca="false">березень!B48</f>
        <v>Тимощук О.Є.</v>
      </c>
      <c r="C48" s="12" t="s">
        <v>142</v>
      </c>
      <c r="D48" s="14" t="n">
        <f aca="false">березень!P48</f>
        <v>704.79</v>
      </c>
      <c r="E48" s="14" t="n">
        <f aca="false">березень!Q48</f>
        <v>0</v>
      </c>
      <c r="F48" s="13" t="n">
        <f aca="false">березень!F48</f>
        <v>0</v>
      </c>
      <c r="G48" s="13" t="n">
        <f aca="false">березень!G48</f>
        <v>57.3</v>
      </c>
      <c r="H48" s="13" t="n">
        <f aca="false">березень!H48</f>
        <v>0</v>
      </c>
      <c r="I48" s="13" t="n">
        <f aca="false">березень!I48</f>
        <v>4.1</v>
      </c>
      <c r="J48" s="14" t="n">
        <f aca="false">ROUND(G48*I48,2)</f>
        <v>234.93</v>
      </c>
      <c r="K48" s="14"/>
      <c r="L48" s="14"/>
      <c r="M48" s="14"/>
      <c r="N48" s="14" t="n">
        <f aca="false">ROUND((G48*I48)-K48-L48-M48,2)</f>
        <v>234.93</v>
      </c>
      <c r="O48" s="14"/>
      <c r="P48" s="14" t="n">
        <f aca="false">ROUND(IF(D48=0,IF((N48-E48-O48)&gt;0,(N48-E48-O48),0),IF((D48+N48-O48)&gt;0,(D48+N48-O48),0)),2)</f>
        <v>939.72</v>
      </c>
      <c r="Q48" s="14" t="n">
        <f aca="false">ROUND(IF(E48=0,IF((D48+N48-O48)&lt;0,ABS(D48+N48-O48),0),IF((N48-E48-O48)&lt;0,ABS(N48-E48-O48),0)),2)</f>
        <v>0</v>
      </c>
    </row>
    <row r="49" customFormat="false" ht="15" hidden="false" customHeight="true" outlineLevel="0" collapsed="false">
      <c r="A49" s="12" t="s">
        <v>143</v>
      </c>
      <c r="B49" s="12" t="str">
        <f aca="false">березень!B49</f>
        <v>Котяш О.В.</v>
      </c>
      <c r="C49" s="12" t="s">
        <v>145</v>
      </c>
      <c r="D49" s="14" t="n">
        <f aca="false">березень!P49</f>
        <v>3891.24</v>
      </c>
      <c r="E49" s="14" t="n">
        <f aca="false">березень!Q49</f>
        <v>0</v>
      </c>
      <c r="F49" s="13" t="n">
        <f aca="false">березень!F49</f>
        <v>0</v>
      </c>
      <c r="G49" s="13" t="n">
        <f aca="false">березень!G49</f>
        <v>63.3</v>
      </c>
      <c r="H49" s="13" t="n">
        <f aca="false">березень!H49</f>
        <v>0</v>
      </c>
      <c r="I49" s="13" t="n">
        <f aca="false">березень!I49</f>
        <v>4.1</v>
      </c>
      <c r="J49" s="14" t="n">
        <f aca="false">ROUND(G49*I49,2)</f>
        <v>259.53</v>
      </c>
      <c r="K49" s="14"/>
      <c r="L49" s="14"/>
      <c r="M49" s="14"/>
      <c r="N49" s="14" t="n">
        <f aca="false">ROUND((G49*I49)-K49-L49-M49,2)</f>
        <v>259.53</v>
      </c>
      <c r="O49" s="14"/>
      <c r="P49" s="14" t="n">
        <f aca="false">ROUND(IF(D49=0,IF((N49-E49-O49)&gt;0,(N49-E49-O49),0),IF((D49+N49-O49)&gt;0,(D49+N49-O49),0)),2)</f>
        <v>4150.77</v>
      </c>
      <c r="Q49" s="14" t="n">
        <f aca="false">ROUND(IF(E49=0,IF((D49+N49-O49)&lt;0,ABS(D49+N49-O49),0),IF((N49-E49-O49)&lt;0,ABS(N49-E49-O49),0)),2)</f>
        <v>0</v>
      </c>
    </row>
    <row r="50" customFormat="false" ht="15" hidden="false" customHeight="true" outlineLevel="0" collapsed="false">
      <c r="A50" s="12" t="s">
        <v>146</v>
      </c>
      <c r="B50" s="12" t="str">
        <f aca="false">березень!B50</f>
        <v>Токовило-Паращенко Л.П.</v>
      </c>
      <c r="C50" s="12" t="s">
        <v>148</v>
      </c>
      <c r="D50" s="14" t="n">
        <f aca="false">березень!P50</f>
        <v>438.87</v>
      </c>
      <c r="E50" s="14" t="n">
        <f aca="false">березень!Q50</f>
        <v>0</v>
      </c>
      <c r="F50" s="13" t="n">
        <f aca="false">березень!F50</f>
        <v>0</v>
      </c>
      <c r="G50" s="13" t="n">
        <f aca="false">березень!G50</f>
        <v>35.68</v>
      </c>
      <c r="H50" s="13" t="n">
        <f aca="false">березень!H50</f>
        <v>0</v>
      </c>
      <c r="I50" s="13" t="n">
        <f aca="false">березень!I50</f>
        <v>4.1</v>
      </c>
      <c r="J50" s="14" t="n">
        <f aca="false">ROUND(G50*I50,2)</f>
        <v>146.29</v>
      </c>
      <c r="K50" s="14"/>
      <c r="L50" s="14"/>
      <c r="M50" s="14"/>
      <c r="N50" s="14" t="n">
        <f aca="false">ROUND((G50*I50)-K50-L50-M50,2)</f>
        <v>146.29</v>
      </c>
      <c r="O50" s="14"/>
      <c r="P50" s="14" t="n">
        <f aca="false">ROUND(IF(D50=0,IF((N50-E50-O50)&gt;0,(N50-E50-O50),0),IF((D50+N50-O50)&gt;0,(D50+N50-O50),0)),2)</f>
        <v>585.16</v>
      </c>
      <c r="Q50" s="14" t="n">
        <f aca="false">ROUND(IF(E50=0,IF((D50+N50-O50)&lt;0,ABS(D50+N50-O50),0),IF((N50-E50-O50)&lt;0,ABS(N50-E50-O50),0)),2)</f>
        <v>0</v>
      </c>
    </row>
    <row r="51" customFormat="false" ht="15" hidden="false" customHeight="true" outlineLevel="0" collapsed="false">
      <c r="A51" s="12" t="s">
        <v>149</v>
      </c>
      <c r="B51" s="12" t="str">
        <f aca="false">березень!B51</f>
        <v>Бєлая К.В.</v>
      </c>
      <c r="C51" s="12" t="s">
        <v>151</v>
      </c>
      <c r="D51" s="14" t="n">
        <f aca="false">березень!P51</f>
        <v>3432.94</v>
      </c>
      <c r="E51" s="14" t="n">
        <f aca="false">березень!Q51</f>
        <v>0</v>
      </c>
      <c r="F51" s="13" t="n">
        <f aca="false">березень!F51</f>
        <v>0</v>
      </c>
      <c r="G51" s="13" t="n">
        <f aca="false">березень!G51</f>
        <v>49.8</v>
      </c>
      <c r="H51" s="13" t="n">
        <f aca="false">березень!H51</f>
        <v>0</v>
      </c>
      <c r="I51" s="13" t="n">
        <f aca="false">березень!I51</f>
        <v>4.1</v>
      </c>
      <c r="J51" s="14" t="n">
        <f aca="false">ROUND(G51*I51,2)</f>
        <v>204.18</v>
      </c>
      <c r="K51" s="14"/>
      <c r="L51" s="14"/>
      <c r="M51" s="14"/>
      <c r="N51" s="14" t="n">
        <f aca="false">ROUND((G51*I51)-K51-L51-M51,2)</f>
        <v>204.18</v>
      </c>
      <c r="O51" s="14"/>
      <c r="P51" s="14" t="n">
        <f aca="false">ROUND(IF(D51=0,IF((N51-E51-O51)&gt;0,(N51-E51-O51),0),IF((D51+N51-O51)&gt;0,(D51+N51-O51),0)),2)</f>
        <v>3637.12</v>
      </c>
      <c r="Q51" s="14" t="n">
        <f aca="false">ROUND(IF(E51=0,IF((D51+N51-O51)&lt;0,ABS(D51+N51-O51),0),IF((N51-E51-O51)&lt;0,ABS(N51-E51-O51),0)),2)</f>
        <v>0</v>
      </c>
    </row>
    <row r="52" customFormat="false" ht="15" hidden="false" customHeight="true" outlineLevel="0" collapsed="false">
      <c r="A52" s="12" t="s">
        <v>152</v>
      </c>
      <c r="B52" s="12" t="str">
        <f aca="false">березень!B52</f>
        <v>Стадник О.Ф.</v>
      </c>
      <c r="C52" s="12" t="s">
        <v>154</v>
      </c>
      <c r="D52" s="14" t="n">
        <f aca="false">березень!P52</f>
        <v>6536.04</v>
      </c>
      <c r="E52" s="14" t="n">
        <f aca="false">березень!Q52</f>
        <v>0</v>
      </c>
      <c r="F52" s="13" t="n">
        <f aca="false">березень!F52</f>
        <v>0</v>
      </c>
      <c r="G52" s="13" t="n">
        <f aca="false">березень!G52</f>
        <v>65.9</v>
      </c>
      <c r="H52" s="13" t="n">
        <f aca="false">березень!H52</f>
        <v>0</v>
      </c>
      <c r="I52" s="13" t="n">
        <f aca="false">березень!I52</f>
        <v>4.1</v>
      </c>
      <c r="J52" s="14" t="n">
        <f aca="false">ROUND(G52*I52,2)</f>
        <v>270.19</v>
      </c>
      <c r="K52" s="14"/>
      <c r="L52" s="14"/>
      <c r="M52" s="14"/>
      <c r="N52" s="14" t="n">
        <f aca="false">ROUND((G52*I52)-K52-L52-M52,2)</f>
        <v>270.19</v>
      </c>
      <c r="O52" s="14"/>
      <c r="P52" s="14" t="n">
        <f aca="false">ROUND(IF(D52=0,IF((N52-E52-O52)&gt;0,(N52-E52-O52),0),IF((D52+N52-O52)&gt;0,(D52+N52-O52),0)),2)</f>
        <v>6806.23</v>
      </c>
      <c r="Q52" s="14" t="n">
        <f aca="false">ROUND(IF(E52=0,IF((D52+N52-O52)&lt;0,ABS(D52+N52-O52),0),IF((N52-E52-O52)&lt;0,ABS(N52-E52-O52),0)),2)</f>
        <v>0</v>
      </c>
    </row>
    <row r="53" customFormat="false" ht="15" hidden="false" customHeight="true" outlineLevel="0" collapsed="false">
      <c r="A53" s="12" t="s">
        <v>155</v>
      </c>
      <c r="B53" s="12" t="str">
        <f aca="false">березень!B53</f>
        <v>Ляшенко В.М.</v>
      </c>
      <c r="C53" s="12" t="s">
        <v>157</v>
      </c>
      <c r="D53" s="14" t="n">
        <f aca="false">березень!P53</f>
        <v>762.6</v>
      </c>
      <c r="E53" s="14" t="n">
        <f aca="false">березень!Q53</f>
        <v>0</v>
      </c>
      <c r="F53" s="13" t="n">
        <f aca="false">березень!F53</f>
        <v>0</v>
      </c>
      <c r="G53" s="13" t="n">
        <f aca="false">березень!G53</f>
        <v>62</v>
      </c>
      <c r="H53" s="13" t="n">
        <f aca="false">березень!H53</f>
        <v>0</v>
      </c>
      <c r="I53" s="13" t="n">
        <f aca="false">березень!I53</f>
        <v>4.1</v>
      </c>
      <c r="J53" s="14" t="n">
        <f aca="false">ROUND(G53*I53,2)</f>
        <v>254.2</v>
      </c>
      <c r="K53" s="14"/>
      <c r="L53" s="14"/>
      <c r="M53" s="14"/>
      <c r="N53" s="14" t="n">
        <f aca="false">ROUND((G53*I53)-K53-L53-M53,2)</f>
        <v>254.2</v>
      </c>
      <c r="O53" s="14"/>
      <c r="P53" s="14" t="n">
        <f aca="false">ROUND(IF(D53=0,IF((N53-E53-O53)&gt;0,(N53-E53-O53),0),IF((D53+N53-O53)&gt;0,(D53+N53-O53),0)),2)</f>
        <v>1016.8</v>
      </c>
      <c r="Q53" s="14" t="n">
        <f aca="false">ROUND(IF(E53=0,IF((D53+N53-O53)&lt;0,ABS(D53+N53-O53),0),IF((N53-E53-O53)&lt;0,ABS(N53-E53-O53),0)),2)</f>
        <v>0</v>
      </c>
    </row>
    <row r="54" customFormat="false" ht="15" hidden="false" customHeight="true" outlineLevel="0" collapsed="false">
      <c r="A54" s="12" t="s">
        <v>158</v>
      </c>
      <c r="B54" s="12" t="str">
        <f aca="false">березень!B54</f>
        <v>Смоленська Т.О.</v>
      </c>
      <c r="C54" s="12" t="s">
        <v>160</v>
      </c>
      <c r="D54" s="14" t="n">
        <f aca="false">березень!P54</f>
        <v>431.73</v>
      </c>
      <c r="E54" s="14" t="n">
        <f aca="false">березень!Q54</f>
        <v>0</v>
      </c>
      <c r="F54" s="13" t="n">
        <f aca="false">березень!F54</f>
        <v>0</v>
      </c>
      <c r="G54" s="13" t="n">
        <f aca="false">березень!G54</f>
        <v>35.1</v>
      </c>
      <c r="H54" s="13" t="n">
        <f aca="false">березень!H54</f>
        <v>0</v>
      </c>
      <c r="I54" s="13" t="n">
        <f aca="false">березень!I54</f>
        <v>4.1</v>
      </c>
      <c r="J54" s="14" t="n">
        <f aca="false">ROUND(G54*I54,2)</f>
        <v>143.91</v>
      </c>
      <c r="K54" s="14"/>
      <c r="L54" s="14"/>
      <c r="M54" s="14"/>
      <c r="N54" s="14" t="n">
        <f aca="false">ROUND((G54*I54)-K54-L54-M54,2)</f>
        <v>143.91</v>
      </c>
      <c r="O54" s="14"/>
      <c r="P54" s="14" t="n">
        <f aca="false">ROUND(IF(D54=0,IF((N54-E54-O54)&gt;0,(N54-E54-O54),0),IF((D54+N54-O54)&gt;0,(D54+N54-O54),0)),2)</f>
        <v>575.64</v>
      </c>
      <c r="Q54" s="14" t="n">
        <f aca="false">ROUND(IF(E54=0,IF((D54+N54-O54)&lt;0,ABS(D54+N54-O54),0),IF((N54-E54-O54)&lt;0,ABS(N54-E54-O54),0)),2)</f>
        <v>0</v>
      </c>
    </row>
    <row r="55" customFormat="false" ht="15" hidden="false" customHeight="true" outlineLevel="0" collapsed="false">
      <c r="A55" s="12" t="s">
        <v>161</v>
      </c>
      <c r="B55" s="12" t="str">
        <f aca="false">березень!B55</f>
        <v>Дудка І.В.</v>
      </c>
      <c r="C55" s="12" t="s">
        <v>163</v>
      </c>
      <c r="D55" s="14" t="n">
        <f aca="false">березень!P55</f>
        <v>610.08</v>
      </c>
      <c r="E55" s="14" t="n">
        <f aca="false">березень!Q55</f>
        <v>0</v>
      </c>
      <c r="F55" s="13" t="n">
        <f aca="false">березень!F55</f>
        <v>0</v>
      </c>
      <c r="G55" s="13" t="n">
        <f aca="false">березень!G55</f>
        <v>49.6</v>
      </c>
      <c r="H55" s="13" t="n">
        <f aca="false">березень!H55</f>
        <v>0</v>
      </c>
      <c r="I55" s="13" t="n">
        <f aca="false">березень!I55</f>
        <v>4.1</v>
      </c>
      <c r="J55" s="14" t="n">
        <f aca="false">ROUND(G55*I55,2)</f>
        <v>203.36</v>
      </c>
      <c r="K55" s="14"/>
      <c r="L55" s="14"/>
      <c r="M55" s="14"/>
      <c r="N55" s="14" t="n">
        <f aca="false">ROUND((G55*I55)-K55-L55-M55,2)</f>
        <v>203.36</v>
      </c>
      <c r="O55" s="14"/>
      <c r="P55" s="14" t="n">
        <f aca="false">ROUND(IF(D55=0,IF((N55-E55-O55)&gt;0,(N55-E55-O55),0),IF((D55+N55-O55)&gt;0,(D55+N55-O55),0)),2)</f>
        <v>813.44</v>
      </c>
      <c r="Q55" s="14" t="n">
        <f aca="false">ROUND(IF(E55=0,IF((D55+N55-O55)&lt;0,ABS(D55+N55-O55),0),IF((N55-E55-O55)&lt;0,ABS(N55-E55-O55),0)),2)</f>
        <v>0</v>
      </c>
    </row>
    <row r="56" customFormat="false" ht="15" hidden="false" customHeight="true" outlineLevel="0" collapsed="false">
      <c r="A56" s="12" t="s">
        <v>164</v>
      </c>
      <c r="B56" s="12" t="str">
        <f aca="false">березень!B56</f>
        <v>Буланова Л.І.</v>
      </c>
      <c r="C56" s="12" t="s">
        <v>166</v>
      </c>
      <c r="D56" s="14" t="n">
        <f aca="false">березень!P56</f>
        <v>817.2</v>
      </c>
      <c r="E56" s="14" t="n">
        <f aca="false">березень!Q56</f>
        <v>0</v>
      </c>
      <c r="F56" s="13" t="n">
        <f aca="false">березень!F56</f>
        <v>0</v>
      </c>
      <c r="G56" s="13" t="n">
        <f aca="false">березень!G56</f>
        <v>66.44</v>
      </c>
      <c r="H56" s="13" t="n">
        <f aca="false">березень!H56</f>
        <v>0</v>
      </c>
      <c r="I56" s="13" t="n">
        <f aca="false">березень!I56</f>
        <v>4.1</v>
      </c>
      <c r="J56" s="14" t="n">
        <f aca="false">ROUND(G56*I56,2)</f>
        <v>272.4</v>
      </c>
      <c r="K56" s="14"/>
      <c r="L56" s="14"/>
      <c r="M56" s="14"/>
      <c r="N56" s="14" t="n">
        <f aca="false">ROUND((G56*I56)-K56-L56-M56,2)</f>
        <v>272.4</v>
      </c>
      <c r="O56" s="14"/>
      <c r="P56" s="14" t="n">
        <f aca="false">ROUND(IF(D56=0,IF((N56-E56-O56)&gt;0,(N56-E56-O56),0),IF((D56+N56-O56)&gt;0,(D56+N56-O56),0)),2)</f>
        <v>1089.6</v>
      </c>
      <c r="Q56" s="14" t="n">
        <f aca="false">ROUND(IF(E56=0,IF((D56+N56-O56)&lt;0,ABS(D56+N56-O56),0),IF((N56-E56-O56)&lt;0,ABS(N56-E56-O56),0)),2)</f>
        <v>0</v>
      </c>
    </row>
    <row r="57" customFormat="false" ht="15" hidden="false" customHeight="true" outlineLevel="0" collapsed="false">
      <c r="A57" s="12" t="s">
        <v>167</v>
      </c>
      <c r="B57" s="12" t="str">
        <f aca="false">березень!B57</f>
        <v>Шалімова О.О.</v>
      </c>
      <c r="C57" s="12" t="s">
        <v>169</v>
      </c>
      <c r="D57" s="14" t="n">
        <f aca="false">березень!P57</f>
        <v>1190.06</v>
      </c>
      <c r="E57" s="14" t="n">
        <f aca="false">березень!Q57</f>
        <v>0</v>
      </c>
      <c r="F57" s="13" t="n">
        <f aca="false">березень!F57</f>
        <v>0</v>
      </c>
      <c r="G57" s="13" t="n">
        <f aca="false">березень!G57</f>
        <v>62.1</v>
      </c>
      <c r="H57" s="13" t="n">
        <f aca="false">березень!H57</f>
        <v>0</v>
      </c>
      <c r="I57" s="13" t="n">
        <f aca="false">березень!I57</f>
        <v>4.1</v>
      </c>
      <c r="J57" s="14" t="n">
        <f aca="false">ROUND(G57*I57,2)</f>
        <v>254.61</v>
      </c>
      <c r="K57" s="14"/>
      <c r="L57" s="14"/>
      <c r="M57" s="14"/>
      <c r="N57" s="14" t="n">
        <f aca="false">ROUND((G57*I57)-K57-L57-M57,2)</f>
        <v>254.61</v>
      </c>
      <c r="O57" s="14"/>
      <c r="P57" s="14" t="n">
        <f aca="false">ROUND(IF(D57=0,IF((N57-E57-O57)&gt;0,(N57-E57-O57),0),IF((D57+N57-O57)&gt;0,(D57+N57-O57),0)),2)</f>
        <v>1444.67</v>
      </c>
      <c r="Q57" s="14" t="n">
        <f aca="false">ROUND(IF(E57=0,IF((D57+N57-O57)&lt;0,ABS(D57+N57-O57),0),IF((N57-E57-O57)&lt;0,ABS(N57-E57-O57),0)),2)</f>
        <v>0</v>
      </c>
    </row>
    <row r="58" customFormat="false" ht="15" hidden="false" customHeight="true" outlineLevel="0" collapsed="false">
      <c r="A58" s="12" t="s">
        <v>170</v>
      </c>
      <c r="B58" s="12" t="str">
        <f aca="false">березень!B58</f>
        <v>Андросик О.О.</v>
      </c>
      <c r="C58" s="12" t="s">
        <v>172</v>
      </c>
      <c r="D58" s="14" t="n">
        <f aca="false">березень!P58</f>
        <v>1642.27</v>
      </c>
      <c r="E58" s="14" t="n">
        <f aca="false">березень!Q58</f>
        <v>0</v>
      </c>
      <c r="F58" s="13" t="n">
        <f aca="false">березень!F58</f>
        <v>0</v>
      </c>
      <c r="G58" s="13" t="n">
        <f aca="false">березень!G58</f>
        <v>34.9</v>
      </c>
      <c r="H58" s="13" t="n">
        <f aca="false">березень!H58</f>
        <v>0</v>
      </c>
      <c r="I58" s="13" t="n">
        <f aca="false">березень!I58</f>
        <v>4.1</v>
      </c>
      <c r="J58" s="14" t="n">
        <f aca="false">ROUND(G58*I58,2)</f>
        <v>143.09</v>
      </c>
      <c r="K58" s="14"/>
      <c r="L58" s="14"/>
      <c r="M58" s="14"/>
      <c r="N58" s="14" t="n">
        <f aca="false">ROUND((G58*I58)-K58-L58-M58,2)</f>
        <v>143.09</v>
      </c>
      <c r="O58" s="14"/>
      <c r="P58" s="14" t="n">
        <f aca="false">ROUND(IF(D58=0,IF((N58-E58-O58)&gt;0,(N58-E58-O58),0),IF((D58+N58-O58)&gt;0,(D58+N58-O58),0)),2)</f>
        <v>1785.36</v>
      </c>
      <c r="Q58" s="14" t="n">
        <f aca="false">ROUND(IF(E58=0,IF((D58+N58-O58)&lt;0,ABS(D58+N58-O58),0),IF((N58-E58-O58)&lt;0,ABS(N58-E58-O58),0)),2)</f>
        <v>0</v>
      </c>
    </row>
    <row r="59" customFormat="false" ht="15" hidden="false" customHeight="true" outlineLevel="0" collapsed="false">
      <c r="A59" s="12" t="s">
        <v>173</v>
      </c>
      <c r="B59" s="12" t="str">
        <f aca="false">березень!B59</f>
        <v>Токар Є.А.</v>
      </c>
      <c r="C59" s="12" t="s">
        <v>175</v>
      </c>
      <c r="D59" s="14" t="n">
        <f aca="false">березень!P59</f>
        <v>3945.15</v>
      </c>
      <c r="E59" s="14" t="n">
        <f aca="false">березень!Q59</f>
        <v>0</v>
      </c>
      <c r="F59" s="13" t="n">
        <f aca="false">березень!F59</f>
        <v>0</v>
      </c>
      <c r="G59" s="13" t="n">
        <f aca="false">березень!G59</f>
        <v>49.22</v>
      </c>
      <c r="H59" s="13" t="n">
        <f aca="false">березень!H59</f>
        <v>0</v>
      </c>
      <c r="I59" s="13" t="n">
        <f aca="false">березень!I59</f>
        <v>4.1</v>
      </c>
      <c r="J59" s="14" t="n">
        <f aca="false">ROUND(G59*I59,2)</f>
        <v>201.8</v>
      </c>
      <c r="K59" s="14"/>
      <c r="L59" s="14"/>
      <c r="M59" s="14"/>
      <c r="N59" s="14" t="n">
        <f aca="false">ROUND((G59*I59)-K59-L59-M59,2)</f>
        <v>201.8</v>
      </c>
      <c r="O59" s="14"/>
      <c r="P59" s="14" t="n">
        <f aca="false">ROUND(IF(D59=0,IF((N59-E59-O59)&gt;0,(N59-E59-O59),0),IF((D59+N59-O59)&gt;0,(D59+N59-O59),0)),2)</f>
        <v>4146.95</v>
      </c>
      <c r="Q59" s="14" t="n">
        <f aca="false">ROUND(IF(E59=0,IF((D59+N59-O59)&lt;0,ABS(D59+N59-O59),0),IF((N59-E59-O59)&lt;0,ABS(N59-E59-O59),0)),2)</f>
        <v>0</v>
      </c>
    </row>
    <row r="60" customFormat="false" ht="15" hidden="false" customHeight="true" outlineLevel="0" collapsed="false">
      <c r="A60" s="12" t="s">
        <v>176</v>
      </c>
      <c r="B60" s="12" t="str">
        <f aca="false">березень!B60</f>
        <v>Констанчук І.В.</v>
      </c>
      <c r="C60" s="12" t="s">
        <v>178</v>
      </c>
      <c r="D60" s="14" t="n">
        <f aca="false">березень!P60</f>
        <v>9674.76</v>
      </c>
      <c r="E60" s="14" t="n">
        <f aca="false">березень!Q60</f>
        <v>0</v>
      </c>
      <c r="F60" s="13" t="n">
        <f aca="false">березень!F60</f>
        <v>0</v>
      </c>
      <c r="G60" s="13" t="n">
        <f aca="false">березень!G60</f>
        <v>65.5</v>
      </c>
      <c r="H60" s="13" t="n">
        <f aca="false">березень!H60</f>
        <v>0</v>
      </c>
      <c r="I60" s="13" t="n">
        <f aca="false">березень!I60</f>
        <v>4.1</v>
      </c>
      <c r="J60" s="14" t="n">
        <f aca="false">ROUND(G60*I60,2)</f>
        <v>268.55</v>
      </c>
      <c r="K60" s="14"/>
      <c r="L60" s="14"/>
      <c r="M60" s="14"/>
      <c r="N60" s="14" t="n">
        <f aca="false">ROUND((G60*I60)-K60-L60-M60,2)</f>
        <v>268.55</v>
      </c>
      <c r="O60" s="14"/>
      <c r="P60" s="14" t="n">
        <f aca="false">ROUND(IF(D60=0,IF((N60-E60-O60)&gt;0,(N60-E60-O60),0),IF((D60+N60-O60)&gt;0,(D60+N60-O60),0)),2)</f>
        <v>9943.31</v>
      </c>
      <c r="Q60" s="14" t="n">
        <f aca="false">ROUND(IF(E60=0,IF((D60+N60-O60)&lt;0,ABS(D60+N60-O60),0),IF((N60-E60-O60)&lt;0,ABS(N60-E60-O60),0)),2)</f>
        <v>0</v>
      </c>
    </row>
    <row r="61" customFormat="false" ht="15" hidden="false" customHeight="true" outlineLevel="0" collapsed="false">
      <c r="A61" s="12" t="s">
        <v>179</v>
      </c>
      <c r="B61" s="12" t="str">
        <f aca="false">березень!B61</f>
        <v>Гончаров В.В.</v>
      </c>
      <c r="C61" s="12" t="s">
        <v>181</v>
      </c>
      <c r="D61" s="14" t="n">
        <f aca="false">березень!P61</f>
        <v>124.46</v>
      </c>
      <c r="E61" s="14" t="n">
        <f aca="false">березень!Q61</f>
        <v>0</v>
      </c>
      <c r="F61" s="13" t="n">
        <f aca="false">березень!F61</f>
        <v>0</v>
      </c>
      <c r="G61" s="13" t="n">
        <f aca="false">березень!G61</f>
        <v>62.64</v>
      </c>
      <c r="H61" s="13" t="n">
        <f aca="false">березень!H61</f>
        <v>0</v>
      </c>
      <c r="I61" s="13" t="n">
        <f aca="false">березень!I61</f>
        <v>4.1</v>
      </c>
      <c r="J61" s="14" t="n">
        <f aca="false">ROUND(G61*I61,2)</f>
        <v>256.82</v>
      </c>
      <c r="K61" s="14"/>
      <c r="L61" s="14"/>
      <c r="M61" s="14"/>
      <c r="N61" s="14" t="n">
        <f aca="false">ROUND((G61*I61)-K61-L61-M61,2)</f>
        <v>256.82</v>
      </c>
      <c r="O61" s="14"/>
      <c r="P61" s="14" t="n">
        <f aca="false">ROUND(IF(D61=0,IF((N61-E61-O61)&gt;0,(N61-E61-O61),0),IF((D61+N61-O61)&gt;0,(D61+N61-O61),0)),2)</f>
        <v>381.28</v>
      </c>
      <c r="Q61" s="14" t="n">
        <f aca="false">ROUND(IF(E61=0,IF((D61+N61-O61)&lt;0,ABS(D61+N61-O61),0),IF((N61-E61-O61)&lt;0,ABS(N61-E61-O61),0)),2)</f>
        <v>0</v>
      </c>
    </row>
    <row r="62" customFormat="false" ht="15" hidden="false" customHeight="true" outlineLevel="0" collapsed="false">
      <c r="A62" s="12" t="s">
        <v>182</v>
      </c>
      <c r="B62" s="12" t="str">
        <f aca="false">березень!B62</f>
        <v>Ляхомський В.О.</v>
      </c>
      <c r="C62" s="12" t="s">
        <v>184</v>
      </c>
      <c r="D62" s="14" t="n">
        <f aca="false">березень!P62</f>
        <v>1441.9</v>
      </c>
      <c r="E62" s="14" t="n">
        <f aca="false">березень!Q62</f>
        <v>0</v>
      </c>
      <c r="F62" s="13" t="n">
        <f aca="false">березень!F62</f>
        <v>0</v>
      </c>
      <c r="G62" s="13" t="n">
        <f aca="false">березень!G62</f>
        <v>34.9</v>
      </c>
      <c r="H62" s="13" t="n">
        <f aca="false">березень!H62</f>
        <v>0</v>
      </c>
      <c r="I62" s="13" t="n">
        <f aca="false">березень!I62</f>
        <v>4.1</v>
      </c>
      <c r="J62" s="14" t="n">
        <f aca="false">ROUND(G62*I62,2)</f>
        <v>143.09</v>
      </c>
      <c r="K62" s="14"/>
      <c r="L62" s="14"/>
      <c r="M62" s="14"/>
      <c r="N62" s="14" t="n">
        <f aca="false">ROUND((G62*I62)-K62-L62-M62,2)</f>
        <v>143.09</v>
      </c>
      <c r="O62" s="14"/>
      <c r="P62" s="14" t="n">
        <f aca="false">ROUND(IF(D62=0,IF((N62-E62-O62)&gt;0,(N62-E62-O62),0),IF((D62+N62-O62)&gt;0,(D62+N62-O62),0)),2)</f>
        <v>1584.99</v>
      </c>
      <c r="Q62" s="14" t="n">
        <f aca="false">ROUND(IF(E62=0,IF((D62+N62-O62)&lt;0,ABS(D62+N62-O62),0),IF((N62-E62-O62)&lt;0,ABS(N62-E62-O62),0)),2)</f>
        <v>0</v>
      </c>
    </row>
    <row r="63" customFormat="false" ht="15" hidden="false" customHeight="true" outlineLevel="0" collapsed="false">
      <c r="A63" s="12" t="s">
        <v>185</v>
      </c>
      <c r="B63" s="12" t="str">
        <f aca="false">березень!B63</f>
        <v>Крамаренко В.П.</v>
      </c>
      <c r="C63" s="12" t="s">
        <v>187</v>
      </c>
      <c r="D63" s="14" t="n">
        <f aca="false">березень!P63</f>
        <v>1428.98</v>
      </c>
      <c r="E63" s="14" t="n">
        <f aca="false">березень!Q63</f>
        <v>0</v>
      </c>
      <c r="F63" s="13" t="n">
        <f aca="false">березень!F63</f>
        <v>0</v>
      </c>
      <c r="G63" s="13" t="n">
        <f aca="false">березень!G63</f>
        <v>49.79</v>
      </c>
      <c r="H63" s="13" t="n">
        <f aca="false">березень!H63</f>
        <v>0</v>
      </c>
      <c r="I63" s="13" t="n">
        <f aca="false">березень!I63</f>
        <v>4.1</v>
      </c>
      <c r="J63" s="14" t="n">
        <f aca="false">ROUND(G63*I63,2)</f>
        <v>204.14</v>
      </c>
      <c r="K63" s="14"/>
      <c r="L63" s="14"/>
      <c r="M63" s="14"/>
      <c r="N63" s="14" t="n">
        <f aca="false">ROUND((G63*I63)-K63-L63-M63,2)</f>
        <v>204.14</v>
      </c>
      <c r="O63" s="14"/>
      <c r="P63" s="14" t="n">
        <f aca="false">ROUND(IF(D63=0,IF((N63-E63-O63)&gt;0,(N63-E63-O63),0),IF((D63+N63-O63)&gt;0,(D63+N63-O63),0)),2)</f>
        <v>1633.12</v>
      </c>
      <c r="Q63" s="14" t="n">
        <f aca="false">ROUND(IF(E63=0,IF((D63+N63-O63)&lt;0,ABS(D63+N63-O63),0),IF((N63-E63-O63)&lt;0,ABS(N63-E63-O63),0)),2)</f>
        <v>0</v>
      </c>
    </row>
    <row r="64" customFormat="false" ht="15" hidden="false" customHeight="true" outlineLevel="0" collapsed="false">
      <c r="A64" s="12" t="s">
        <v>188</v>
      </c>
      <c r="B64" s="12" t="str">
        <f aca="false">березень!B64</f>
        <v>Родзик С.Г.</v>
      </c>
      <c r="C64" s="12" t="s">
        <v>190</v>
      </c>
      <c r="D64" s="14" t="n">
        <f aca="false">березень!P64</f>
        <v>4277.12</v>
      </c>
      <c r="E64" s="14" t="n">
        <f aca="false">березень!Q64</f>
        <v>0</v>
      </c>
      <c r="F64" s="13" t="n">
        <f aca="false">березень!F64</f>
        <v>0</v>
      </c>
      <c r="G64" s="13" t="n">
        <f aca="false">березень!G64</f>
        <v>65.2</v>
      </c>
      <c r="H64" s="13" t="n">
        <f aca="false">березень!H64</f>
        <v>0</v>
      </c>
      <c r="I64" s="13" t="n">
        <f aca="false">березень!I64</f>
        <v>4.1</v>
      </c>
      <c r="J64" s="14" t="n">
        <f aca="false">ROUND(G64*I64,2)</f>
        <v>267.32</v>
      </c>
      <c r="K64" s="14"/>
      <c r="L64" s="14"/>
      <c r="M64" s="14"/>
      <c r="N64" s="14" t="n">
        <f aca="false">ROUND((G64*I64)-K64-L64-M64,2)</f>
        <v>267.32</v>
      </c>
      <c r="O64" s="14"/>
      <c r="P64" s="14" t="n">
        <f aca="false">ROUND(IF(D64=0,IF((N64-E64-O64)&gt;0,(N64-E64-O64),0),IF((D64+N64-O64)&gt;0,(D64+N64-O64),0)),2)</f>
        <v>4544.44</v>
      </c>
      <c r="Q64" s="14" t="n">
        <f aca="false">ROUND(IF(E64=0,IF((D64+N64-O64)&lt;0,ABS(D64+N64-O64),0),IF((N64-E64-O64)&lt;0,ABS(N64-E64-O64),0)),2)</f>
        <v>0</v>
      </c>
    </row>
    <row r="65" customFormat="false" ht="15" hidden="false" customHeight="true" outlineLevel="0" collapsed="false">
      <c r="A65" s="12" t="s">
        <v>191</v>
      </c>
      <c r="B65" s="12" t="str">
        <f aca="false">березень!B65</f>
        <v>Никоненко Н.С.</v>
      </c>
      <c r="C65" s="12" t="s">
        <v>193</v>
      </c>
      <c r="D65" s="14" t="n">
        <f aca="false">березень!P65</f>
        <v>10804.15</v>
      </c>
      <c r="E65" s="14" t="n">
        <f aca="false">березень!Q65</f>
        <v>0</v>
      </c>
      <c r="F65" s="13" t="n">
        <f aca="false">березень!F65</f>
        <v>0</v>
      </c>
      <c r="G65" s="13" t="n">
        <f aca="false">березень!G65</f>
        <v>61.88</v>
      </c>
      <c r="H65" s="13" t="n">
        <f aca="false">березень!H65</f>
        <v>0</v>
      </c>
      <c r="I65" s="13" t="n">
        <f aca="false">березень!I65</f>
        <v>4.1</v>
      </c>
      <c r="J65" s="14" t="n">
        <f aca="false">ROUND(G65*I65,2)</f>
        <v>253.71</v>
      </c>
      <c r="K65" s="14"/>
      <c r="L65" s="14"/>
      <c r="M65" s="14"/>
      <c r="N65" s="14" t="n">
        <f aca="false">ROUND((G65*I65)-K65-L65-M65,2)</f>
        <v>253.71</v>
      </c>
      <c r="O65" s="14"/>
      <c r="P65" s="14" t="n">
        <f aca="false">ROUND(IF(D65=0,IF((N65-E65-O65)&gt;0,(N65-E65-O65),0),IF((D65+N65-O65)&gt;0,(D65+N65-O65),0)),2)</f>
        <v>11057.86</v>
      </c>
      <c r="Q65" s="14" t="n">
        <f aca="false">ROUND(IF(E65=0,IF((D65+N65-O65)&lt;0,ABS(D65+N65-O65),0),IF((N65-E65-O65)&lt;0,ABS(N65-E65-O65),0)),2)</f>
        <v>0</v>
      </c>
    </row>
    <row r="66" customFormat="false" ht="15" hidden="false" customHeight="true" outlineLevel="0" collapsed="false">
      <c r="A66" s="12" t="s">
        <v>194</v>
      </c>
      <c r="B66" s="12" t="str">
        <f aca="false">березень!B66</f>
        <v>Чепок О.В.</v>
      </c>
      <c r="C66" s="12" t="s">
        <v>196</v>
      </c>
      <c r="D66" s="14" t="n">
        <f aca="false">березень!P66</f>
        <v>6014.41</v>
      </c>
      <c r="E66" s="14" t="n">
        <f aca="false">березень!Q66</f>
        <v>0</v>
      </c>
      <c r="F66" s="13" t="n">
        <f aca="false">березень!F66</f>
        <v>0</v>
      </c>
      <c r="G66" s="13" t="n">
        <f aca="false">березень!G66</f>
        <v>35</v>
      </c>
      <c r="H66" s="13" t="n">
        <f aca="false">березень!H66</f>
        <v>0</v>
      </c>
      <c r="I66" s="13" t="n">
        <f aca="false">березень!I66</f>
        <v>4.1</v>
      </c>
      <c r="J66" s="14" t="n">
        <f aca="false">ROUND(G66*I66,2)</f>
        <v>143.5</v>
      </c>
      <c r="K66" s="14"/>
      <c r="L66" s="14"/>
      <c r="M66" s="14"/>
      <c r="N66" s="14" t="n">
        <f aca="false">ROUND((G66*I66)-K66-L66-M66,2)</f>
        <v>143.5</v>
      </c>
      <c r="O66" s="14"/>
      <c r="P66" s="14" t="n">
        <f aca="false">ROUND(IF(D66=0,IF((N66-E66-O66)&gt;0,(N66-E66-O66),0),IF((D66+N66-O66)&gt;0,(D66+N66-O66),0)),2)</f>
        <v>6157.91</v>
      </c>
      <c r="Q66" s="14" t="n">
        <f aca="false">ROUND(IF(E66=0,IF((D66+N66-O66)&lt;0,ABS(D66+N66-O66),0),IF((N66-E66-O66)&lt;0,ABS(N66-E66-O66),0)),2)</f>
        <v>0</v>
      </c>
    </row>
    <row r="67" customFormat="false" ht="15" hidden="false" customHeight="true" outlineLevel="0" collapsed="false">
      <c r="A67" s="12" t="s">
        <v>197</v>
      </c>
      <c r="B67" s="12" t="str">
        <f aca="false">березень!B67</f>
        <v>Горошенко Л.С.</v>
      </c>
      <c r="C67" s="12" t="s">
        <v>199</v>
      </c>
      <c r="D67" s="14" t="n">
        <f aca="false">березень!P67</f>
        <v>2627.69</v>
      </c>
      <c r="E67" s="14" t="n">
        <f aca="false">березень!Q67</f>
        <v>0</v>
      </c>
      <c r="F67" s="13" t="n">
        <f aca="false">березень!F67</f>
        <v>0</v>
      </c>
      <c r="G67" s="13" t="n">
        <f aca="false">березень!G67</f>
        <v>49.3</v>
      </c>
      <c r="H67" s="13" t="n">
        <f aca="false">березень!H67</f>
        <v>0</v>
      </c>
      <c r="I67" s="13" t="n">
        <f aca="false">березень!I67</f>
        <v>4.1</v>
      </c>
      <c r="J67" s="14" t="n">
        <f aca="false">ROUND(G67*I67,2)</f>
        <v>202.13</v>
      </c>
      <c r="K67" s="14"/>
      <c r="L67" s="14"/>
      <c r="M67" s="14"/>
      <c r="N67" s="14" t="n">
        <f aca="false">ROUND((G67*I67)-K67-L67-M67,2)</f>
        <v>202.13</v>
      </c>
      <c r="O67" s="14"/>
      <c r="P67" s="14" t="n">
        <f aca="false">ROUND(IF(D67=0,IF((N67-E67-O67)&gt;0,(N67-E67-O67),0),IF((D67+N67-O67)&gt;0,(D67+N67-O67),0)),2)</f>
        <v>2829.82</v>
      </c>
      <c r="Q67" s="14" t="n">
        <f aca="false">ROUND(IF(E67=0,IF((D67+N67-O67)&lt;0,ABS(D67+N67-O67),0),IF((N67-E67-O67)&lt;0,ABS(N67-E67-O67),0)),2)</f>
        <v>0</v>
      </c>
    </row>
    <row r="68" customFormat="false" ht="15" hidden="false" customHeight="true" outlineLevel="0" collapsed="false">
      <c r="A68" s="12" t="s">
        <v>200</v>
      </c>
      <c r="B68" s="12" t="str">
        <f aca="false">березень!B68</f>
        <v>Неграчева Л.Г.</v>
      </c>
      <c r="C68" s="12" t="s">
        <v>202</v>
      </c>
      <c r="D68" s="14" t="n">
        <f aca="false">березень!P68</f>
        <v>819.18</v>
      </c>
      <c r="E68" s="14" t="n">
        <f aca="false">березень!Q68</f>
        <v>0</v>
      </c>
      <c r="F68" s="13" t="n">
        <f aca="false">березень!F68</f>
        <v>0</v>
      </c>
      <c r="G68" s="13" t="n">
        <f aca="false">березень!G68</f>
        <v>66.6</v>
      </c>
      <c r="H68" s="13" t="n">
        <f aca="false">березень!H68</f>
        <v>0</v>
      </c>
      <c r="I68" s="13" t="n">
        <f aca="false">березень!I68</f>
        <v>4.1</v>
      </c>
      <c r="J68" s="14" t="n">
        <f aca="false">ROUND(G68*I68,2)</f>
        <v>273.06</v>
      </c>
      <c r="K68" s="14"/>
      <c r="L68" s="14"/>
      <c r="M68" s="14"/>
      <c r="N68" s="14" t="n">
        <f aca="false">ROUND((G68*I68)-K68-L68-M68,2)</f>
        <v>273.06</v>
      </c>
      <c r="O68" s="14"/>
      <c r="P68" s="14" t="n">
        <f aca="false">ROUND(IF(D68=0,IF((N68-E68-O68)&gt;0,(N68-E68-O68),0),IF((D68+N68-O68)&gt;0,(D68+N68-O68),0)),2)</f>
        <v>1092.24</v>
      </c>
      <c r="Q68" s="14" t="n">
        <f aca="false">ROUND(IF(E68=0,IF((D68+N68-O68)&lt;0,ABS(D68+N68-O68),0),IF((N68-E68-O68)&lt;0,ABS(N68-E68-O68),0)),2)</f>
        <v>0</v>
      </c>
    </row>
    <row r="69" customFormat="false" ht="15" hidden="false" customHeight="true" outlineLevel="0" collapsed="false">
      <c r="A69" s="12" t="s">
        <v>203</v>
      </c>
      <c r="B69" s="12" t="str">
        <f aca="false">березень!B69</f>
        <v>Брежнєв О.В.</v>
      </c>
      <c r="C69" s="12" t="s">
        <v>205</v>
      </c>
      <c r="D69" s="14" t="n">
        <f aca="false">березень!P69</f>
        <v>2175.37</v>
      </c>
      <c r="E69" s="14" t="n">
        <f aca="false">березень!Q69</f>
        <v>0</v>
      </c>
      <c r="F69" s="13" t="n">
        <f aca="false">березень!F69</f>
        <v>0</v>
      </c>
      <c r="G69" s="13" t="n">
        <f aca="false">березень!G69</f>
        <v>61.88</v>
      </c>
      <c r="H69" s="13" t="n">
        <f aca="false">березень!H69</f>
        <v>0</v>
      </c>
      <c r="I69" s="13" t="n">
        <f aca="false">березень!I69</f>
        <v>4.1</v>
      </c>
      <c r="J69" s="14" t="n">
        <f aca="false">ROUND(G69*I69,2)</f>
        <v>253.71</v>
      </c>
      <c r="K69" s="14"/>
      <c r="L69" s="14"/>
      <c r="M69" s="14"/>
      <c r="N69" s="14" t="n">
        <f aca="false">ROUND((G69*I69)-K69-L69-M69,2)</f>
        <v>253.71</v>
      </c>
      <c r="O69" s="14"/>
      <c r="P69" s="14" t="n">
        <f aca="false">ROUND(IF(D69=0,IF((N69-E69-O69)&gt;0,(N69-E69-O69),0),IF((D69+N69-O69)&gt;0,(D69+N69-O69),0)),2)</f>
        <v>2429.08</v>
      </c>
      <c r="Q69" s="14" t="n">
        <f aca="false">ROUND(IF(E69=0,IF((D69+N69-O69)&lt;0,ABS(D69+N69-O69),0),IF((N69-E69-O69)&lt;0,ABS(N69-E69-O69),0)),2)</f>
        <v>0</v>
      </c>
    </row>
    <row r="70" customFormat="false" ht="15" hidden="false" customHeight="true" outlineLevel="0" collapsed="false">
      <c r="A70" s="12" t="s">
        <v>206</v>
      </c>
      <c r="B70" s="12" t="str">
        <f aca="false">березень!B70</f>
        <v>Горбатюк К.О.</v>
      </c>
      <c r="C70" s="12" t="s">
        <v>208</v>
      </c>
      <c r="D70" s="14" t="n">
        <f aca="false">березень!P70</f>
        <v>1433.4</v>
      </c>
      <c r="E70" s="14" t="n">
        <f aca="false">березень!Q70</f>
        <v>0</v>
      </c>
      <c r="F70" s="13" t="n">
        <f aca="false">березень!F70</f>
        <v>0</v>
      </c>
      <c r="G70" s="13" t="n">
        <f aca="false">березень!G70</f>
        <v>34.96</v>
      </c>
      <c r="H70" s="13" t="n">
        <f aca="false">березень!H70</f>
        <v>0</v>
      </c>
      <c r="I70" s="13" t="n">
        <f aca="false">березень!I70</f>
        <v>4.1</v>
      </c>
      <c r="J70" s="14" t="n">
        <f aca="false">ROUND(G70*I70,2)</f>
        <v>143.34</v>
      </c>
      <c r="K70" s="14"/>
      <c r="L70" s="14"/>
      <c r="M70" s="14"/>
      <c r="N70" s="14" t="n">
        <f aca="false">ROUND((G70*I70)-K70-L70-M70,2)</f>
        <v>143.34</v>
      </c>
      <c r="O70" s="14"/>
      <c r="P70" s="14" t="n">
        <f aca="false">ROUND(IF(D70=0,IF((N70-E70-O70)&gt;0,(N70-E70-O70),0),IF((D70+N70-O70)&gt;0,(D70+N70-O70),0)),2)</f>
        <v>1576.74</v>
      </c>
      <c r="Q70" s="14" t="n">
        <f aca="false">ROUND(IF(E70=0,IF((D70+N70-O70)&lt;0,ABS(D70+N70-O70),0),IF((N70-E70-O70)&lt;0,ABS(N70-E70-O70),0)),2)</f>
        <v>0</v>
      </c>
    </row>
    <row r="71" customFormat="false" ht="15" hidden="false" customHeight="true" outlineLevel="0" collapsed="false">
      <c r="A71" s="12" t="s">
        <v>209</v>
      </c>
      <c r="B71" s="12" t="str">
        <f aca="false">березень!B71</f>
        <v>Божик М.О.</v>
      </c>
      <c r="C71" s="12" t="s">
        <v>211</v>
      </c>
      <c r="D71" s="14" t="n">
        <f aca="false">березень!P71</f>
        <v>410.24</v>
      </c>
      <c r="E71" s="14" t="n">
        <f aca="false">березень!Q71</f>
        <v>0</v>
      </c>
      <c r="F71" s="13" t="n">
        <f aca="false">березень!F71</f>
        <v>0</v>
      </c>
      <c r="G71" s="13" t="n">
        <f aca="false">березень!G71</f>
        <v>50.03</v>
      </c>
      <c r="H71" s="13" t="n">
        <f aca="false">березень!H71</f>
        <v>0</v>
      </c>
      <c r="I71" s="13" t="n">
        <f aca="false">березень!I71</f>
        <v>4.1</v>
      </c>
      <c r="J71" s="14" t="n">
        <f aca="false">ROUND(G71*I71,2)</f>
        <v>205.12</v>
      </c>
      <c r="K71" s="14"/>
      <c r="L71" s="14"/>
      <c r="M71" s="14"/>
      <c r="N71" s="14" t="n">
        <f aca="false">ROUND((G71*I71)-K71-L71-M71,2)</f>
        <v>205.12</v>
      </c>
      <c r="O71" s="14"/>
      <c r="P71" s="14" t="n">
        <f aca="false">ROUND(IF(D71=0,IF((N71-E71-O71)&gt;0,(N71-E71-O71),0),IF((D71+N71-O71)&gt;0,(D71+N71-O71),0)),2)</f>
        <v>615.36</v>
      </c>
      <c r="Q71" s="14" t="n">
        <f aca="false">ROUND(IF(E71=0,IF((D71+N71-O71)&lt;0,ABS(D71+N71-O71),0),IF((N71-E71-O71)&lt;0,ABS(N71-E71-O71),0)),2)</f>
        <v>0</v>
      </c>
    </row>
    <row r="72" customFormat="false" ht="15" hidden="false" customHeight="true" outlineLevel="0" collapsed="false">
      <c r="A72" s="12" t="s">
        <v>212</v>
      </c>
      <c r="B72" s="12" t="str">
        <f aca="false">березень!B72</f>
        <v>Зайченко С.Л</v>
      </c>
      <c r="C72" s="12" t="s">
        <v>214</v>
      </c>
      <c r="D72" s="14" t="n">
        <f aca="false">березень!P72</f>
        <v>13326.33</v>
      </c>
      <c r="E72" s="14" t="n">
        <f aca="false">березень!Q72</f>
        <v>0</v>
      </c>
      <c r="F72" s="13" t="n">
        <f aca="false">березень!F72</f>
        <v>0</v>
      </c>
      <c r="G72" s="13" t="n">
        <f aca="false">березень!G72</f>
        <v>65.15</v>
      </c>
      <c r="H72" s="13" t="n">
        <f aca="false">березень!H72</f>
        <v>0</v>
      </c>
      <c r="I72" s="13" t="n">
        <f aca="false">березень!I72</f>
        <v>4.1</v>
      </c>
      <c r="J72" s="14" t="n">
        <f aca="false">ROUND(G72*I72,2)</f>
        <v>267.12</v>
      </c>
      <c r="K72" s="14"/>
      <c r="L72" s="14"/>
      <c r="M72" s="14"/>
      <c r="N72" s="14" t="n">
        <f aca="false">ROUND((G72*I72)-K72-L72-M72,2)</f>
        <v>267.12</v>
      </c>
      <c r="O72" s="14"/>
      <c r="P72" s="14" t="n">
        <f aca="false">ROUND(IF(D72=0,IF((N72-E72-O72)&gt;0,(N72-E72-O72),0),IF((D72+N72-O72)&gt;0,(D72+N72-O72),0)),2)</f>
        <v>13593.45</v>
      </c>
      <c r="Q72" s="14" t="n">
        <f aca="false">ROUND(IF(E72=0,IF((D72+N72-O72)&lt;0,ABS(D72+N72-O72),0),IF((N72-E72-O72)&lt;0,ABS(N72-E72-O72),0)),2)</f>
        <v>0</v>
      </c>
    </row>
    <row r="73" customFormat="false" ht="15" hidden="false" customHeight="true" outlineLevel="0" collapsed="false">
      <c r="A73" s="12" t="s">
        <v>215</v>
      </c>
      <c r="B73" s="12" t="str">
        <f aca="false">березень!B73</f>
        <v>Бессараб Н.Г.</v>
      </c>
      <c r="C73" s="12" t="s">
        <v>217</v>
      </c>
      <c r="D73" s="14" t="n">
        <f aca="false">березень!P73</f>
        <v>2327.91</v>
      </c>
      <c r="E73" s="14" t="n">
        <f aca="false">березень!Q73</f>
        <v>0</v>
      </c>
      <c r="F73" s="13" t="n">
        <f aca="false">березень!F73</f>
        <v>0</v>
      </c>
      <c r="G73" s="13" t="n">
        <f aca="false">березень!G73</f>
        <v>63.41</v>
      </c>
      <c r="H73" s="13" t="n">
        <f aca="false">березень!H73</f>
        <v>0</v>
      </c>
      <c r="I73" s="13" t="n">
        <f aca="false">березень!I73</f>
        <v>4.1</v>
      </c>
      <c r="J73" s="14" t="n">
        <f aca="false">ROUND(G73*I73,2)</f>
        <v>259.98</v>
      </c>
      <c r="K73" s="14"/>
      <c r="L73" s="14"/>
      <c r="M73" s="14"/>
      <c r="N73" s="14" t="n">
        <f aca="false">ROUND((G73*I73)-K73-L73-M73,2)</f>
        <v>259.98</v>
      </c>
      <c r="O73" s="14"/>
      <c r="P73" s="14" t="n">
        <f aca="false">ROUND(IF(D73=0,IF((N73-E73-O73)&gt;0,(N73-E73-O73),0),IF((D73+N73-O73)&gt;0,(D73+N73-O73),0)),2)</f>
        <v>2587.89</v>
      </c>
      <c r="Q73" s="14" t="n">
        <f aca="false">ROUND(IF(E73=0,IF((D73+N73-O73)&lt;0,ABS(D73+N73-O73),0),IF((N73-E73-O73)&lt;0,ABS(N73-E73-O73),0)),2)</f>
        <v>0</v>
      </c>
    </row>
    <row r="74" customFormat="false" ht="15" hidden="false" customHeight="true" outlineLevel="0" collapsed="false">
      <c r="A74" s="12" t="s">
        <v>218</v>
      </c>
      <c r="B74" s="12" t="str">
        <f aca="false">березень!B74</f>
        <v>Прохорова С.І.</v>
      </c>
      <c r="C74" s="12" t="s">
        <v>220</v>
      </c>
      <c r="D74" s="14" t="n">
        <f aca="false">березень!P74</f>
        <v>387.08</v>
      </c>
      <c r="E74" s="14" t="n">
        <f aca="false">березень!Q74</f>
        <v>0</v>
      </c>
      <c r="F74" s="13" t="n">
        <f aca="false">березень!F74</f>
        <v>0</v>
      </c>
      <c r="G74" s="13" t="n">
        <f aca="false">березень!G74</f>
        <v>35.19</v>
      </c>
      <c r="H74" s="13" t="n">
        <f aca="false">березень!H74</f>
        <v>0</v>
      </c>
      <c r="I74" s="13" t="n">
        <f aca="false">березень!I74</f>
        <v>4.1</v>
      </c>
      <c r="J74" s="14" t="n">
        <f aca="false">ROUND(G74*I74,2)</f>
        <v>144.28</v>
      </c>
      <c r="K74" s="14"/>
      <c r="L74" s="14"/>
      <c r="M74" s="14"/>
      <c r="N74" s="14" t="n">
        <f aca="false">ROUND((G74*I74)-K74-L74-M74,2)</f>
        <v>144.28</v>
      </c>
      <c r="O74" s="14"/>
      <c r="P74" s="14" t="n">
        <f aca="false">ROUND(IF(D74=0,IF((N74-E74-O74)&gt;0,(N74-E74-O74),0),IF((D74+N74-O74)&gt;0,(D74+N74-O74),0)),2)</f>
        <v>531.36</v>
      </c>
      <c r="Q74" s="14" t="n">
        <f aca="false">ROUND(IF(E74=0,IF((D74+N74-O74)&lt;0,ABS(D74+N74-O74),0),IF((N74-E74-O74)&lt;0,ABS(N74-E74-O74),0)),2)</f>
        <v>0</v>
      </c>
    </row>
    <row r="75" customFormat="false" ht="15" hidden="false" customHeight="true" outlineLevel="0" collapsed="false">
      <c r="A75" s="12" t="s">
        <v>221</v>
      </c>
      <c r="B75" s="12" t="str">
        <f aca="false">березень!B75</f>
        <v>Браташ А.Ф.</v>
      </c>
      <c r="C75" s="12" t="s">
        <v>223</v>
      </c>
      <c r="D75" s="14" t="n">
        <f aca="false">березень!P75</f>
        <v>10494.72</v>
      </c>
      <c r="E75" s="14" t="n">
        <f aca="false">березень!Q75</f>
        <v>0</v>
      </c>
      <c r="F75" s="13" t="n">
        <f aca="false">березень!F75</f>
        <v>0</v>
      </c>
      <c r="G75" s="13" t="n">
        <f aca="false">березень!G75</f>
        <v>49.89</v>
      </c>
      <c r="H75" s="13" t="n">
        <f aca="false">березень!H75</f>
        <v>0</v>
      </c>
      <c r="I75" s="13" t="n">
        <f aca="false">березень!I75</f>
        <v>4.1</v>
      </c>
      <c r="J75" s="14" t="n">
        <f aca="false">ROUND(G75*I75,2)</f>
        <v>204.55</v>
      </c>
      <c r="K75" s="14"/>
      <c r="L75" s="14"/>
      <c r="M75" s="14"/>
      <c r="N75" s="14" t="n">
        <f aca="false">ROUND((G75*I75)-K75-L75-M75,2)</f>
        <v>204.55</v>
      </c>
      <c r="O75" s="14"/>
      <c r="P75" s="14" t="n">
        <f aca="false">ROUND(IF(D75=0,IF((N75-E75-O75)&gt;0,(N75-E75-O75),0),IF((D75+N75-O75)&gt;0,(D75+N75-O75),0)),2)</f>
        <v>10699.27</v>
      </c>
      <c r="Q75" s="14" t="n">
        <f aca="false">ROUND(IF(E75=0,IF((D75+N75-O75)&lt;0,ABS(D75+N75-O75),0),IF((N75-E75-O75)&lt;0,ABS(N75-E75-O75),0)),2)</f>
        <v>0</v>
      </c>
    </row>
    <row r="76" customFormat="false" ht="15" hidden="false" customHeight="true" outlineLevel="0" collapsed="false">
      <c r="A76" s="12" t="s">
        <v>224</v>
      </c>
      <c r="B76" s="12" t="str">
        <f aca="false">березень!B76</f>
        <v>Кудас Д.О.</v>
      </c>
      <c r="C76" s="12" t="s">
        <v>226</v>
      </c>
      <c r="D76" s="14" t="n">
        <f aca="false">березень!P76</f>
        <v>1866.34</v>
      </c>
      <c r="E76" s="14" t="n">
        <f aca="false">березень!Q76</f>
        <v>0</v>
      </c>
      <c r="F76" s="13" t="n">
        <f aca="false">березень!F76</f>
        <v>0</v>
      </c>
      <c r="G76" s="13" t="n">
        <f aca="false">березень!G76</f>
        <v>65.03</v>
      </c>
      <c r="H76" s="13" t="n">
        <f aca="false">березень!H76</f>
        <v>0</v>
      </c>
      <c r="I76" s="13" t="n">
        <f aca="false">березень!I76</f>
        <v>4.1</v>
      </c>
      <c r="J76" s="14" t="n">
        <f aca="false">ROUND(G76*I76,2)</f>
        <v>266.62</v>
      </c>
      <c r="K76" s="14"/>
      <c r="L76" s="14"/>
      <c r="M76" s="14"/>
      <c r="N76" s="14" t="n">
        <f aca="false">ROUND((G76*I76)-K76-L76-M76,2)</f>
        <v>266.62</v>
      </c>
      <c r="O76" s="14"/>
      <c r="P76" s="14" t="n">
        <f aca="false">ROUND(IF(D76=0,IF((N76-E76-O76)&gt;0,(N76-E76-O76),0),IF((D76+N76-O76)&gt;0,(D76+N76-O76),0)),2)</f>
        <v>2132.96</v>
      </c>
      <c r="Q76" s="14" t="n">
        <f aca="false">ROUND(IF(E76=0,IF((D76+N76-O76)&lt;0,ABS(D76+N76-O76),0),IF((N76-E76-O76)&lt;0,ABS(N76-E76-O76),0)),2)</f>
        <v>0</v>
      </c>
    </row>
    <row r="77" customFormat="false" ht="15" hidden="false" customHeight="true" outlineLevel="0" collapsed="false">
      <c r="A77" s="12" t="s">
        <v>227</v>
      </c>
      <c r="B77" s="12" t="str">
        <f aca="false">березень!B77</f>
        <v>Шушлєбін Б.В.</v>
      </c>
      <c r="C77" s="12" t="s">
        <v>229</v>
      </c>
      <c r="D77" s="14" t="n">
        <f aca="false">березень!P77</f>
        <v>593.25</v>
      </c>
      <c r="E77" s="14" t="n">
        <f aca="false">березень!Q77</f>
        <v>0</v>
      </c>
      <c r="F77" s="13" t="n">
        <f aca="false">березень!F77</f>
        <v>0</v>
      </c>
      <c r="G77" s="13" t="n">
        <f aca="false">березень!G77</f>
        <v>62.11</v>
      </c>
      <c r="H77" s="13" t="n">
        <f aca="false">березень!H77</f>
        <v>0</v>
      </c>
      <c r="I77" s="13" t="n">
        <f aca="false">березень!I77</f>
        <v>4.1</v>
      </c>
      <c r="J77" s="14" t="n">
        <f aca="false">ROUND(G77*I77,2)</f>
        <v>254.65</v>
      </c>
      <c r="K77" s="14"/>
      <c r="L77" s="14"/>
      <c r="M77" s="14"/>
      <c r="N77" s="14" t="n">
        <f aca="false">ROUND((G77*I77)-K77-L77-M77,2)</f>
        <v>254.65</v>
      </c>
      <c r="O77" s="14"/>
      <c r="P77" s="14" t="n">
        <f aca="false">ROUND(IF(D77=0,IF((N77-E77-O77)&gt;0,(N77-E77-O77),0),IF((D77+N77-O77)&gt;0,(D77+N77-O77),0)),2)</f>
        <v>847.9</v>
      </c>
      <c r="Q77" s="14" t="n">
        <f aca="false">ROUND(IF(E77=0,IF((D77+N77-O77)&lt;0,ABS(D77+N77-O77),0),IF((N77-E77-O77)&lt;0,ABS(N77-E77-O77),0)),2)</f>
        <v>0</v>
      </c>
    </row>
    <row r="78" customFormat="false" ht="15" hidden="false" customHeight="true" outlineLevel="0" collapsed="false">
      <c r="A78" s="12" t="s">
        <v>230</v>
      </c>
      <c r="B78" s="12" t="str">
        <f aca="false">березень!B78</f>
        <v>Бородіна І.О.</v>
      </c>
      <c r="C78" s="12" t="s">
        <v>232</v>
      </c>
      <c r="D78" s="14" t="n">
        <f aca="false">березень!P78</f>
        <v>6619.26</v>
      </c>
      <c r="E78" s="14" t="n">
        <f aca="false">березень!Q78</f>
        <v>0</v>
      </c>
      <c r="F78" s="13" t="n">
        <f aca="false">березень!F78</f>
        <v>0</v>
      </c>
      <c r="G78" s="13" t="n">
        <f aca="false">березень!G78</f>
        <v>34.9</v>
      </c>
      <c r="H78" s="13" t="n">
        <f aca="false">березень!H78</f>
        <v>0</v>
      </c>
      <c r="I78" s="13" t="n">
        <f aca="false">березень!I78</f>
        <v>4.1</v>
      </c>
      <c r="J78" s="14" t="n">
        <f aca="false">ROUND(G78*I78,2)</f>
        <v>143.09</v>
      </c>
      <c r="K78" s="14"/>
      <c r="L78" s="14"/>
      <c r="M78" s="14"/>
      <c r="N78" s="14" t="n">
        <f aca="false">ROUND((G78*I78)-K78-L78-M78,2)</f>
        <v>143.09</v>
      </c>
      <c r="O78" s="14"/>
      <c r="P78" s="14" t="n">
        <f aca="false">ROUND(IF(D78=0,IF((N78-E78-O78)&gt;0,(N78-E78-O78),0),IF((D78+N78-O78)&gt;0,(D78+N78-O78),0)),2)</f>
        <v>6762.35</v>
      </c>
      <c r="Q78" s="14" t="n">
        <f aca="false">ROUND(IF(E78=0,IF((D78+N78-O78)&lt;0,ABS(D78+N78-O78),0),IF((N78-E78-O78)&lt;0,ABS(N78-E78-O78),0)),2)</f>
        <v>0</v>
      </c>
    </row>
    <row r="79" customFormat="false" ht="15" hidden="false" customHeight="true" outlineLevel="0" collapsed="false">
      <c r="A79" s="12" t="s">
        <v>233</v>
      </c>
      <c r="B79" s="12" t="str">
        <f aca="false">березень!B79</f>
        <v>Котурга Л.Й.</v>
      </c>
      <c r="C79" s="12" t="s">
        <v>235</v>
      </c>
      <c r="D79" s="14" t="n">
        <f aca="false">березень!P79</f>
        <v>605.16</v>
      </c>
      <c r="E79" s="14" t="n">
        <f aca="false">березень!Q79</f>
        <v>0</v>
      </c>
      <c r="F79" s="13" t="n">
        <f aca="false">березень!F79</f>
        <v>0</v>
      </c>
      <c r="G79" s="13" t="n">
        <f aca="false">березень!G79</f>
        <v>49.2</v>
      </c>
      <c r="H79" s="13" t="n">
        <f aca="false">березень!H79</f>
        <v>0</v>
      </c>
      <c r="I79" s="13" t="n">
        <f aca="false">березень!I79</f>
        <v>4.1</v>
      </c>
      <c r="J79" s="14" t="n">
        <f aca="false">ROUND(G79*I79,2)</f>
        <v>201.72</v>
      </c>
      <c r="K79" s="14"/>
      <c r="L79" s="14"/>
      <c r="M79" s="14"/>
      <c r="N79" s="14" t="n">
        <f aca="false">ROUND((G79*I79)-K79-L79-M79,2)</f>
        <v>201.72</v>
      </c>
      <c r="O79" s="14"/>
      <c r="P79" s="14" t="n">
        <f aca="false">ROUND(IF(D79=0,IF((N79-E79-O79)&gt;0,(N79-E79-O79),0),IF((D79+N79-O79)&gt;0,(D79+N79-O79),0)),2)</f>
        <v>806.88</v>
      </c>
      <c r="Q79" s="14" t="n">
        <f aca="false">ROUND(IF(E79=0,IF((D79+N79-O79)&lt;0,ABS(D79+N79-O79),0),IF((N79-E79-O79)&lt;0,ABS(N79-E79-O79),0)),2)</f>
        <v>0</v>
      </c>
    </row>
    <row r="80" customFormat="false" ht="15" hidden="false" customHeight="true" outlineLevel="0" collapsed="false">
      <c r="A80" s="12" t="s">
        <v>236</v>
      </c>
      <c r="B80" s="12" t="str">
        <f aca="false">березень!B80</f>
        <v>Горова О.І.</v>
      </c>
      <c r="C80" s="12" t="s">
        <v>238</v>
      </c>
      <c r="D80" s="14" t="n">
        <f aca="false">березень!P80</f>
        <v>1073.04</v>
      </c>
      <c r="E80" s="14" t="n">
        <f aca="false">березень!Q80</f>
        <v>0</v>
      </c>
      <c r="F80" s="13" t="n">
        <f aca="false">березень!F80</f>
        <v>0</v>
      </c>
      <c r="G80" s="13" t="n">
        <f aca="false">березень!G80</f>
        <v>65.43</v>
      </c>
      <c r="H80" s="13" t="n">
        <f aca="false">березень!H80</f>
        <v>0</v>
      </c>
      <c r="I80" s="13" t="n">
        <f aca="false">березень!I80</f>
        <v>4.1</v>
      </c>
      <c r="J80" s="14" t="n">
        <f aca="false">ROUND(G80*I80,2)</f>
        <v>268.26</v>
      </c>
      <c r="K80" s="14"/>
      <c r="L80" s="14"/>
      <c r="M80" s="14"/>
      <c r="N80" s="14" t="n">
        <f aca="false">ROUND((G80*I80)-K80-L80-M80,2)</f>
        <v>268.26</v>
      </c>
      <c r="O80" s="14"/>
      <c r="P80" s="14" t="n">
        <f aca="false">ROUND(IF(D80=0,IF((N80-E80-O80)&gt;0,(N80-E80-O80),0),IF((D80+N80-O80)&gt;0,(D80+N80-O80),0)),2)</f>
        <v>1341.3</v>
      </c>
      <c r="Q80" s="14" t="n">
        <f aca="false">ROUND(IF(E80=0,IF((D80+N80-O80)&lt;0,ABS(D80+N80-O80),0),IF((N80-E80-O80)&lt;0,ABS(N80-E80-O80),0)),2)</f>
        <v>0</v>
      </c>
    </row>
    <row r="81" customFormat="false" ht="15" hidden="false" customHeight="true" outlineLevel="0" collapsed="false">
      <c r="A81" s="12" t="s">
        <v>239</v>
      </c>
      <c r="B81" s="12" t="str">
        <f aca="false">березень!B81</f>
        <v>Рибакевич М.П.</v>
      </c>
      <c r="C81" s="12" t="s">
        <v>241</v>
      </c>
      <c r="D81" s="14" t="n">
        <f aca="false">березень!P81</f>
        <v>1805.65</v>
      </c>
      <c r="E81" s="14" t="n">
        <f aca="false">березень!Q81</f>
        <v>0</v>
      </c>
      <c r="F81" s="13" t="n">
        <f aca="false">березень!F81</f>
        <v>0</v>
      </c>
      <c r="G81" s="13" t="n">
        <f aca="false">березень!G81</f>
        <v>64.5</v>
      </c>
      <c r="H81" s="13" t="n">
        <f aca="false">березень!H81</f>
        <v>0</v>
      </c>
      <c r="I81" s="13" t="n">
        <f aca="false">березень!I81</f>
        <v>4.1</v>
      </c>
      <c r="J81" s="14" t="n">
        <f aca="false">ROUND(G81*I81,2)</f>
        <v>264.45</v>
      </c>
      <c r="K81" s="14"/>
      <c r="L81" s="14"/>
      <c r="M81" s="14"/>
      <c r="N81" s="14" t="n">
        <f aca="false">ROUND((G81*I81)-K81-L81-M81,2)</f>
        <v>264.45</v>
      </c>
      <c r="O81" s="14"/>
      <c r="P81" s="14" t="n">
        <f aca="false">ROUND(IF(D81=0,IF((N81-E81-O81)&gt;0,(N81-E81-O81),0),IF((D81+N81-O81)&gt;0,(D81+N81-O81),0)),2)</f>
        <v>2070.1</v>
      </c>
      <c r="Q81" s="14" t="n">
        <f aca="false">ROUND(IF(E81=0,IF((D81+N81-O81)&lt;0,ABS(D81+N81-O81),0),IF((N81-E81-O81)&lt;0,ABS(N81-E81-O81),0)),2)</f>
        <v>0</v>
      </c>
    </row>
    <row r="82" customFormat="false" ht="15" hidden="false" customHeight="true" outlineLevel="0" collapsed="false">
      <c r="A82" s="12" t="s">
        <v>242</v>
      </c>
      <c r="B82" s="12" t="str">
        <f aca="false">березень!B82</f>
        <v>Башкалов В.В.</v>
      </c>
      <c r="C82" s="12" t="s">
        <v>244</v>
      </c>
      <c r="D82" s="14" t="n">
        <f aca="false">березень!P82</f>
        <v>621.92</v>
      </c>
      <c r="E82" s="14" t="n">
        <f aca="false">березень!Q82</f>
        <v>0</v>
      </c>
      <c r="F82" s="13" t="n">
        <f aca="false">березень!F82</f>
        <v>0</v>
      </c>
      <c r="G82" s="13" t="n">
        <f aca="false">березень!G82</f>
        <v>50.8</v>
      </c>
      <c r="H82" s="13" t="n">
        <f aca="false">березень!H82</f>
        <v>0</v>
      </c>
      <c r="I82" s="13" t="n">
        <f aca="false">березень!I82</f>
        <v>4.1</v>
      </c>
      <c r="J82" s="14" t="n">
        <f aca="false">ROUND(G82*I82,2)</f>
        <v>208.28</v>
      </c>
      <c r="K82" s="14"/>
      <c r="L82" s="14"/>
      <c r="M82" s="14"/>
      <c r="N82" s="14" t="n">
        <f aca="false">ROUND((G82*I82)-K82-L82-M82,2)</f>
        <v>208.28</v>
      </c>
      <c r="O82" s="14"/>
      <c r="P82" s="14" t="n">
        <f aca="false">ROUND(IF(D82=0,IF((N82-E82-O82)&gt;0,(N82-E82-O82),0),IF((D82+N82-O82)&gt;0,(D82+N82-O82),0)),2)</f>
        <v>830.2</v>
      </c>
      <c r="Q82" s="14" t="n">
        <f aca="false">ROUND(IF(E82=0,IF((D82+N82-O82)&lt;0,ABS(D82+N82-O82),0),IF((N82-E82-O82)&lt;0,ABS(N82-E82-O82),0)),2)</f>
        <v>0</v>
      </c>
    </row>
    <row r="83" customFormat="false" ht="15" hidden="false" customHeight="true" outlineLevel="0" collapsed="false">
      <c r="A83" s="12" t="s">
        <v>245</v>
      </c>
      <c r="B83" s="12" t="str">
        <f aca="false">березень!B83</f>
        <v>Тіхенко Г.Д.</v>
      </c>
      <c r="C83" s="12" t="s">
        <v>247</v>
      </c>
      <c r="D83" s="14" t="n">
        <f aca="false">березень!P83</f>
        <v>4146.78</v>
      </c>
      <c r="E83" s="14" t="n">
        <f aca="false">березень!Q83</f>
        <v>0</v>
      </c>
      <c r="F83" s="13" t="n">
        <f aca="false">березень!F83</f>
        <v>0</v>
      </c>
      <c r="G83" s="13" t="n">
        <f aca="false">березень!G83</f>
        <v>34.9</v>
      </c>
      <c r="H83" s="13" t="n">
        <f aca="false">березень!H83</f>
        <v>0</v>
      </c>
      <c r="I83" s="13" t="n">
        <f aca="false">березень!I83</f>
        <v>4.1</v>
      </c>
      <c r="J83" s="14" t="n">
        <f aca="false">ROUND(G83*I83,2)</f>
        <v>143.09</v>
      </c>
      <c r="K83" s="14"/>
      <c r="L83" s="14"/>
      <c r="M83" s="14"/>
      <c r="N83" s="14" t="n">
        <f aca="false">ROUND((G83*I83)-K83-L83-M83,2)</f>
        <v>143.09</v>
      </c>
      <c r="O83" s="14"/>
      <c r="P83" s="14" t="n">
        <f aca="false">ROUND(IF(D83=0,IF((N83-E83-O83)&gt;0,(N83-E83-O83),0),IF((D83+N83-O83)&gt;0,(D83+N83-O83),0)),2)</f>
        <v>4289.87</v>
      </c>
      <c r="Q83" s="14" t="n">
        <f aca="false">ROUND(IF(E83=0,IF((D83+N83-O83)&lt;0,ABS(D83+N83-O83),0),IF((N83-E83-O83)&lt;0,ABS(N83-E83-O83),0)),2)</f>
        <v>0</v>
      </c>
    </row>
    <row r="84" customFormat="false" ht="15" hidden="false" customHeight="true" outlineLevel="0" collapsed="false">
      <c r="A84" s="12" t="s">
        <v>248</v>
      </c>
      <c r="B84" s="12" t="str">
        <f aca="false">березень!B84</f>
        <v>Головченко В.Г.</v>
      </c>
      <c r="C84" s="12" t="s">
        <v>250</v>
      </c>
      <c r="D84" s="14" t="n">
        <f aca="false">березень!P84</f>
        <v>750.4</v>
      </c>
      <c r="E84" s="14" t="n">
        <f aca="false">березень!Q84</f>
        <v>0</v>
      </c>
      <c r="F84" s="13" t="n">
        <f aca="false">березень!F84</f>
        <v>0</v>
      </c>
      <c r="G84" s="13" t="n">
        <f aca="false">березень!G84</f>
        <v>61</v>
      </c>
      <c r="H84" s="13" t="n">
        <f aca="false">березень!H84</f>
        <v>0</v>
      </c>
      <c r="I84" s="13" t="n">
        <f aca="false">березень!I84</f>
        <v>4.1</v>
      </c>
      <c r="J84" s="14" t="n">
        <f aca="false">ROUND(G84*I84,2)</f>
        <v>250.1</v>
      </c>
      <c r="K84" s="14"/>
      <c r="L84" s="14"/>
      <c r="M84" s="14"/>
      <c r="N84" s="14" t="n">
        <f aca="false">ROUND((G84*I84)-K84-L84-M84,2)</f>
        <v>250.1</v>
      </c>
      <c r="O84" s="14"/>
      <c r="P84" s="14" t="n">
        <f aca="false">ROUND(IF(D84=0,IF((N84-E84-O84)&gt;0,(N84-E84-O84),0),IF((D84+N84-O84)&gt;0,(D84+N84-O84),0)),2)</f>
        <v>1000.5</v>
      </c>
      <c r="Q84" s="14" t="n">
        <f aca="false">ROUND(IF(E84=0,IF((D84+N84-O84)&lt;0,ABS(D84+N84-O84),0),IF((N84-E84-O84)&lt;0,ABS(N84-E84-O84),0)),2)</f>
        <v>0</v>
      </c>
    </row>
    <row r="85" customFormat="false" ht="15" hidden="false" customHeight="true" outlineLevel="0" collapsed="false">
      <c r="A85" s="12" t="s">
        <v>251</v>
      </c>
      <c r="B85" s="12" t="str">
        <f aca="false">березень!B85</f>
        <v>Семанішина Є.С.</v>
      </c>
      <c r="C85" s="12" t="s">
        <v>253</v>
      </c>
      <c r="D85" s="14" t="n">
        <f aca="false">березень!P85</f>
        <v>1194.5</v>
      </c>
      <c r="E85" s="14" t="n">
        <f aca="false">березень!Q85</f>
        <v>0</v>
      </c>
      <c r="F85" s="13" t="n">
        <f aca="false">березень!F85</f>
        <v>0</v>
      </c>
      <c r="G85" s="13" t="n">
        <f aca="false">березень!G85</f>
        <v>64.5</v>
      </c>
      <c r="H85" s="13" t="n">
        <f aca="false">березень!H85</f>
        <v>0</v>
      </c>
      <c r="I85" s="13" t="n">
        <f aca="false">березень!I85</f>
        <v>4.1</v>
      </c>
      <c r="J85" s="14" t="n">
        <f aca="false">ROUND(G85*I85,2)</f>
        <v>264.45</v>
      </c>
      <c r="K85" s="14"/>
      <c r="L85" s="14"/>
      <c r="M85" s="14"/>
      <c r="N85" s="14" t="n">
        <f aca="false">ROUND((G85*I85)-K85-L85-M85,2)</f>
        <v>264.45</v>
      </c>
      <c r="O85" s="14"/>
      <c r="P85" s="14" t="n">
        <f aca="false">ROUND(IF(D85=0,IF((N85-E85-O85)&gt;0,(N85-E85-O85),0),IF((D85+N85-O85)&gt;0,(D85+N85-O85),0)),2)</f>
        <v>1458.95</v>
      </c>
      <c r="Q85" s="14" t="n">
        <f aca="false">ROUND(IF(E85=0,IF((D85+N85-O85)&lt;0,ABS(D85+N85-O85),0),IF((N85-E85-O85)&lt;0,ABS(N85-E85-O85),0)),2)</f>
        <v>0</v>
      </c>
    </row>
    <row r="86" customFormat="false" ht="15" hidden="false" customHeight="true" outlineLevel="0" collapsed="false">
      <c r="A86" s="12" t="s">
        <v>254</v>
      </c>
      <c r="B86" s="12" t="str">
        <f aca="false">березень!B86</f>
        <v>Зінченко Ю.В.</v>
      </c>
      <c r="C86" s="12" t="s">
        <v>256</v>
      </c>
      <c r="D86" s="14" t="n">
        <f aca="false">березень!P86</f>
        <v>590.65</v>
      </c>
      <c r="E86" s="14" t="n">
        <f aca="false">березень!Q86</f>
        <v>0</v>
      </c>
      <c r="F86" s="13" t="n">
        <f aca="false">березень!F86</f>
        <v>0</v>
      </c>
      <c r="G86" s="13" t="n">
        <f aca="false">березень!G86</f>
        <v>49.3</v>
      </c>
      <c r="H86" s="13" t="n">
        <f aca="false">березень!H86</f>
        <v>0</v>
      </c>
      <c r="I86" s="13" t="n">
        <f aca="false">березень!I86</f>
        <v>4.1</v>
      </c>
      <c r="J86" s="14" t="n">
        <f aca="false">ROUND(G86*I86,2)</f>
        <v>202.13</v>
      </c>
      <c r="K86" s="14"/>
      <c r="L86" s="14"/>
      <c r="M86" s="14"/>
      <c r="N86" s="14" t="n">
        <f aca="false">ROUND((G86*I86)-K86-L86-M86,2)</f>
        <v>202.13</v>
      </c>
      <c r="O86" s="14"/>
      <c r="P86" s="14" t="n">
        <f aca="false">ROUND(IF(D86=0,IF((N86-E86-O86)&gt;0,(N86-E86-O86),0),IF((D86+N86-O86)&gt;0,(D86+N86-O86),0)),2)</f>
        <v>792.78</v>
      </c>
      <c r="Q86" s="14" t="n">
        <f aca="false">ROUND(IF(E86=0,IF((D86+N86-O86)&lt;0,ABS(D86+N86-O86),0),IF((N86-E86-O86)&lt;0,ABS(N86-E86-O86),0)),2)</f>
        <v>0</v>
      </c>
    </row>
    <row r="87" customFormat="false" ht="15" hidden="false" customHeight="true" outlineLevel="0" collapsed="false">
      <c r="A87" s="12" t="s">
        <v>257</v>
      </c>
      <c r="B87" s="12" t="str">
        <f aca="false">березень!B87</f>
        <v>Рилова Г.П.</v>
      </c>
      <c r="C87" s="12" t="s">
        <v>259</v>
      </c>
      <c r="D87" s="14" t="n">
        <f aca="false">березень!P87</f>
        <v>574</v>
      </c>
      <c r="E87" s="14" t="n">
        <f aca="false">березень!Q87</f>
        <v>0</v>
      </c>
      <c r="F87" s="13" t="n">
        <f aca="false">березень!F87</f>
        <v>0</v>
      </c>
      <c r="G87" s="13" t="n">
        <f aca="false">березень!G87</f>
        <v>35</v>
      </c>
      <c r="H87" s="13" t="n">
        <f aca="false">березень!H87</f>
        <v>0</v>
      </c>
      <c r="I87" s="13" t="n">
        <f aca="false">березень!I87</f>
        <v>4.1</v>
      </c>
      <c r="J87" s="14" t="n">
        <f aca="false">ROUND(G87*I87,2)</f>
        <v>143.5</v>
      </c>
      <c r="K87" s="14"/>
      <c r="L87" s="14"/>
      <c r="M87" s="14"/>
      <c r="N87" s="14" t="n">
        <f aca="false">ROUND((G87*I87)-K87-L87-M87,2)</f>
        <v>143.5</v>
      </c>
      <c r="O87" s="14"/>
      <c r="P87" s="14" t="n">
        <f aca="false">ROUND(IF(D87=0,IF((N87-E87-O87)&gt;0,(N87-E87-O87),0),IF((D87+N87-O87)&gt;0,(D87+N87-O87),0)),2)</f>
        <v>717.5</v>
      </c>
      <c r="Q87" s="14" t="n">
        <f aca="false">ROUND(IF(E87=0,IF((D87+N87-O87)&lt;0,ABS(D87+N87-O87),0),IF((N87-E87-O87)&lt;0,ABS(N87-E87-O87),0)),2)</f>
        <v>0</v>
      </c>
    </row>
    <row r="88" customFormat="false" ht="15" hidden="false" customHeight="true" outlineLevel="0" collapsed="false">
      <c r="A88" s="12" t="s">
        <v>260</v>
      </c>
      <c r="B88" s="12" t="str">
        <f aca="false">березень!B88</f>
        <v>Ленський І.О.</v>
      </c>
      <c r="C88" s="12" t="s">
        <v>262</v>
      </c>
      <c r="D88" s="14" t="n">
        <f aca="false">березень!P88</f>
        <v>1013.52</v>
      </c>
      <c r="E88" s="14" t="n">
        <f aca="false">березень!Q88</f>
        <v>0</v>
      </c>
      <c r="F88" s="13" t="n">
        <f aca="false">березень!F88</f>
        <v>0</v>
      </c>
      <c r="G88" s="13" t="n">
        <f aca="false">березень!G88</f>
        <v>61.8</v>
      </c>
      <c r="H88" s="13" t="n">
        <f aca="false">березень!H88</f>
        <v>0</v>
      </c>
      <c r="I88" s="13" t="n">
        <f aca="false">березень!I88</f>
        <v>4.1</v>
      </c>
      <c r="J88" s="14" t="n">
        <f aca="false">ROUND(G88*I88,2)</f>
        <v>253.38</v>
      </c>
      <c r="K88" s="14"/>
      <c r="L88" s="14"/>
      <c r="M88" s="14"/>
      <c r="N88" s="14" t="n">
        <f aca="false">ROUND((G88*I88)-K88-L88-M88,2)</f>
        <v>253.38</v>
      </c>
      <c r="O88" s="14"/>
      <c r="P88" s="14" t="n">
        <f aca="false">ROUND(IF(D88=0,IF((N88-E88-O88)&gt;0,(N88-E88-O88),0),IF((D88+N88-O88)&gt;0,(D88+N88-O88),0)),2)</f>
        <v>1266.9</v>
      </c>
      <c r="Q88" s="14" t="n">
        <f aca="false">ROUND(IF(E88=0,IF((D88+N88-O88)&lt;0,ABS(D88+N88-O88),0),IF((N88-E88-O88)&lt;0,ABS(N88-E88-O88),0)),2)</f>
        <v>0</v>
      </c>
    </row>
    <row r="89" customFormat="false" ht="15" hidden="false" customHeight="true" outlineLevel="0" collapsed="false">
      <c r="A89" s="12" t="s">
        <v>263</v>
      </c>
      <c r="B89" s="12" t="str">
        <f aca="false">березень!B89</f>
        <v>Слюсар О.О.</v>
      </c>
      <c r="C89" s="12" t="s">
        <v>265</v>
      </c>
      <c r="D89" s="14" t="n">
        <f aca="false">березень!P89</f>
        <v>13356.53</v>
      </c>
      <c r="E89" s="14" t="n">
        <f aca="false">березень!Q89</f>
        <v>0</v>
      </c>
      <c r="F89" s="13" t="n">
        <f aca="false">березень!F89</f>
        <v>0</v>
      </c>
      <c r="G89" s="13" t="n">
        <f aca="false">березень!G89</f>
        <v>65.81</v>
      </c>
      <c r="H89" s="13" t="n">
        <f aca="false">березень!H89</f>
        <v>0</v>
      </c>
      <c r="I89" s="13" t="n">
        <f aca="false">березень!I89</f>
        <v>4.1</v>
      </c>
      <c r="J89" s="14" t="n">
        <f aca="false">ROUND(G89*I89,2)</f>
        <v>269.82</v>
      </c>
      <c r="K89" s="14"/>
      <c r="L89" s="14"/>
      <c r="M89" s="14"/>
      <c r="N89" s="14" t="n">
        <f aca="false">ROUND((G89*I89)-K89-L89-M89,2)</f>
        <v>269.82</v>
      </c>
      <c r="O89" s="14"/>
      <c r="P89" s="14" t="n">
        <f aca="false">ROUND(IF(D89=0,IF((N89-E89-O89)&gt;0,(N89-E89-O89),0),IF((D89+N89-O89)&gt;0,(D89+N89-O89),0)),2)</f>
        <v>13626.35</v>
      </c>
      <c r="Q89" s="14" t="n">
        <f aca="false">ROUND(IF(E89=0,IF((D89+N89-O89)&lt;0,ABS(D89+N89-O89),0),IF((N89-E89-O89)&lt;0,ABS(N89-E89-O89),0)),2)</f>
        <v>0</v>
      </c>
    </row>
    <row r="90" customFormat="false" ht="15" hidden="false" customHeight="true" outlineLevel="0" collapsed="false">
      <c r="A90" s="12" t="s">
        <v>266</v>
      </c>
      <c r="B90" s="12" t="str">
        <f aca="false">березень!B90</f>
        <v>Кісельов Г.О.</v>
      </c>
      <c r="C90" s="12" t="s">
        <v>268</v>
      </c>
      <c r="D90" s="14" t="n">
        <f aca="false">березень!P90</f>
        <v>0</v>
      </c>
      <c r="E90" s="14" t="n">
        <f aca="false">березень!Q90</f>
        <v>1.38</v>
      </c>
      <c r="F90" s="13" t="n">
        <f aca="false">березень!F90</f>
        <v>0</v>
      </c>
      <c r="G90" s="13" t="n">
        <f aca="false">березень!G90</f>
        <v>49.7</v>
      </c>
      <c r="H90" s="13" t="n">
        <f aca="false">березень!H90</f>
        <v>0</v>
      </c>
      <c r="I90" s="13" t="n">
        <f aca="false">березень!I90</f>
        <v>4.1</v>
      </c>
      <c r="J90" s="14" t="n">
        <f aca="false">ROUND(G90*I90,2)</f>
        <v>203.77</v>
      </c>
      <c r="K90" s="14"/>
      <c r="L90" s="14"/>
      <c r="M90" s="14"/>
      <c r="N90" s="14" t="n">
        <f aca="false">ROUND((G90*I90)-K90-L90-M90,2)</f>
        <v>203.77</v>
      </c>
      <c r="O90" s="14"/>
      <c r="P90" s="14" t="n">
        <f aca="false">ROUND(IF(D90=0,IF((N90-E90-O90)&gt;0,(N90-E90-O90),0),IF((D90+N90-O90)&gt;0,(D90+N90-O90),0)),2)</f>
        <v>202.39</v>
      </c>
      <c r="Q90" s="14" t="n">
        <f aca="false">ROUND(IF(E90=0,IF((D90+N90-O90)&lt;0,ABS(D90+N90-O90),0),IF((N90-E90-O90)&lt;0,ABS(N90-E90-O90),0)),2)</f>
        <v>0</v>
      </c>
    </row>
    <row r="91" customFormat="false" ht="15" hidden="false" customHeight="true" outlineLevel="0" collapsed="false">
      <c r="A91" s="12" t="s">
        <v>269</v>
      </c>
      <c r="B91" s="12" t="str">
        <f aca="false">березень!B91</f>
        <v>Губанова Н.С.</v>
      </c>
      <c r="C91" s="12" t="s">
        <v>271</v>
      </c>
      <c r="D91" s="14" t="n">
        <f aca="false">березень!P91</f>
        <v>6223.8</v>
      </c>
      <c r="E91" s="14" t="n">
        <f aca="false">березень!Q91</f>
        <v>0</v>
      </c>
      <c r="F91" s="13" t="n">
        <f aca="false">березень!F91</f>
        <v>0</v>
      </c>
      <c r="G91" s="13" t="n">
        <f aca="false">березень!G91</f>
        <v>34.5</v>
      </c>
      <c r="H91" s="13" t="n">
        <f aca="false">березень!H91</f>
        <v>0</v>
      </c>
      <c r="I91" s="13" t="n">
        <f aca="false">березень!I91</f>
        <v>4.1</v>
      </c>
      <c r="J91" s="14" t="n">
        <f aca="false">ROUND(G91*I91,2)</f>
        <v>141.45</v>
      </c>
      <c r="K91" s="14"/>
      <c r="L91" s="14"/>
      <c r="M91" s="14"/>
      <c r="N91" s="14" t="n">
        <f aca="false">ROUND((G91*I91)-K91-L91-M91,2)</f>
        <v>141.45</v>
      </c>
      <c r="O91" s="14"/>
      <c r="P91" s="14" t="n">
        <f aca="false">ROUND(IF(D91=0,IF((N91-E91-O91)&gt;0,(N91-E91-O91),0),IF((D91+N91-O91)&gt;0,(D91+N91-O91),0)),2)</f>
        <v>6365.25</v>
      </c>
      <c r="Q91" s="14" t="n">
        <f aca="false">ROUND(IF(E91=0,IF((D91+N91-O91)&lt;0,ABS(D91+N91-O91),0),IF((N91-E91-O91)&lt;0,ABS(N91-E91-O91),0)),2)</f>
        <v>0</v>
      </c>
    </row>
    <row r="92" customFormat="false" ht="15" hidden="false" customHeight="true" outlineLevel="0" collapsed="false">
      <c r="A92" s="12" t="s">
        <v>272</v>
      </c>
      <c r="B92" s="12" t="str">
        <f aca="false">березень!B92</f>
        <v>Попова А.В.</v>
      </c>
      <c r="C92" s="12" t="s">
        <v>274</v>
      </c>
      <c r="D92" s="14" t="n">
        <f aca="false">березень!P92</f>
        <v>4523.95</v>
      </c>
      <c r="E92" s="14" t="n">
        <f aca="false">березень!Q92</f>
        <v>0</v>
      </c>
      <c r="F92" s="13" t="n">
        <f aca="false">березень!F92</f>
        <v>0</v>
      </c>
      <c r="G92" s="13" t="n">
        <f aca="false">березень!G92</f>
        <v>62.4</v>
      </c>
      <c r="H92" s="13" t="n">
        <f aca="false">березень!H92</f>
        <v>0</v>
      </c>
      <c r="I92" s="13" t="n">
        <f aca="false">березень!I92</f>
        <v>4.1</v>
      </c>
      <c r="J92" s="14" t="n">
        <f aca="false">ROUND(G92*I92,2)</f>
        <v>255.84</v>
      </c>
      <c r="K92" s="14"/>
      <c r="L92" s="14"/>
      <c r="M92" s="14"/>
      <c r="N92" s="14" t="n">
        <f aca="false">ROUND((G92*I92)-K92-L92-M92,2)</f>
        <v>255.84</v>
      </c>
      <c r="O92" s="14"/>
      <c r="P92" s="14" t="n">
        <f aca="false">ROUND(IF(D92=0,IF((N92-E92-O92)&gt;0,(N92-E92-O92),0),IF((D92+N92-O92)&gt;0,(D92+N92-O92),0)),2)</f>
        <v>4779.79</v>
      </c>
      <c r="Q92" s="14" t="n">
        <f aca="false">ROUND(IF(E92=0,IF((D92+N92-O92)&lt;0,ABS(D92+N92-O92),0),IF((N92-E92-O92)&lt;0,ABS(N92-E92-O92),0)),2)</f>
        <v>0</v>
      </c>
    </row>
    <row r="93" customFormat="false" ht="15" hidden="false" customHeight="true" outlineLevel="0" collapsed="false">
      <c r="A93" s="12" t="s">
        <v>275</v>
      </c>
      <c r="B93" s="12" t="str">
        <f aca="false">березень!B93</f>
        <v>Стародубець О.К.</v>
      </c>
      <c r="C93" s="12" t="s">
        <v>277</v>
      </c>
      <c r="D93" s="14" t="n">
        <f aca="false">березень!P93</f>
        <v>1089.96</v>
      </c>
      <c r="E93" s="14" t="n">
        <f aca="false">березень!Q93</f>
        <v>0</v>
      </c>
      <c r="F93" s="13" t="n">
        <f aca="false">березень!F93</f>
        <v>0</v>
      </c>
      <c r="G93" s="13" t="n">
        <f aca="false">березень!G93</f>
        <v>66.46</v>
      </c>
      <c r="H93" s="13" t="n">
        <f aca="false">березень!H93</f>
        <v>0</v>
      </c>
      <c r="I93" s="13" t="n">
        <f aca="false">березень!I93</f>
        <v>4.1</v>
      </c>
      <c r="J93" s="14" t="n">
        <f aca="false">ROUND(G93*I93,2)</f>
        <v>272.49</v>
      </c>
      <c r="K93" s="14"/>
      <c r="L93" s="14"/>
      <c r="M93" s="14"/>
      <c r="N93" s="14" t="n">
        <f aca="false">ROUND((G93*I93)-K93-L93-M93,2)</f>
        <v>272.49</v>
      </c>
      <c r="O93" s="14"/>
      <c r="P93" s="14" t="n">
        <f aca="false">ROUND(IF(D93=0,IF((N93-E93-O93)&gt;0,(N93-E93-O93),0),IF((D93+N93-O93)&gt;0,(D93+N93-O93),0)),2)</f>
        <v>1362.45</v>
      </c>
      <c r="Q93" s="14" t="n">
        <f aca="false">ROUND(IF(E93=0,IF((D93+N93-O93)&lt;0,ABS(D93+N93-O93),0),IF((N93-E93-O93)&lt;0,ABS(N93-E93-O93),0)),2)</f>
        <v>0</v>
      </c>
    </row>
    <row r="94" customFormat="false" ht="15" hidden="false" customHeight="true" outlineLevel="0" collapsed="false">
      <c r="A94" s="12" t="s">
        <v>278</v>
      </c>
      <c r="B94" s="12" t="str">
        <f aca="false">березень!B94</f>
        <v>Сакун Т.А.</v>
      </c>
      <c r="C94" s="12" t="s">
        <v>280</v>
      </c>
      <c r="D94" s="14" t="n">
        <f aca="false">березень!P94</f>
        <v>8398.29</v>
      </c>
      <c r="E94" s="14" t="n">
        <f aca="false">березень!Q94</f>
        <v>0</v>
      </c>
      <c r="F94" s="13" t="n">
        <f aca="false">березень!F94</f>
        <v>0</v>
      </c>
      <c r="G94" s="13" t="n">
        <f aca="false">березень!G94</f>
        <v>49.73</v>
      </c>
      <c r="H94" s="13" t="n">
        <f aca="false">березень!H94</f>
        <v>0</v>
      </c>
      <c r="I94" s="13" t="n">
        <f aca="false">березень!I94</f>
        <v>4.1</v>
      </c>
      <c r="J94" s="14" t="n">
        <f aca="false">ROUND(G94*I94,2)</f>
        <v>203.89</v>
      </c>
      <c r="K94" s="14"/>
      <c r="L94" s="14"/>
      <c r="M94" s="14"/>
      <c r="N94" s="14" t="n">
        <f aca="false">ROUND((G94*I94)-K94-L94-M94,2)</f>
        <v>203.89</v>
      </c>
      <c r="O94" s="14"/>
      <c r="P94" s="14" t="n">
        <f aca="false">ROUND(IF(D94=0,IF((N94-E94-O94)&gt;0,(N94-E94-O94),0),IF((D94+N94-O94)&gt;0,(D94+N94-O94),0)),2)</f>
        <v>8602.18</v>
      </c>
      <c r="Q94" s="14" t="n">
        <f aca="false">ROUND(IF(E94=0,IF((D94+N94-O94)&lt;0,ABS(D94+N94-O94),0),IF((N94-E94-O94)&lt;0,ABS(N94-E94-O94),0)),2)</f>
        <v>0</v>
      </c>
    </row>
    <row r="95" customFormat="false" ht="15" hidden="false" customHeight="true" outlineLevel="0" collapsed="false">
      <c r="A95" s="12" t="s">
        <v>281</v>
      </c>
      <c r="B95" s="12" t="str">
        <f aca="false">березень!B95</f>
        <v>Фатєєв Ю.О.</v>
      </c>
      <c r="C95" s="12" t="s">
        <v>283</v>
      </c>
      <c r="D95" s="14" t="n">
        <f aca="false">березень!P95</f>
        <v>9372.96</v>
      </c>
      <c r="E95" s="14" t="n">
        <f aca="false">березень!Q95</f>
        <v>0</v>
      </c>
      <c r="F95" s="13" t="n">
        <f aca="false">березень!F95</f>
        <v>0</v>
      </c>
      <c r="G95" s="13" t="n">
        <f aca="false">березень!G95</f>
        <v>34.9</v>
      </c>
      <c r="H95" s="13" t="n">
        <f aca="false">березень!H95</f>
        <v>0</v>
      </c>
      <c r="I95" s="13" t="n">
        <f aca="false">березень!I95</f>
        <v>4.1</v>
      </c>
      <c r="J95" s="14" t="n">
        <f aca="false">ROUND(G95*I95,2)</f>
        <v>143.09</v>
      </c>
      <c r="K95" s="14"/>
      <c r="L95" s="14"/>
      <c r="M95" s="14"/>
      <c r="N95" s="14" t="n">
        <f aca="false">ROUND((G95*I95)-K95-L95-M95,2)</f>
        <v>143.09</v>
      </c>
      <c r="O95" s="14"/>
      <c r="P95" s="14" t="n">
        <f aca="false">ROUND(IF(D95=0,IF((N95-E95-O95)&gt;0,(N95-E95-O95),0),IF((D95+N95-O95)&gt;0,(D95+N95-O95),0)),2)</f>
        <v>9516.05</v>
      </c>
      <c r="Q95" s="14" t="n">
        <f aca="false">ROUND(IF(E95=0,IF((D95+N95-O95)&lt;0,ABS(D95+N95-O95),0),IF((N95-E95-O95)&lt;0,ABS(N95-E95-O95),0)),2)</f>
        <v>0</v>
      </c>
    </row>
    <row r="96" customFormat="false" ht="15" hidden="false" customHeight="true" outlineLevel="0" collapsed="false">
      <c r="A96" s="12" t="s">
        <v>284</v>
      </c>
      <c r="B96" s="12" t="str">
        <f aca="false">березень!B96</f>
        <v>Лукашов Є.В.</v>
      </c>
      <c r="C96" s="12" t="s">
        <v>286</v>
      </c>
      <c r="D96" s="14" t="n">
        <f aca="false">березень!P96</f>
        <v>14138.76</v>
      </c>
      <c r="E96" s="14" t="n">
        <f aca="false">березень!Q96</f>
        <v>0</v>
      </c>
      <c r="F96" s="13" t="n">
        <f aca="false">березень!F96</f>
        <v>0</v>
      </c>
      <c r="G96" s="13" t="n">
        <f aca="false">березень!G96</f>
        <v>61.9</v>
      </c>
      <c r="H96" s="13" t="n">
        <f aca="false">березень!H96</f>
        <v>0</v>
      </c>
      <c r="I96" s="13" t="n">
        <f aca="false">березень!I96</f>
        <v>4.1</v>
      </c>
      <c r="J96" s="14" t="n">
        <f aca="false">ROUND(G96*I96,2)</f>
        <v>253.79</v>
      </c>
      <c r="K96" s="14"/>
      <c r="L96" s="14"/>
      <c r="M96" s="14"/>
      <c r="N96" s="14" t="n">
        <f aca="false">ROUND((G96*I96)-K96-L96-M96,2)</f>
        <v>253.79</v>
      </c>
      <c r="O96" s="14"/>
      <c r="P96" s="14" t="n">
        <f aca="false">ROUND(IF(D96=0,IF((N96-E96-O96)&gt;0,(N96-E96-O96),0),IF((D96+N96-O96)&gt;0,(D96+N96-O96),0)),2)</f>
        <v>14392.55</v>
      </c>
      <c r="Q96" s="14" t="n">
        <f aca="false">ROUND(IF(E96=0,IF((D96+N96-O96)&lt;0,ABS(D96+N96-O96),0),IF((N96-E96-O96)&lt;0,ABS(N96-E96-O96),0)),2)</f>
        <v>0</v>
      </c>
    </row>
    <row r="97" customFormat="false" ht="15" hidden="false" customHeight="true" outlineLevel="0" collapsed="false">
      <c r="A97" s="12" t="s">
        <v>287</v>
      </c>
      <c r="B97" s="12" t="str">
        <f aca="false">березень!B97</f>
        <v>Довбета В.М.</v>
      </c>
      <c r="C97" s="12" t="s">
        <v>289</v>
      </c>
      <c r="D97" s="14" t="n">
        <f aca="false">березень!P97</f>
        <v>530.95</v>
      </c>
      <c r="E97" s="14" t="n">
        <f aca="false">березень!Q97</f>
        <v>0</v>
      </c>
      <c r="F97" s="13" t="n">
        <f aca="false">березень!F97</f>
        <v>0</v>
      </c>
      <c r="G97" s="13" t="n">
        <f aca="false">березень!G97</f>
        <v>65.3</v>
      </c>
      <c r="H97" s="13" t="n">
        <f aca="false">березень!H97</f>
        <v>0</v>
      </c>
      <c r="I97" s="13" t="n">
        <f aca="false">березень!I97</f>
        <v>4.1</v>
      </c>
      <c r="J97" s="14" t="n">
        <f aca="false">ROUND(G97*I97,2)</f>
        <v>267.73</v>
      </c>
      <c r="K97" s="14"/>
      <c r="L97" s="14"/>
      <c r="M97" s="14"/>
      <c r="N97" s="14" t="n">
        <f aca="false">ROUND((G97*I97)-K97-L97-M97,2)</f>
        <v>267.73</v>
      </c>
      <c r="O97" s="14"/>
      <c r="P97" s="14" t="n">
        <f aca="false">ROUND(IF(D97=0,IF((N97-E97-O97)&gt;0,(N97-E97-O97),0),IF((D97+N97-O97)&gt;0,(D97+N97-O97),0)),2)</f>
        <v>798.68</v>
      </c>
      <c r="Q97" s="14" t="n">
        <f aca="false">ROUND(IF(E97=0,IF((D97+N97-O97)&lt;0,ABS(D97+N97-O97),0),IF((N97-E97-O97)&lt;0,ABS(N97-E97-O97),0)),2)</f>
        <v>0</v>
      </c>
    </row>
    <row r="98" customFormat="false" ht="15" hidden="false" customHeight="true" outlineLevel="0" collapsed="false">
      <c r="A98" s="12" t="s">
        <v>290</v>
      </c>
      <c r="B98" s="12" t="str">
        <f aca="false">березень!B98</f>
        <v>Черняк К.В.</v>
      </c>
      <c r="C98" s="12" t="s">
        <v>292</v>
      </c>
      <c r="D98" s="14" t="n">
        <f aca="false">березень!P98</f>
        <v>380.3</v>
      </c>
      <c r="E98" s="14" t="n">
        <f aca="false">березень!Q98</f>
        <v>0</v>
      </c>
      <c r="F98" s="13" t="n">
        <f aca="false">березень!F98</f>
        <v>0</v>
      </c>
      <c r="G98" s="13" t="n">
        <f aca="false">березень!G98</f>
        <v>49.48</v>
      </c>
      <c r="H98" s="13" t="n">
        <f aca="false">березень!H98</f>
        <v>0</v>
      </c>
      <c r="I98" s="13" t="n">
        <f aca="false">березень!I98</f>
        <v>4.1</v>
      </c>
      <c r="J98" s="14" t="n">
        <f aca="false">ROUND(G98*I98,2)</f>
        <v>202.87</v>
      </c>
      <c r="K98" s="14"/>
      <c r="L98" s="14"/>
      <c r="M98" s="14"/>
      <c r="N98" s="14" t="n">
        <f aca="false">ROUND((G98*I98)-K98-L98-M98,2)</f>
        <v>202.87</v>
      </c>
      <c r="O98" s="14"/>
      <c r="P98" s="14" t="n">
        <f aca="false">ROUND(IF(D98=0,IF((N98-E98-O98)&gt;0,(N98-E98-O98),0),IF((D98+N98-O98)&gt;0,(D98+N98-O98),0)),2)</f>
        <v>583.17</v>
      </c>
      <c r="Q98" s="14" t="n">
        <f aca="false">ROUND(IF(E98=0,IF((D98+N98-O98)&lt;0,ABS(D98+N98-O98),0),IF((N98-E98-O98)&lt;0,ABS(N98-E98-O98),0)),2)</f>
        <v>0</v>
      </c>
    </row>
    <row r="99" customFormat="false" ht="15" hidden="false" customHeight="true" outlineLevel="0" collapsed="false">
      <c r="A99" s="12" t="s">
        <v>293</v>
      </c>
      <c r="B99" s="12" t="str">
        <f aca="false">березень!B99</f>
        <v>Довбета С.П.</v>
      </c>
      <c r="C99" s="12" t="s">
        <v>295</v>
      </c>
      <c r="D99" s="14" t="n">
        <f aca="false">березень!P99</f>
        <v>428.59</v>
      </c>
      <c r="E99" s="14" t="n">
        <f aca="false">березень!Q99</f>
        <v>0</v>
      </c>
      <c r="F99" s="13" t="n">
        <f aca="false">березень!F99</f>
        <v>0</v>
      </c>
      <c r="G99" s="13" t="n">
        <f aca="false">березень!G99</f>
        <v>35.1</v>
      </c>
      <c r="H99" s="13" t="n">
        <f aca="false">березень!H99</f>
        <v>0</v>
      </c>
      <c r="I99" s="13" t="n">
        <f aca="false">березень!I99</f>
        <v>4.1</v>
      </c>
      <c r="J99" s="14" t="n">
        <f aca="false">ROUND(G99*I99,2)</f>
        <v>143.91</v>
      </c>
      <c r="K99" s="14"/>
      <c r="L99" s="14"/>
      <c r="M99" s="14"/>
      <c r="N99" s="14" t="n">
        <f aca="false">ROUND((G99*I99)-K99-L99-M99,2)</f>
        <v>143.91</v>
      </c>
      <c r="O99" s="14"/>
      <c r="P99" s="14" t="n">
        <f aca="false">ROUND(IF(D99=0,IF((N99-E99-O99)&gt;0,(N99-E99-O99),0),IF((D99+N99-O99)&gt;0,(D99+N99-O99),0)),2)</f>
        <v>572.5</v>
      </c>
      <c r="Q99" s="14" t="n">
        <f aca="false">ROUND(IF(E99=0,IF((D99+N99-O99)&lt;0,ABS(D99+N99-O99),0),IF((N99-E99-O99)&lt;0,ABS(N99-E99-O99),0)),2)</f>
        <v>0</v>
      </c>
    </row>
    <row r="100" customFormat="false" ht="15" hidden="false" customHeight="true" outlineLevel="0" collapsed="false">
      <c r="A100" s="12" t="s">
        <v>296</v>
      </c>
      <c r="B100" s="12" t="str">
        <f aca="false">березень!B100</f>
        <v>Липка Г.Ю.</v>
      </c>
      <c r="C100" s="12" t="s">
        <v>298</v>
      </c>
      <c r="D100" s="14" t="n">
        <f aca="false">березень!P100</f>
        <v>13733.36</v>
      </c>
      <c r="E100" s="14" t="n">
        <f aca="false">березень!Q100</f>
        <v>0</v>
      </c>
      <c r="F100" s="13" t="n">
        <f aca="false">березень!F100</f>
        <v>0</v>
      </c>
      <c r="G100" s="13" t="n">
        <f aca="false">березень!G100</f>
        <v>63.2</v>
      </c>
      <c r="H100" s="13" t="n">
        <f aca="false">березень!H100</f>
        <v>0</v>
      </c>
      <c r="I100" s="13" t="n">
        <f aca="false">березень!I100</f>
        <v>4.1</v>
      </c>
      <c r="J100" s="14" t="n">
        <f aca="false">ROUND(G100*I100,2)</f>
        <v>259.12</v>
      </c>
      <c r="K100" s="14"/>
      <c r="L100" s="14"/>
      <c r="M100" s="14"/>
      <c r="N100" s="14" t="n">
        <f aca="false">ROUND((G100*I100)-K100-L100-M100,2)</f>
        <v>259.12</v>
      </c>
      <c r="O100" s="14"/>
      <c r="P100" s="14" t="n">
        <f aca="false">ROUND(IF(D100=0,IF((N100-E100-O100)&gt;0,(N100-E100-O100),0),IF((D100+N100-O100)&gt;0,(D100+N100-O100),0)),2)</f>
        <v>13992.48</v>
      </c>
      <c r="Q100" s="14" t="n">
        <f aca="false">ROUND(IF(E100=0,IF((D100+N100-O100)&lt;0,ABS(D100+N100-O100),0),IF((N100-E100-O100)&lt;0,ABS(N100-E100-O100),0)),2)</f>
        <v>0</v>
      </c>
    </row>
    <row r="101" customFormat="false" ht="15" hidden="false" customHeight="true" outlineLevel="0" collapsed="false">
      <c r="A101" s="12" t="s">
        <v>299</v>
      </c>
      <c r="B101" s="12" t="str">
        <f aca="false">березень!B101</f>
        <v>Утьосов Д.М.</v>
      </c>
      <c r="C101" s="12" t="s">
        <v>301</v>
      </c>
      <c r="D101" s="14" t="n">
        <f aca="false">березень!P101</f>
        <v>8207.87</v>
      </c>
      <c r="E101" s="14" t="n">
        <f aca="false">березень!Q101</f>
        <v>0</v>
      </c>
      <c r="F101" s="13" t="n">
        <f aca="false">березень!F101</f>
        <v>0</v>
      </c>
      <c r="G101" s="13" t="n">
        <f aca="false">березень!G101</f>
        <v>66.1</v>
      </c>
      <c r="H101" s="13" t="n">
        <f aca="false">березень!H101</f>
        <v>0</v>
      </c>
      <c r="I101" s="13" t="n">
        <f aca="false">березень!I101</f>
        <v>4.1</v>
      </c>
      <c r="J101" s="14" t="n">
        <f aca="false">ROUND(G101*I101,2)</f>
        <v>271.01</v>
      </c>
      <c r="K101" s="14"/>
      <c r="L101" s="14"/>
      <c r="M101" s="14"/>
      <c r="N101" s="14" t="n">
        <f aca="false">ROUND((G101*I101)-K101-L101-M101,2)</f>
        <v>271.01</v>
      </c>
      <c r="O101" s="14"/>
      <c r="P101" s="14" t="n">
        <f aca="false">ROUND(IF(D101=0,IF((N101-E101-O101)&gt;0,(N101-E101-O101),0),IF((D101+N101-O101)&gt;0,(D101+N101-O101),0)),2)</f>
        <v>8478.88</v>
      </c>
      <c r="Q101" s="14" t="n">
        <f aca="false">ROUND(IF(E101=0,IF((D101+N101-O101)&lt;0,ABS(D101+N101-O101),0),IF((N101-E101-O101)&lt;0,ABS(N101-E101-O101),0)),2)</f>
        <v>0</v>
      </c>
    </row>
    <row r="102" customFormat="false" ht="15" hidden="false" customHeight="true" outlineLevel="0" collapsed="false">
      <c r="A102" s="12" t="s">
        <v>302</v>
      </c>
      <c r="B102" s="12" t="str">
        <f aca="false">березень!B102</f>
        <v>Стеценко Д.М.</v>
      </c>
      <c r="C102" s="12" t="s">
        <v>304</v>
      </c>
      <c r="D102" s="14" t="n">
        <f aca="false">березень!P102</f>
        <v>7963.09</v>
      </c>
      <c r="E102" s="14" t="n">
        <f aca="false">березень!Q102</f>
        <v>0</v>
      </c>
      <c r="F102" s="13" t="n">
        <f aca="false">березень!F102</f>
        <v>0</v>
      </c>
      <c r="G102" s="13" t="n">
        <f aca="false">березень!G102</f>
        <v>49.8</v>
      </c>
      <c r="H102" s="13" t="n">
        <f aca="false">березень!H102</f>
        <v>0</v>
      </c>
      <c r="I102" s="13" t="n">
        <f aca="false">березень!I102</f>
        <v>4.1</v>
      </c>
      <c r="J102" s="14" t="n">
        <f aca="false">ROUND(G102*I102,2)</f>
        <v>204.18</v>
      </c>
      <c r="K102" s="14"/>
      <c r="L102" s="14"/>
      <c r="M102" s="14"/>
      <c r="N102" s="14" t="n">
        <f aca="false">ROUND((G102*I102)-K102-L102-M102,2)</f>
        <v>204.18</v>
      </c>
      <c r="O102" s="14"/>
      <c r="P102" s="14" t="n">
        <f aca="false">ROUND(IF(D102=0,IF((N102-E102-O102)&gt;0,(N102-E102-O102),0),IF((D102+N102-O102)&gt;0,(D102+N102-O102),0)),2)</f>
        <v>8167.27</v>
      </c>
      <c r="Q102" s="14" t="n">
        <f aca="false">ROUND(IF(E102=0,IF((D102+N102-O102)&lt;0,ABS(D102+N102-O102),0),IF((N102-E102-O102)&lt;0,ABS(N102-E102-O102),0)),2)</f>
        <v>0</v>
      </c>
    </row>
    <row r="103" customFormat="false" ht="15" hidden="false" customHeight="true" outlineLevel="0" collapsed="false">
      <c r="A103" s="12" t="s">
        <v>305</v>
      </c>
      <c r="B103" s="12" t="str">
        <f aca="false">березень!B103</f>
        <v>Задніпряна О.М.</v>
      </c>
      <c r="C103" s="12" t="s">
        <v>307</v>
      </c>
      <c r="D103" s="14" t="n">
        <f aca="false">березень!P103</f>
        <v>6669.02</v>
      </c>
      <c r="E103" s="14" t="n">
        <f aca="false">березень!Q103</f>
        <v>0</v>
      </c>
      <c r="F103" s="13" t="n">
        <f aca="false">березень!F103</f>
        <v>0</v>
      </c>
      <c r="G103" s="13" t="n">
        <f aca="false">березень!G103</f>
        <v>34.6</v>
      </c>
      <c r="H103" s="13" t="n">
        <f aca="false">березень!H103</f>
        <v>0</v>
      </c>
      <c r="I103" s="13" t="n">
        <f aca="false">березень!I103</f>
        <v>4.1</v>
      </c>
      <c r="J103" s="14" t="n">
        <f aca="false">ROUND(G103*I103,2)</f>
        <v>141.86</v>
      </c>
      <c r="K103" s="14"/>
      <c r="L103" s="14"/>
      <c r="M103" s="14"/>
      <c r="N103" s="14" t="n">
        <f aca="false">ROUND((G103*I103)-K103-L103-M103,2)</f>
        <v>141.86</v>
      </c>
      <c r="O103" s="14"/>
      <c r="P103" s="14" t="n">
        <f aca="false">ROUND(IF(D103=0,IF((N103-E103-O103)&gt;0,(N103-E103-O103),0),IF((D103+N103-O103)&gt;0,(D103+N103-O103),0)),2)</f>
        <v>6810.88</v>
      </c>
      <c r="Q103" s="14" t="n">
        <f aca="false">ROUND(IF(E103=0,IF((D103+N103-O103)&lt;0,ABS(D103+N103-O103),0),IF((N103-E103-O103)&lt;0,ABS(N103-E103-O103),0)),2)</f>
        <v>0</v>
      </c>
    </row>
    <row r="104" customFormat="false" ht="15" hidden="false" customHeight="true" outlineLevel="0" collapsed="false">
      <c r="A104" s="12" t="s">
        <v>308</v>
      </c>
      <c r="B104" s="12" t="str">
        <f aca="false">березень!B104</f>
        <v>Геращенко М.Д.</v>
      </c>
      <c r="C104" s="12" t="s">
        <v>310</v>
      </c>
      <c r="D104" s="14" t="n">
        <f aca="false">березень!P104</f>
        <v>769.98</v>
      </c>
      <c r="E104" s="14" t="n">
        <f aca="false">березень!Q104</f>
        <v>0</v>
      </c>
      <c r="F104" s="13" t="n">
        <f aca="false">березень!F104</f>
        <v>0</v>
      </c>
      <c r="G104" s="13" t="n">
        <f aca="false">березень!G104</f>
        <v>62.6</v>
      </c>
      <c r="H104" s="13" t="n">
        <f aca="false">березень!H104</f>
        <v>0</v>
      </c>
      <c r="I104" s="13" t="n">
        <f aca="false">березень!I104</f>
        <v>4.1</v>
      </c>
      <c r="J104" s="14" t="n">
        <f aca="false">ROUND(G104*I104,2)</f>
        <v>256.66</v>
      </c>
      <c r="K104" s="14"/>
      <c r="L104" s="14"/>
      <c r="M104" s="14"/>
      <c r="N104" s="14" t="n">
        <f aca="false">ROUND((G104*I104)-K104-L104-M104,2)</f>
        <v>256.66</v>
      </c>
      <c r="O104" s="14"/>
      <c r="P104" s="14" t="n">
        <f aca="false">ROUND(IF(D104=0,IF((N104-E104-O104)&gt;0,(N104-E104-O104),0),IF((D104+N104-O104)&gt;0,(D104+N104-O104),0)),2)</f>
        <v>1026.64</v>
      </c>
      <c r="Q104" s="14" t="n">
        <f aca="false">ROUND(IF(E104=0,IF((D104+N104-O104)&lt;0,ABS(D104+N104-O104),0),IF((N104-E104-O104)&lt;0,ABS(N104-E104-O104),0)),2)</f>
        <v>0</v>
      </c>
    </row>
    <row r="105" customFormat="false" ht="15" hidden="false" customHeight="true" outlineLevel="0" collapsed="false">
      <c r="A105" s="12" t="s">
        <v>311</v>
      </c>
      <c r="B105" s="12" t="str">
        <f aca="false">березень!B105</f>
        <v>Горб В.М.</v>
      </c>
      <c r="C105" s="12" t="s">
        <v>313</v>
      </c>
      <c r="D105" s="14" t="n">
        <f aca="false">березень!P105</f>
        <v>12095.11</v>
      </c>
      <c r="E105" s="14" t="n">
        <f aca="false">березень!Q105</f>
        <v>0</v>
      </c>
      <c r="F105" s="13" t="n">
        <f aca="false">березень!F105</f>
        <v>0</v>
      </c>
      <c r="G105" s="13" t="n">
        <f aca="false">березень!G105</f>
        <v>65.57</v>
      </c>
      <c r="H105" s="13" t="n">
        <f aca="false">березень!H105</f>
        <v>0</v>
      </c>
      <c r="I105" s="13" t="n">
        <f aca="false">березень!I105</f>
        <v>4.1</v>
      </c>
      <c r="J105" s="14" t="n">
        <f aca="false">ROUND(G105*I105,2)</f>
        <v>268.84</v>
      </c>
      <c r="K105" s="14"/>
      <c r="L105" s="14"/>
      <c r="M105" s="14"/>
      <c r="N105" s="14" t="n">
        <f aca="false">ROUND((G105*I105)-K105-L105-M105,2)</f>
        <v>268.84</v>
      </c>
      <c r="O105" s="14"/>
      <c r="P105" s="14" t="n">
        <f aca="false">ROUND(IF(D105=0,IF((N105-E105-O105)&gt;0,(N105-E105-O105),0),IF((D105+N105-O105)&gt;0,(D105+N105-O105),0)),2)</f>
        <v>12363.95</v>
      </c>
      <c r="Q105" s="14" t="n">
        <f aca="false">ROUND(IF(E105=0,IF((D105+N105-O105)&lt;0,ABS(D105+N105-O105),0),IF((N105-E105-O105)&lt;0,ABS(N105-E105-O105),0)),2)</f>
        <v>0</v>
      </c>
    </row>
    <row r="106" customFormat="false" ht="15" hidden="false" customHeight="true" outlineLevel="0" collapsed="false">
      <c r="A106" s="12" t="s">
        <v>314</v>
      </c>
      <c r="B106" s="12" t="str">
        <f aca="false">березень!B106</f>
        <v>Нойок Г.К.</v>
      </c>
      <c r="C106" s="12" t="s">
        <v>316</v>
      </c>
      <c r="D106" s="14" t="n">
        <f aca="false">березень!P106</f>
        <v>7976.69</v>
      </c>
      <c r="E106" s="14" t="n">
        <f aca="false">березень!Q106</f>
        <v>0</v>
      </c>
      <c r="F106" s="13" t="n">
        <f aca="false">березень!F106</f>
        <v>0</v>
      </c>
      <c r="G106" s="13" t="n">
        <f aca="false">березень!G106</f>
        <v>49.8</v>
      </c>
      <c r="H106" s="13" t="n">
        <f aca="false">березень!H106</f>
        <v>0</v>
      </c>
      <c r="I106" s="13" t="n">
        <f aca="false">березень!I106</f>
        <v>4.1</v>
      </c>
      <c r="J106" s="14" t="n">
        <f aca="false">ROUND(G106*I106,2)</f>
        <v>204.18</v>
      </c>
      <c r="K106" s="14"/>
      <c r="L106" s="14"/>
      <c r="M106" s="14"/>
      <c r="N106" s="14" t="n">
        <f aca="false">ROUND((G106*I106)-K106-L106-M106,2)</f>
        <v>204.18</v>
      </c>
      <c r="O106" s="14"/>
      <c r="P106" s="14" t="n">
        <f aca="false">ROUND(IF(D106=0,IF((N106-E106-O106)&gt;0,(N106-E106-O106),0),IF((D106+N106-O106)&gt;0,(D106+N106-O106),0)),2)</f>
        <v>8180.87</v>
      </c>
      <c r="Q106" s="14" t="n">
        <f aca="false">ROUND(IF(E106=0,IF((D106+N106-O106)&lt;0,ABS(D106+N106-O106),0),IF((N106-E106-O106)&lt;0,ABS(N106-E106-O106),0)),2)</f>
        <v>0</v>
      </c>
    </row>
    <row r="107" customFormat="false" ht="15" hidden="false" customHeight="true" outlineLevel="0" collapsed="false">
      <c r="A107" s="12" t="s">
        <v>317</v>
      </c>
      <c r="B107" s="12" t="str">
        <f aca="false">березень!B107</f>
        <v>Сафонова О.В.</v>
      </c>
      <c r="C107" s="12" t="s">
        <v>319</v>
      </c>
      <c r="D107" s="14" t="n">
        <f aca="false">березень!P107</f>
        <v>6393.23</v>
      </c>
      <c r="E107" s="14" t="n">
        <f aca="false">березень!Q107</f>
        <v>0</v>
      </c>
      <c r="F107" s="13" t="n">
        <f aca="false">березень!F107</f>
        <v>0</v>
      </c>
      <c r="G107" s="13" t="n">
        <f aca="false">березень!G107</f>
        <v>34.9</v>
      </c>
      <c r="H107" s="13" t="n">
        <f aca="false">березень!H107</f>
        <v>0</v>
      </c>
      <c r="I107" s="13" t="n">
        <f aca="false">березень!I107</f>
        <v>4.1</v>
      </c>
      <c r="J107" s="14" t="n">
        <f aca="false">ROUND(G107*I107,2)</f>
        <v>143.09</v>
      </c>
      <c r="K107" s="14"/>
      <c r="L107" s="14"/>
      <c r="M107" s="14"/>
      <c r="N107" s="14" t="n">
        <f aca="false">ROUND((G107*I107)-K107-L107-M107,2)</f>
        <v>143.09</v>
      </c>
      <c r="O107" s="14"/>
      <c r="P107" s="14" t="n">
        <f aca="false">ROUND(IF(D107=0,IF((N107-E107-O107)&gt;0,(N107-E107-O107),0),IF((D107+N107-O107)&gt;0,(D107+N107-O107),0)),2)</f>
        <v>6536.32</v>
      </c>
      <c r="Q107" s="14" t="n">
        <f aca="false">ROUND(IF(E107=0,IF((D107+N107-O107)&lt;0,ABS(D107+N107-O107),0),IF((N107-E107-O107)&lt;0,ABS(N107-E107-O107),0)),2)</f>
        <v>0</v>
      </c>
    </row>
    <row r="108" customFormat="false" ht="15" hidden="false" customHeight="true" outlineLevel="0" collapsed="false">
      <c r="A108" s="12" t="s">
        <v>320</v>
      </c>
      <c r="B108" s="12" t="str">
        <f aca="false">березень!B108</f>
        <v>Вінарська Н.П.</v>
      </c>
      <c r="C108" s="12" t="s">
        <v>322</v>
      </c>
      <c r="D108" s="14" t="n">
        <f aca="false">березень!P108</f>
        <v>12869.24</v>
      </c>
      <c r="E108" s="14" t="n">
        <f aca="false">березень!Q108</f>
        <v>0</v>
      </c>
      <c r="F108" s="13" t="n">
        <f aca="false">березень!F108</f>
        <v>0</v>
      </c>
      <c r="G108" s="13" t="n">
        <f aca="false">березень!G108</f>
        <v>62.78</v>
      </c>
      <c r="H108" s="13" t="n">
        <f aca="false">березень!H108</f>
        <v>0</v>
      </c>
      <c r="I108" s="13" t="n">
        <f aca="false">березень!I108</f>
        <v>4.1</v>
      </c>
      <c r="J108" s="14" t="n">
        <f aca="false">ROUND(G108*I108,2)</f>
        <v>257.4</v>
      </c>
      <c r="K108" s="14"/>
      <c r="L108" s="14"/>
      <c r="M108" s="14"/>
      <c r="N108" s="14" t="n">
        <f aca="false">ROUND((G108*I108)-K108-L108-M108,2)</f>
        <v>257.4</v>
      </c>
      <c r="O108" s="14"/>
      <c r="P108" s="14" t="n">
        <f aca="false">ROUND(IF(D108=0,IF((N108-E108-O108)&gt;0,(N108-E108-O108),0),IF((D108+N108-O108)&gt;0,(D108+N108-O108),0)),2)</f>
        <v>13126.64</v>
      </c>
      <c r="Q108" s="14" t="n">
        <f aca="false">ROUND(IF(E108=0,IF((D108+N108-O108)&lt;0,ABS(D108+N108-O108),0),IF((N108-E108-O108)&lt;0,ABS(N108-E108-O108),0)),2)</f>
        <v>0</v>
      </c>
    </row>
    <row r="109" customFormat="false" ht="15" hidden="false" customHeight="true" outlineLevel="0" collapsed="false">
      <c r="A109" s="12" t="s">
        <v>323</v>
      </c>
      <c r="B109" s="12" t="str">
        <f aca="false">березень!B109</f>
        <v>Чернова Н.І.</v>
      </c>
      <c r="C109" s="12" t="s">
        <v>325</v>
      </c>
      <c r="D109" s="14" t="n">
        <f aca="false">березень!P109</f>
        <v>13508.57</v>
      </c>
      <c r="E109" s="14" t="n">
        <f aca="false">березень!Q109</f>
        <v>0</v>
      </c>
      <c r="F109" s="13" t="n">
        <f aca="false">березень!F109</f>
        <v>0</v>
      </c>
      <c r="G109" s="13" t="n">
        <f aca="false">березень!G109</f>
        <v>66.29</v>
      </c>
      <c r="H109" s="13" t="n">
        <f aca="false">березень!H109</f>
        <v>0</v>
      </c>
      <c r="I109" s="13" t="n">
        <f aca="false">березень!I109</f>
        <v>4.1</v>
      </c>
      <c r="J109" s="14" t="n">
        <f aca="false">ROUND(G109*I109,2)</f>
        <v>271.79</v>
      </c>
      <c r="K109" s="14"/>
      <c r="L109" s="14"/>
      <c r="M109" s="14"/>
      <c r="N109" s="14" t="n">
        <f aca="false">ROUND((G109*I109)-K109-L109-M109,2)</f>
        <v>271.79</v>
      </c>
      <c r="O109" s="14"/>
      <c r="P109" s="14" t="n">
        <f aca="false">ROUND(IF(D109=0,IF((N109-E109-O109)&gt;0,(N109-E109-O109),0),IF((D109+N109-O109)&gt;0,(D109+N109-O109),0)),2)</f>
        <v>13780.36</v>
      </c>
      <c r="Q109" s="14" t="n">
        <f aca="false">ROUND(IF(E109=0,IF((D109+N109-O109)&lt;0,ABS(D109+N109-O109),0),IF((N109-E109-O109)&lt;0,ABS(N109-E109-O109),0)),2)</f>
        <v>0</v>
      </c>
    </row>
    <row r="110" customFormat="false" ht="15" hidden="false" customHeight="true" outlineLevel="0" collapsed="false">
      <c r="A110" s="12" t="s">
        <v>326</v>
      </c>
      <c r="B110" s="12" t="str">
        <f aca="false">березень!B110</f>
        <v>Кошева Н.П</v>
      </c>
      <c r="C110" s="12" t="s">
        <v>328</v>
      </c>
      <c r="D110" s="14" t="n">
        <f aca="false">березень!P110</f>
        <v>9864</v>
      </c>
      <c r="E110" s="14" t="n">
        <f aca="false">березень!Q110</f>
        <v>0</v>
      </c>
      <c r="F110" s="13" t="n">
        <f aca="false">березень!F110</f>
        <v>0</v>
      </c>
      <c r="G110" s="13" t="n">
        <f aca="false">березень!G110</f>
        <v>50</v>
      </c>
      <c r="H110" s="13" t="n">
        <f aca="false">березень!H110</f>
        <v>0</v>
      </c>
      <c r="I110" s="13" t="n">
        <f aca="false">березень!I110</f>
        <v>4.1</v>
      </c>
      <c r="J110" s="14" t="n">
        <f aca="false">ROUND(G110*I110,2)</f>
        <v>205</v>
      </c>
      <c r="K110" s="14"/>
      <c r="L110" s="14"/>
      <c r="M110" s="14"/>
      <c r="N110" s="14" t="n">
        <f aca="false">ROUND((G110*I110)-K110-L110-M110,2)</f>
        <v>205</v>
      </c>
      <c r="O110" s="14"/>
      <c r="P110" s="14" t="n">
        <f aca="false">ROUND(IF(D110=0,IF((N110-E110-O110)&gt;0,(N110-E110-O110),0),IF((D110+N110-O110)&gt;0,(D110+N110-O110),0)),2)</f>
        <v>10069</v>
      </c>
      <c r="Q110" s="14" t="n">
        <f aca="false">ROUND(IF(E110=0,IF((D110+N110-O110)&lt;0,ABS(D110+N110-O110),0),IF((N110-E110-O110)&lt;0,ABS(N110-E110-O110),0)),2)</f>
        <v>0</v>
      </c>
    </row>
    <row r="111" customFormat="false" ht="15" hidden="false" customHeight="true" outlineLevel="0" collapsed="false">
      <c r="A111" s="12" t="s">
        <v>329</v>
      </c>
      <c r="B111" s="12" t="str">
        <f aca="false">березень!B111</f>
        <v>Уривський Д.Б.</v>
      </c>
      <c r="C111" s="12" t="s">
        <v>331</v>
      </c>
      <c r="D111" s="14" t="n">
        <f aca="false">березень!P111</f>
        <v>7251.59</v>
      </c>
      <c r="E111" s="14" t="n">
        <f aca="false">березень!Q111</f>
        <v>0</v>
      </c>
      <c r="F111" s="13" t="n">
        <f aca="false">березень!F111</f>
        <v>0</v>
      </c>
      <c r="G111" s="13" t="n">
        <f aca="false">березень!G111</f>
        <v>35</v>
      </c>
      <c r="H111" s="13" t="n">
        <f aca="false">березень!H111</f>
        <v>0</v>
      </c>
      <c r="I111" s="13" t="n">
        <f aca="false">березень!I111</f>
        <v>4.1</v>
      </c>
      <c r="J111" s="14" t="n">
        <f aca="false">ROUND(G111*I111,2)</f>
        <v>143.5</v>
      </c>
      <c r="K111" s="14"/>
      <c r="L111" s="14"/>
      <c r="M111" s="14"/>
      <c r="N111" s="14" t="n">
        <f aca="false">ROUND((G111*I111)-K111-L111-M111,2)</f>
        <v>143.5</v>
      </c>
      <c r="O111" s="14"/>
      <c r="P111" s="14" t="n">
        <f aca="false">ROUND(IF(D111=0,IF((N111-E111-O111)&gt;0,(N111-E111-O111),0),IF((D111+N111-O111)&gt;0,(D111+N111-O111),0)),2)</f>
        <v>7395.09</v>
      </c>
      <c r="Q111" s="14" t="n">
        <f aca="false">ROUND(IF(E111=0,IF((D111+N111-O111)&lt;0,ABS(D111+N111-O111),0),IF((N111-E111-O111)&lt;0,ABS(N111-E111-O111),0)),2)</f>
        <v>0</v>
      </c>
    </row>
    <row r="112" customFormat="false" ht="15" hidden="false" customHeight="true" outlineLevel="0" collapsed="false">
      <c r="A112" s="12" t="s">
        <v>332</v>
      </c>
      <c r="B112" s="12" t="str">
        <f aca="false">березень!B112</f>
        <v>АДПСУ (Чорноморець В.М.)</v>
      </c>
      <c r="C112" s="12" t="s">
        <v>334</v>
      </c>
      <c r="D112" s="14" t="n">
        <f aca="false">березень!P112</f>
        <v>3757.65</v>
      </c>
      <c r="E112" s="14" t="n">
        <f aca="false">березень!Q112</f>
        <v>0</v>
      </c>
      <c r="F112" s="13" t="n">
        <f aca="false">березень!F112</f>
        <v>0</v>
      </c>
      <c r="G112" s="13" t="n">
        <f aca="false">березень!G112</f>
        <v>61.1</v>
      </c>
      <c r="H112" s="13" t="n">
        <f aca="false">березень!H112</f>
        <v>0</v>
      </c>
      <c r="I112" s="13" t="n">
        <f aca="false">березень!I112</f>
        <v>4.1</v>
      </c>
      <c r="J112" s="14" t="n">
        <f aca="false">ROUND(G112*I112,2)</f>
        <v>250.51</v>
      </c>
      <c r="K112" s="14"/>
      <c r="L112" s="14"/>
      <c r="M112" s="14"/>
      <c r="N112" s="14" t="n">
        <f aca="false">ROUND((G112*I112)-K112-L112-M112,2)</f>
        <v>250.51</v>
      </c>
      <c r="O112" s="14"/>
      <c r="P112" s="14" t="n">
        <f aca="false">ROUND(IF(D112=0,IF((N112-E112-O112)&gt;0,(N112-E112-O112),0),IF((D112+N112-O112)&gt;0,(D112+N112-O112),0)),2)</f>
        <v>4008.16</v>
      </c>
      <c r="Q112" s="14" t="n">
        <f aca="false">ROUND(IF(E112=0,IF((D112+N112-O112)&lt;0,ABS(D112+N112-O112),0),IF((N112-E112-O112)&lt;0,ABS(N112-E112-O112),0)),2)</f>
        <v>0</v>
      </c>
    </row>
    <row r="113" customFormat="false" ht="15" hidden="false" customHeight="true" outlineLevel="0" collapsed="false">
      <c r="A113" s="12" t="s">
        <v>335</v>
      </c>
      <c r="B113" s="12" t="str">
        <f aca="false">березень!B113</f>
        <v>Дмитренко Г.В.</v>
      </c>
      <c r="C113" s="12" t="s">
        <v>337</v>
      </c>
      <c r="D113" s="14" t="n">
        <f aca="false">березень!P113</f>
        <v>12283.92</v>
      </c>
      <c r="E113" s="14" t="n">
        <f aca="false">березень!Q113</f>
        <v>0</v>
      </c>
      <c r="F113" s="13" t="n">
        <f aca="false">березень!F113</f>
        <v>0</v>
      </c>
      <c r="G113" s="13" t="n">
        <f aca="false">березень!G113</f>
        <v>64.89</v>
      </c>
      <c r="H113" s="13" t="n">
        <f aca="false">березень!H113</f>
        <v>0</v>
      </c>
      <c r="I113" s="13" t="n">
        <f aca="false">березень!I113</f>
        <v>4.1</v>
      </c>
      <c r="J113" s="14" t="n">
        <f aca="false">ROUND(G113*I113,2)</f>
        <v>266.05</v>
      </c>
      <c r="K113" s="14"/>
      <c r="L113" s="14"/>
      <c r="M113" s="14"/>
      <c r="N113" s="14" t="n">
        <f aca="false">ROUND((G113*I113)-K113-L113-M113,2)</f>
        <v>266.05</v>
      </c>
      <c r="O113" s="14"/>
      <c r="P113" s="14" t="n">
        <f aca="false">ROUND(IF(D113=0,IF((N113-E113-O113)&gt;0,(N113-E113-O113),0),IF((D113+N113-O113)&gt;0,(D113+N113-O113),0)),2)</f>
        <v>12549.97</v>
      </c>
      <c r="Q113" s="14" t="n">
        <f aca="false">ROUND(IF(E113=0,IF((D113+N113-O113)&lt;0,ABS(D113+N113-O113),0),IF((N113-E113-O113)&lt;0,ABS(N113-E113-O113),0)),2)</f>
        <v>0</v>
      </c>
    </row>
    <row r="114" customFormat="false" ht="15" hidden="false" customHeight="true" outlineLevel="0" collapsed="false">
      <c r="A114" s="12" t="s">
        <v>338</v>
      </c>
      <c r="B114" s="12" t="str">
        <f aca="false">березень!B114</f>
        <v>Номерова Т.В.</v>
      </c>
      <c r="C114" s="12" t="s">
        <v>340</v>
      </c>
      <c r="D114" s="14" t="n">
        <f aca="false">березень!P114</f>
        <v>409.52</v>
      </c>
      <c r="E114" s="14" t="n">
        <f aca="false">березень!Q114</f>
        <v>0</v>
      </c>
      <c r="F114" s="13" t="n">
        <f aca="false">березень!F114</f>
        <v>0</v>
      </c>
      <c r="G114" s="13" t="n">
        <f aca="false">березень!G114</f>
        <v>49.96</v>
      </c>
      <c r="H114" s="13" t="n">
        <f aca="false">березень!H114</f>
        <v>0</v>
      </c>
      <c r="I114" s="13" t="n">
        <f aca="false">березень!I114</f>
        <v>4.1</v>
      </c>
      <c r="J114" s="14" t="n">
        <f aca="false">ROUND(G114*I114,2)</f>
        <v>204.84</v>
      </c>
      <c r="K114" s="14"/>
      <c r="L114" s="14"/>
      <c r="M114" s="14"/>
      <c r="N114" s="14" t="n">
        <f aca="false">ROUND((G114*I114)-K114-L114-M114,2)</f>
        <v>204.84</v>
      </c>
      <c r="O114" s="14"/>
      <c r="P114" s="14" t="n">
        <f aca="false">ROUND(IF(D114=0,IF((N114-E114-O114)&gt;0,(N114-E114-O114),0),IF((D114+N114-O114)&gt;0,(D114+N114-O114),0)),2)</f>
        <v>614.36</v>
      </c>
      <c r="Q114" s="14" t="n">
        <f aca="false">ROUND(IF(E114=0,IF((D114+N114-O114)&lt;0,ABS(D114+N114-O114),0),IF((N114-E114-O114)&lt;0,ABS(N114-E114-O114),0)),2)</f>
        <v>0</v>
      </c>
    </row>
    <row r="115" customFormat="false" ht="15" hidden="false" customHeight="true" outlineLevel="0" collapsed="false">
      <c r="A115" s="12" t="s">
        <v>341</v>
      </c>
      <c r="B115" s="12" t="str">
        <f aca="false">березень!B115</f>
        <v>Самойлова О.В.</v>
      </c>
      <c r="C115" s="12" t="s">
        <v>343</v>
      </c>
      <c r="D115" s="14" t="n">
        <f aca="false">березень!P115</f>
        <v>424.35</v>
      </c>
      <c r="E115" s="14" t="n">
        <f aca="false">березень!Q115</f>
        <v>0</v>
      </c>
      <c r="F115" s="13" t="n">
        <f aca="false">березень!F115</f>
        <v>0</v>
      </c>
      <c r="G115" s="13" t="n">
        <f aca="false">березень!G115</f>
        <v>34.5</v>
      </c>
      <c r="H115" s="13" t="n">
        <f aca="false">березень!H115</f>
        <v>0</v>
      </c>
      <c r="I115" s="13" t="n">
        <f aca="false">березень!I115</f>
        <v>4.1</v>
      </c>
      <c r="J115" s="14" t="n">
        <f aca="false">ROUND(G115*I115,2)</f>
        <v>141.45</v>
      </c>
      <c r="K115" s="14"/>
      <c r="L115" s="14"/>
      <c r="M115" s="14"/>
      <c r="N115" s="14" t="n">
        <f aca="false">ROUND((G115*I115)-K115-L115-M115,2)</f>
        <v>141.45</v>
      </c>
      <c r="O115" s="14"/>
      <c r="P115" s="14" t="n">
        <f aca="false">ROUND(IF(D115=0,IF((N115-E115-O115)&gt;0,(N115-E115-O115),0),IF((D115+N115-O115)&gt;0,(D115+N115-O115),0)),2)</f>
        <v>565.8</v>
      </c>
      <c r="Q115" s="14" t="n">
        <f aca="false">ROUND(IF(E115=0,IF((D115+N115-O115)&lt;0,ABS(D115+N115-O115),0),IF((N115-E115-O115)&lt;0,ABS(N115-E115-O115),0)),2)</f>
        <v>0</v>
      </c>
    </row>
    <row r="116" customFormat="false" ht="15" hidden="false" customHeight="true" outlineLevel="0" collapsed="false">
      <c r="A116" s="12" t="s">
        <v>344</v>
      </c>
      <c r="B116" s="12" t="str">
        <f aca="false">березень!B116</f>
        <v>Випенко О.І.</v>
      </c>
      <c r="C116" s="12" t="s">
        <v>346</v>
      </c>
      <c r="D116" s="14" t="n">
        <f aca="false">березень!P116</f>
        <v>15914.71</v>
      </c>
      <c r="E116" s="14" t="n">
        <f aca="false">березень!Q116</f>
        <v>0</v>
      </c>
      <c r="F116" s="13" t="n">
        <f aca="false">березень!F116</f>
        <v>0</v>
      </c>
      <c r="G116" s="13" t="n">
        <f aca="false">березень!G116</f>
        <v>62.9</v>
      </c>
      <c r="H116" s="13" t="n">
        <f aca="false">березень!H116</f>
        <v>0</v>
      </c>
      <c r="I116" s="13" t="n">
        <f aca="false">березень!I116</f>
        <v>4.1</v>
      </c>
      <c r="J116" s="14" t="n">
        <f aca="false">ROUND(G116*I116,2)</f>
        <v>257.89</v>
      </c>
      <c r="K116" s="14"/>
      <c r="L116" s="14"/>
      <c r="M116" s="14"/>
      <c r="N116" s="14" t="n">
        <f aca="false">ROUND((G116*I116)-K116-L116-M116,2)</f>
        <v>257.89</v>
      </c>
      <c r="O116" s="14"/>
      <c r="P116" s="14" t="n">
        <f aca="false">ROUND(IF(D116=0,IF((N116-E116-O116)&gt;0,(N116-E116-O116),0),IF((D116+N116-O116)&gt;0,(D116+N116-O116),0)),2)</f>
        <v>16172.6</v>
      </c>
      <c r="Q116" s="14" t="n">
        <f aca="false">ROUND(IF(E116=0,IF((D116+N116-O116)&lt;0,ABS(D116+N116-O116),0),IF((N116-E116-O116)&lt;0,ABS(N116-E116-O116),0)),2)</f>
        <v>0</v>
      </c>
    </row>
    <row r="117" customFormat="false" ht="15" hidden="false" customHeight="true" outlineLevel="0" collapsed="false">
      <c r="A117" s="12" t="s">
        <v>347</v>
      </c>
      <c r="B117" s="12" t="str">
        <f aca="false">березень!B117</f>
        <v>Саприкін Ю.О.</v>
      </c>
      <c r="C117" s="12" t="s">
        <v>349</v>
      </c>
      <c r="D117" s="14" t="n">
        <f aca="false">березень!P117</f>
        <v>1594.08</v>
      </c>
      <c r="E117" s="14" t="n">
        <f aca="false">березень!Q117</f>
        <v>0</v>
      </c>
      <c r="F117" s="13" t="n">
        <f aca="false">березень!F117</f>
        <v>0</v>
      </c>
      <c r="G117" s="13" t="n">
        <f aca="false">березень!G117</f>
        <v>97.2</v>
      </c>
      <c r="H117" s="13" t="n">
        <f aca="false">березень!H117</f>
        <v>0</v>
      </c>
      <c r="I117" s="13" t="n">
        <f aca="false">березень!I117</f>
        <v>4.1</v>
      </c>
      <c r="J117" s="14" t="n">
        <f aca="false">ROUND(G117*I117,2)</f>
        <v>398.52</v>
      </c>
      <c r="K117" s="14"/>
      <c r="L117" s="14"/>
      <c r="M117" s="14"/>
      <c r="N117" s="14" t="n">
        <f aca="false">ROUND((G117*I117)-K117-L117-M117,2)</f>
        <v>398.52</v>
      </c>
      <c r="O117" s="14"/>
      <c r="P117" s="14" t="n">
        <f aca="false">ROUND(IF(D117=0,IF((N117-E117-O117)&gt;0,(N117-E117-O117),0),IF((D117+N117-O117)&gt;0,(D117+N117-O117),0)),2)</f>
        <v>1992.6</v>
      </c>
      <c r="Q117" s="14" t="n">
        <f aca="false">ROUND(IF(E117=0,IF((D117+N117-O117)&lt;0,ABS(D117+N117-O117),0),IF((N117-E117-O117)&lt;0,ABS(N117-E117-O117),0)),2)</f>
        <v>0</v>
      </c>
    </row>
    <row r="118" customFormat="false" ht="15" hidden="false" customHeight="true" outlineLevel="0" collapsed="false">
      <c r="A118" s="12" t="s">
        <v>350</v>
      </c>
      <c r="B118" s="12" t="str">
        <f aca="false">березень!B118</f>
        <v>Мовчан В.М.</v>
      </c>
      <c r="C118" s="12" t="s">
        <v>352</v>
      </c>
      <c r="D118" s="14" t="n">
        <f aca="false">березень!P118</f>
        <v>599.64</v>
      </c>
      <c r="E118" s="14" t="n">
        <f aca="false">березень!Q118</f>
        <v>0</v>
      </c>
      <c r="F118" s="13" t="n">
        <f aca="false">березень!F118</f>
        <v>0</v>
      </c>
      <c r="G118" s="13" t="n">
        <f aca="false">березень!G118</f>
        <v>48.75</v>
      </c>
      <c r="H118" s="13" t="n">
        <f aca="false">березень!H118</f>
        <v>0</v>
      </c>
      <c r="I118" s="13" t="n">
        <f aca="false">березень!I118</f>
        <v>4.1</v>
      </c>
      <c r="J118" s="14" t="n">
        <f aca="false">ROUND(G118*I118,2)</f>
        <v>199.88</v>
      </c>
      <c r="K118" s="14"/>
      <c r="L118" s="14"/>
      <c r="M118" s="14"/>
      <c r="N118" s="14" t="n">
        <f aca="false">ROUND((G118*I118)-K118-L118-M118,2)</f>
        <v>199.88</v>
      </c>
      <c r="O118" s="14"/>
      <c r="P118" s="14" t="n">
        <f aca="false">ROUND(IF(D118=0,IF((N118-E118-O118)&gt;0,(N118-E118-O118),0),IF((D118+N118-O118)&gt;0,(D118+N118-O118),0)),2)</f>
        <v>799.52</v>
      </c>
      <c r="Q118" s="14" t="n">
        <f aca="false">ROUND(IF(E118=0,IF((D118+N118-O118)&lt;0,ABS(D118+N118-O118),0),IF((N118-E118-O118)&lt;0,ABS(N118-E118-O118),0)),2)</f>
        <v>0</v>
      </c>
    </row>
    <row r="119" customFormat="false" ht="15" hidden="false" customHeight="true" outlineLevel="0" collapsed="false">
      <c r="A119" s="12" t="s">
        <v>353</v>
      </c>
      <c r="B119" s="12" t="str">
        <f aca="false">березень!B119</f>
        <v>Величко Н.М.</v>
      </c>
      <c r="C119" s="12" t="s">
        <v>355</v>
      </c>
      <c r="D119" s="14" t="n">
        <f aca="false">березень!P119</f>
        <v>965.54</v>
      </c>
      <c r="E119" s="14" t="n">
        <f aca="false">березень!Q119</f>
        <v>0</v>
      </c>
      <c r="F119" s="13" t="n">
        <f aca="false">березень!F119</f>
        <v>0</v>
      </c>
      <c r="G119" s="13" t="n">
        <f aca="false">березень!G119</f>
        <v>63.8</v>
      </c>
      <c r="H119" s="13" t="n">
        <f aca="false">березень!H119</f>
        <v>0</v>
      </c>
      <c r="I119" s="13" t="n">
        <f aca="false">березень!I119</f>
        <v>4.1</v>
      </c>
      <c r="J119" s="14" t="n">
        <f aca="false">ROUND(G119*I119,2)</f>
        <v>261.58</v>
      </c>
      <c r="K119" s="14"/>
      <c r="L119" s="14"/>
      <c r="M119" s="14"/>
      <c r="N119" s="14" t="n">
        <f aca="false">ROUND((G119*I119)-K119-L119-M119,2)</f>
        <v>261.58</v>
      </c>
      <c r="O119" s="14"/>
      <c r="P119" s="14" t="n">
        <f aca="false">ROUND(IF(D119=0,IF((N119-E119-O119)&gt;0,(N119-E119-O119),0),IF((D119+N119-O119)&gt;0,(D119+N119-O119),0)),2)</f>
        <v>1227.12</v>
      </c>
      <c r="Q119" s="14" t="n">
        <f aca="false">ROUND(IF(E119=0,IF((D119+N119-O119)&lt;0,ABS(D119+N119-O119),0),IF((N119-E119-O119)&lt;0,ABS(N119-E119-O119),0)),2)</f>
        <v>0</v>
      </c>
    </row>
    <row r="120" customFormat="false" ht="15" hidden="false" customHeight="true" outlineLevel="0" collapsed="false">
      <c r="A120" s="12" t="s">
        <v>356</v>
      </c>
      <c r="B120" s="12" t="str">
        <f aca="false">березень!B120</f>
        <v>Бухлов С.В.</v>
      </c>
      <c r="C120" s="12" t="s">
        <v>358</v>
      </c>
      <c r="D120" s="14" t="n">
        <f aca="false">березень!P120</f>
        <v>18004.23</v>
      </c>
      <c r="E120" s="14" t="n">
        <f aca="false">березень!Q120</f>
        <v>0</v>
      </c>
      <c r="F120" s="13" t="n">
        <f aca="false">березень!F120</f>
        <v>0</v>
      </c>
      <c r="G120" s="13" t="n">
        <f aca="false">березень!G120</f>
        <v>62.6</v>
      </c>
      <c r="H120" s="13" t="n">
        <f aca="false">березень!H120</f>
        <v>0</v>
      </c>
      <c r="I120" s="13" t="n">
        <f aca="false">березень!I120</f>
        <v>4.1</v>
      </c>
      <c r="J120" s="14" t="n">
        <f aca="false">ROUND(G120*I120,2)</f>
        <v>256.66</v>
      </c>
      <c r="K120" s="14"/>
      <c r="L120" s="14"/>
      <c r="M120" s="14"/>
      <c r="N120" s="14" t="n">
        <f aca="false">ROUND((G120*I120)-K120-L120-M120,2)</f>
        <v>256.66</v>
      </c>
      <c r="O120" s="14"/>
      <c r="P120" s="14" t="n">
        <f aca="false">ROUND(IF(D120=0,IF((N120-E120-O120)&gt;0,(N120-E120-O120),0),IF((D120+N120-O120)&gt;0,(D120+N120-O120),0)),2)</f>
        <v>18260.89</v>
      </c>
      <c r="Q120" s="14" t="n">
        <f aca="false">ROUND(IF(E120=0,IF((D120+N120-O120)&lt;0,ABS(D120+N120-O120),0),IF((N120-E120-O120)&lt;0,ABS(N120-E120-O120),0)),2)</f>
        <v>0</v>
      </c>
    </row>
    <row r="121" customFormat="false" ht="15" hidden="false" customHeight="true" outlineLevel="0" collapsed="false">
      <c r="A121" s="12" t="s">
        <v>359</v>
      </c>
      <c r="B121" s="12" t="str">
        <f aca="false">березень!B121</f>
        <v>Перепеліцина Т.Ю.</v>
      </c>
      <c r="C121" s="12" t="s">
        <v>361</v>
      </c>
      <c r="D121" s="14" t="n">
        <f aca="false">березень!P121</f>
        <v>2830</v>
      </c>
      <c r="E121" s="14" t="n">
        <f aca="false">березень!Q121</f>
        <v>0</v>
      </c>
      <c r="F121" s="13" t="n">
        <f aca="false">березень!F121</f>
        <v>0</v>
      </c>
      <c r="G121" s="13" t="n">
        <f aca="false">березень!G121</f>
        <v>34.7</v>
      </c>
      <c r="H121" s="13" t="n">
        <f aca="false">березень!H121</f>
        <v>0</v>
      </c>
      <c r="I121" s="13" t="n">
        <f aca="false">березень!I121</f>
        <v>4.1</v>
      </c>
      <c r="J121" s="14" t="n">
        <f aca="false">ROUND(G121*I121,2)</f>
        <v>142.27</v>
      </c>
      <c r="K121" s="14"/>
      <c r="L121" s="14"/>
      <c r="M121" s="14"/>
      <c r="N121" s="14" t="n">
        <f aca="false">ROUND((G121*I121)-K121-L121-M121,2)</f>
        <v>142.27</v>
      </c>
      <c r="O121" s="14"/>
      <c r="P121" s="14" t="n">
        <f aca="false">ROUND(IF(D121=0,IF((N121-E121-O121)&gt;0,(N121-E121-O121),0),IF((D121+N121-O121)&gt;0,(D121+N121-O121),0)),2)</f>
        <v>2972.27</v>
      </c>
      <c r="Q121" s="14" t="n">
        <f aca="false">ROUND(IF(E121=0,IF((D121+N121-O121)&lt;0,ABS(D121+N121-O121),0),IF((N121-E121-O121)&lt;0,ABS(N121-E121-O121),0)),2)</f>
        <v>0</v>
      </c>
    </row>
    <row r="122" customFormat="false" ht="15" hidden="false" customHeight="true" outlineLevel="0" collapsed="false">
      <c r="A122" s="12" t="s">
        <v>362</v>
      </c>
      <c r="B122" s="12" t="str">
        <f aca="false">березень!B122</f>
        <v>Свєтлова Т.Ю.</v>
      </c>
      <c r="C122" s="12" t="s">
        <v>364</v>
      </c>
      <c r="D122" s="14" t="n">
        <f aca="false">березень!P122</f>
        <v>3851.75</v>
      </c>
      <c r="E122" s="14" t="n">
        <f aca="false">березень!Q122</f>
        <v>0</v>
      </c>
      <c r="F122" s="13" t="n">
        <f aca="false">березень!F122</f>
        <v>0</v>
      </c>
      <c r="G122" s="13" t="n">
        <f aca="false">березень!G122</f>
        <v>49.72</v>
      </c>
      <c r="H122" s="13" t="n">
        <f aca="false">березень!H122</f>
        <v>0</v>
      </c>
      <c r="I122" s="13" t="n">
        <f aca="false">березень!I122</f>
        <v>4.1</v>
      </c>
      <c r="J122" s="14" t="n">
        <f aca="false">ROUND(G122*I122,2)</f>
        <v>203.85</v>
      </c>
      <c r="K122" s="14"/>
      <c r="L122" s="14"/>
      <c r="M122" s="14"/>
      <c r="N122" s="14" t="n">
        <f aca="false">ROUND((G122*I122)-K122-L122-M122,2)</f>
        <v>203.85</v>
      </c>
      <c r="O122" s="14"/>
      <c r="P122" s="14" t="n">
        <f aca="false">ROUND(IF(D122=0,IF((N122-E122-O122)&gt;0,(N122-E122-O122),0),IF((D122+N122-O122)&gt;0,(D122+N122-O122),0)),2)</f>
        <v>4055.6</v>
      </c>
      <c r="Q122" s="14" t="n">
        <f aca="false">ROUND(IF(E122=0,IF((D122+N122-O122)&lt;0,ABS(D122+N122-O122),0),IF((N122-E122-O122)&lt;0,ABS(N122-E122-O122),0)),2)</f>
        <v>0</v>
      </c>
    </row>
    <row r="123" customFormat="false" ht="15" hidden="false" customHeight="true" outlineLevel="0" collapsed="false">
      <c r="A123" s="12" t="s">
        <v>365</v>
      </c>
      <c r="B123" s="12" t="str">
        <f aca="false">березень!B123</f>
        <v>Маркова О.М.</v>
      </c>
      <c r="C123" s="12" t="s">
        <v>367</v>
      </c>
      <c r="D123" s="14" t="n">
        <f aca="false">березень!P123</f>
        <v>852.19</v>
      </c>
      <c r="E123" s="14" t="n">
        <f aca="false">березень!Q123</f>
        <v>0</v>
      </c>
      <c r="F123" s="13" t="n">
        <f aca="false">березень!F123</f>
        <v>0</v>
      </c>
      <c r="G123" s="13" t="n">
        <f aca="false">березень!G123</f>
        <v>65.1</v>
      </c>
      <c r="H123" s="13" t="n">
        <f aca="false">березень!H123</f>
        <v>0</v>
      </c>
      <c r="I123" s="13" t="n">
        <f aca="false">березень!I123</f>
        <v>4.1</v>
      </c>
      <c r="J123" s="14" t="n">
        <f aca="false">ROUND(G123*I123,2)</f>
        <v>266.91</v>
      </c>
      <c r="K123" s="14"/>
      <c r="L123" s="14"/>
      <c r="M123" s="14"/>
      <c r="N123" s="14" t="n">
        <f aca="false">ROUND((G123*I123)-K123-L123-M123,2)</f>
        <v>266.91</v>
      </c>
      <c r="O123" s="14"/>
      <c r="P123" s="14" t="n">
        <f aca="false">ROUND(IF(D123=0,IF((N123-E123-O123)&gt;0,(N123-E123-O123),0),IF((D123+N123-O123)&gt;0,(D123+N123-O123),0)),2)</f>
        <v>1119.1</v>
      </c>
      <c r="Q123" s="14" t="n">
        <f aca="false">ROUND(IF(E123=0,IF((D123+N123-O123)&lt;0,ABS(D123+N123-O123),0),IF((N123-E123-O123)&lt;0,ABS(N123-E123-O123),0)),2)</f>
        <v>0</v>
      </c>
    </row>
    <row r="124" customFormat="false" ht="15" hidden="false" customHeight="true" outlineLevel="0" collapsed="false">
      <c r="A124" s="12" t="s">
        <v>368</v>
      </c>
      <c r="B124" s="12" t="str">
        <f aca="false">березень!B124</f>
        <v>Ракитська А.М.</v>
      </c>
      <c r="C124" s="12" t="s">
        <v>370</v>
      </c>
      <c r="D124" s="14" t="n">
        <f aca="false">березень!P124</f>
        <v>757.5</v>
      </c>
      <c r="E124" s="14" t="n">
        <f aca="false">березень!Q124</f>
        <v>0</v>
      </c>
      <c r="F124" s="13" t="n">
        <f aca="false">березень!F124</f>
        <v>0</v>
      </c>
      <c r="G124" s="13" t="n">
        <f aca="false">березень!G124</f>
        <v>62.18</v>
      </c>
      <c r="H124" s="13" t="n">
        <f aca="false">березень!H124</f>
        <v>0</v>
      </c>
      <c r="I124" s="13" t="n">
        <f aca="false">березень!I124</f>
        <v>4.1</v>
      </c>
      <c r="J124" s="14" t="n">
        <f aca="false">ROUND(G124*I124,2)</f>
        <v>254.94</v>
      </c>
      <c r="K124" s="14"/>
      <c r="L124" s="14"/>
      <c r="M124" s="14"/>
      <c r="N124" s="14" t="n">
        <f aca="false">ROUND((G124*I124)-K124-L124-M124,2)</f>
        <v>254.94</v>
      </c>
      <c r="O124" s="14"/>
      <c r="P124" s="14" t="n">
        <f aca="false">ROUND(IF(D124=0,IF((N124-E124-O124)&gt;0,(N124-E124-O124),0),IF((D124+N124-O124)&gt;0,(D124+N124-O124),0)),2)</f>
        <v>1012.44</v>
      </c>
      <c r="Q124" s="14" t="n">
        <f aca="false">ROUND(IF(E124=0,IF((D124+N124-O124)&lt;0,ABS(D124+N124-O124),0),IF((N124-E124-O124)&lt;0,ABS(N124-E124-O124),0)),2)</f>
        <v>0</v>
      </c>
    </row>
    <row r="125" customFormat="false" ht="15" hidden="false" customHeight="true" outlineLevel="0" collapsed="false">
      <c r="A125" s="12" t="s">
        <v>371</v>
      </c>
      <c r="B125" s="12" t="str">
        <f aca="false">березень!B125</f>
        <v>Гусак К.С.</v>
      </c>
      <c r="C125" s="12" t="s">
        <v>373</v>
      </c>
      <c r="D125" s="14" t="n">
        <f aca="false">березень!P125</f>
        <v>7112.73</v>
      </c>
      <c r="E125" s="14" t="n">
        <f aca="false">березень!Q125</f>
        <v>0</v>
      </c>
      <c r="F125" s="13" t="n">
        <f aca="false">березень!F125</f>
        <v>0</v>
      </c>
      <c r="G125" s="13" t="n">
        <f aca="false">березень!G125</f>
        <v>35.1</v>
      </c>
      <c r="H125" s="13" t="n">
        <f aca="false">березень!H125</f>
        <v>0</v>
      </c>
      <c r="I125" s="13" t="n">
        <f aca="false">березень!I125</f>
        <v>4.1</v>
      </c>
      <c r="J125" s="14" t="n">
        <f aca="false">ROUND(G125*I125,2)</f>
        <v>143.91</v>
      </c>
      <c r="K125" s="14"/>
      <c r="L125" s="14"/>
      <c r="M125" s="14"/>
      <c r="N125" s="14" t="n">
        <f aca="false">ROUND((G125*I125)-K125-L125-M125,2)</f>
        <v>143.91</v>
      </c>
      <c r="O125" s="14"/>
      <c r="P125" s="14" t="n">
        <f aca="false">ROUND(IF(D125=0,IF((N125-E125-O125)&gt;0,(N125-E125-O125),0),IF((D125+N125-O125)&gt;0,(D125+N125-O125),0)),2)</f>
        <v>7256.64</v>
      </c>
      <c r="Q125" s="14" t="n">
        <f aca="false">ROUND(IF(E125=0,IF((D125+N125-O125)&lt;0,ABS(D125+N125-O125),0),IF((N125-E125-O125)&lt;0,ABS(N125-E125-O125),0)),2)</f>
        <v>0</v>
      </c>
    </row>
    <row r="126" customFormat="false" ht="15" hidden="false" customHeight="true" outlineLevel="0" collapsed="false">
      <c r="A126" s="12" t="s">
        <v>374</v>
      </c>
      <c r="B126" s="12" t="str">
        <f aca="false">березень!B126</f>
        <v>Пісоченко М.Г.</v>
      </c>
      <c r="C126" s="12" t="s">
        <v>376</v>
      </c>
      <c r="D126" s="14" t="n">
        <f aca="false">березень!P126</f>
        <v>816.72</v>
      </c>
      <c r="E126" s="14" t="n">
        <f aca="false">березень!Q126</f>
        <v>0</v>
      </c>
      <c r="F126" s="13" t="n">
        <f aca="false">березень!F126</f>
        <v>0</v>
      </c>
      <c r="G126" s="13" t="n">
        <f aca="false">березень!G126</f>
        <v>49.8</v>
      </c>
      <c r="H126" s="13" t="n">
        <f aca="false">березень!H126</f>
        <v>0</v>
      </c>
      <c r="I126" s="13" t="n">
        <f aca="false">березень!I126</f>
        <v>4.1</v>
      </c>
      <c r="J126" s="14" t="n">
        <f aca="false">ROUND(G126*I126,2)</f>
        <v>204.18</v>
      </c>
      <c r="K126" s="14"/>
      <c r="L126" s="14"/>
      <c r="M126" s="14"/>
      <c r="N126" s="14" t="n">
        <f aca="false">ROUND((G126*I126)-K126-L126-M126,2)</f>
        <v>204.18</v>
      </c>
      <c r="O126" s="14"/>
      <c r="P126" s="14" t="n">
        <f aca="false">ROUND(IF(D126=0,IF((N126-E126-O126)&gt;0,(N126-E126-O126),0),IF((D126+N126-O126)&gt;0,(D126+N126-O126),0)),2)</f>
        <v>1020.9</v>
      </c>
      <c r="Q126" s="14" t="n">
        <f aca="false">ROUND(IF(E126=0,IF((D126+N126-O126)&lt;0,ABS(D126+N126-O126),0),IF((N126-E126-O126)&lt;0,ABS(N126-E126-O126),0)),2)</f>
        <v>0</v>
      </c>
    </row>
    <row r="127" customFormat="false" ht="15" hidden="false" customHeight="true" outlineLevel="0" collapsed="false">
      <c r="A127" s="12" t="s">
        <v>377</v>
      </c>
      <c r="B127" s="12" t="str">
        <f aca="false">березень!B127</f>
        <v>Столяр О.М.</v>
      </c>
      <c r="C127" s="12" t="s">
        <v>379</v>
      </c>
      <c r="D127" s="14" t="n">
        <f aca="false">березень!P127</f>
        <v>3748.22</v>
      </c>
      <c r="E127" s="14" t="n">
        <f aca="false">березень!Q127</f>
        <v>0</v>
      </c>
      <c r="F127" s="13" t="n">
        <f aca="false">березень!F127</f>
        <v>0</v>
      </c>
      <c r="G127" s="13" t="n">
        <f aca="false">березень!G127</f>
        <v>65.3</v>
      </c>
      <c r="H127" s="13" t="n">
        <f aca="false">березень!H127</f>
        <v>0</v>
      </c>
      <c r="I127" s="13" t="n">
        <f aca="false">березень!I127</f>
        <v>4.1</v>
      </c>
      <c r="J127" s="14" t="n">
        <f aca="false">ROUND(G127*I127,2)</f>
        <v>267.73</v>
      </c>
      <c r="K127" s="14"/>
      <c r="L127" s="14"/>
      <c r="M127" s="14"/>
      <c r="N127" s="14" t="n">
        <f aca="false">ROUND((G127*I127)-K127-L127-M127,2)</f>
        <v>267.73</v>
      </c>
      <c r="O127" s="14"/>
      <c r="P127" s="14" t="n">
        <f aca="false">ROUND(IF(D127=0,IF((N127-E127-O127)&gt;0,(N127-E127-O127),0),IF((D127+N127-O127)&gt;0,(D127+N127-O127),0)),2)</f>
        <v>4015.95</v>
      </c>
      <c r="Q127" s="14" t="n">
        <f aca="false">ROUND(IF(E127=0,IF((D127+N127-O127)&lt;0,ABS(D127+N127-O127),0),IF((N127-E127-O127)&lt;0,ABS(N127-E127-O127),0)),2)</f>
        <v>0</v>
      </c>
    </row>
    <row r="128" customFormat="false" ht="15" hidden="false" customHeight="true" outlineLevel="0" collapsed="false">
      <c r="A128" s="12" t="s">
        <v>380</v>
      </c>
      <c r="B128" s="12" t="str">
        <f aca="false">березень!B128</f>
        <v>Рєзніков В.П.</v>
      </c>
      <c r="C128" s="12" t="s">
        <v>382</v>
      </c>
      <c r="D128" s="14" t="n">
        <f aca="false">березень!P128</f>
        <v>444.69</v>
      </c>
      <c r="E128" s="14" t="n">
        <f aca="false">березень!Q128</f>
        <v>0</v>
      </c>
      <c r="F128" s="13" t="n">
        <f aca="false">березень!F128</f>
        <v>0</v>
      </c>
      <c r="G128" s="13" t="n">
        <f aca="false">березень!G128</f>
        <v>62.44</v>
      </c>
      <c r="H128" s="13" t="n">
        <f aca="false">березень!H128</f>
        <v>0</v>
      </c>
      <c r="I128" s="13" t="n">
        <f aca="false">березень!I128</f>
        <v>4.1</v>
      </c>
      <c r="J128" s="14" t="n">
        <f aca="false">ROUND(G128*I128,2)</f>
        <v>256</v>
      </c>
      <c r="K128" s="14"/>
      <c r="L128" s="14"/>
      <c r="M128" s="14"/>
      <c r="N128" s="14" t="n">
        <f aca="false">ROUND((G128*I128)-K128-L128-M128,2)</f>
        <v>256</v>
      </c>
      <c r="O128" s="14"/>
      <c r="P128" s="14" t="n">
        <f aca="false">ROUND(IF(D128=0,IF((N128-E128-O128)&gt;0,(N128-E128-O128),0),IF((D128+N128-O128)&gt;0,(D128+N128-O128),0)),2)</f>
        <v>700.69</v>
      </c>
      <c r="Q128" s="14" t="n">
        <f aca="false">ROUND(IF(E128=0,IF((D128+N128-O128)&lt;0,ABS(D128+N128-O128),0),IF((N128-E128-O128)&lt;0,ABS(N128-E128-O128),0)),2)</f>
        <v>0</v>
      </c>
    </row>
    <row r="129" customFormat="false" ht="15" hidden="false" customHeight="true" outlineLevel="0" collapsed="false">
      <c r="A129" s="12" t="s">
        <v>383</v>
      </c>
      <c r="B129" s="12" t="str">
        <f aca="false">березень!B129</f>
        <v>Золотоверха Я.І.</v>
      </c>
      <c r="C129" s="12" t="s">
        <v>385</v>
      </c>
      <c r="D129" s="14" t="n">
        <f aca="false">березень!P129</f>
        <v>437.88</v>
      </c>
      <c r="E129" s="14" t="n">
        <f aca="false">березень!Q129</f>
        <v>0</v>
      </c>
      <c r="F129" s="13" t="n">
        <f aca="false">березень!F129</f>
        <v>0</v>
      </c>
      <c r="G129" s="13" t="n">
        <f aca="false">березень!G129</f>
        <v>35.6</v>
      </c>
      <c r="H129" s="13" t="n">
        <f aca="false">березень!H129</f>
        <v>0</v>
      </c>
      <c r="I129" s="13" t="n">
        <f aca="false">березень!I129</f>
        <v>4.1</v>
      </c>
      <c r="J129" s="14" t="n">
        <f aca="false">ROUND(G129*I129,2)</f>
        <v>145.96</v>
      </c>
      <c r="K129" s="14"/>
      <c r="L129" s="14"/>
      <c r="M129" s="14"/>
      <c r="N129" s="14" t="n">
        <f aca="false">ROUND((G129*I129)-K129-L129-M129,2)</f>
        <v>145.96</v>
      </c>
      <c r="O129" s="14"/>
      <c r="P129" s="14" t="n">
        <f aca="false">ROUND(IF(D129=0,IF((N129-E129-O129)&gt;0,(N129-E129-O129),0),IF((D129+N129-O129)&gt;0,(D129+N129-O129),0)),2)</f>
        <v>583.84</v>
      </c>
      <c r="Q129" s="14" t="n">
        <f aca="false">ROUND(IF(E129=0,IF((D129+N129-O129)&lt;0,ABS(D129+N129-O129),0),IF((N129-E129-O129)&lt;0,ABS(N129-E129-O129),0)),2)</f>
        <v>0</v>
      </c>
    </row>
    <row r="130" customFormat="false" ht="15" hidden="false" customHeight="true" outlineLevel="0" collapsed="false">
      <c r="A130" s="12" t="s">
        <v>386</v>
      </c>
      <c r="B130" s="12" t="str">
        <f aca="false">березень!B130</f>
        <v>Бурлаков А.В.</v>
      </c>
      <c r="C130" s="12" t="s">
        <v>388</v>
      </c>
      <c r="D130" s="14" t="n">
        <f aca="false">березень!P130</f>
        <v>814.85</v>
      </c>
      <c r="E130" s="14" t="n">
        <f aca="false">березень!Q130</f>
        <v>0</v>
      </c>
      <c r="F130" s="13" t="n">
        <f aca="false">березень!F130</f>
        <v>0</v>
      </c>
      <c r="G130" s="13" t="n">
        <f aca="false">березень!G130</f>
        <v>49.7</v>
      </c>
      <c r="H130" s="13" t="n">
        <f aca="false">березень!H130</f>
        <v>0</v>
      </c>
      <c r="I130" s="13" t="n">
        <f aca="false">березень!I130</f>
        <v>4.1</v>
      </c>
      <c r="J130" s="14" t="n">
        <f aca="false">ROUND(G130*I130,2)</f>
        <v>203.77</v>
      </c>
      <c r="K130" s="14"/>
      <c r="L130" s="14"/>
      <c r="M130" s="14"/>
      <c r="N130" s="14" t="n">
        <f aca="false">ROUND((G130*I130)-K130-L130-M130,2)</f>
        <v>203.77</v>
      </c>
      <c r="O130" s="14"/>
      <c r="P130" s="14" t="n">
        <f aca="false">ROUND(IF(D130=0,IF((N130-E130-O130)&gt;0,(N130-E130-O130),0),IF((D130+N130-O130)&gt;0,(D130+N130-O130),0)),2)</f>
        <v>1018.62</v>
      </c>
      <c r="Q130" s="14" t="n">
        <f aca="false">ROUND(IF(E130=0,IF((D130+N130-O130)&lt;0,ABS(D130+N130-O130),0),IF((N130-E130-O130)&lt;0,ABS(N130-E130-O130),0)),2)</f>
        <v>0</v>
      </c>
    </row>
    <row r="131" customFormat="false" ht="15" hidden="false" customHeight="true" outlineLevel="0" collapsed="false">
      <c r="A131" s="12" t="s">
        <v>389</v>
      </c>
      <c r="B131" s="12" t="str">
        <f aca="false">березень!B131</f>
        <v>Сикула О.Ю.</v>
      </c>
      <c r="C131" s="12" t="s">
        <v>391</v>
      </c>
      <c r="D131" s="14" t="n">
        <f aca="false">березень!P131</f>
        <v>4801.36</v>
      </c>
      <c r="E131" s="14" t="n">
        <f aca="false">березень!Q131</f>
        <v>0</v>
      </c>
      <c r="F131" s="13" t="n">
        <f aca="false">березень!F131</f>
        <v>0</v>
      </c>
      <c r="G131" s="13" t="n">
        <f aca="false">березень!G131</f>
        <v>65.15</v>
      </c>
      <c r="H131" s="13" t="n">
        <f aca="false">березень!H131</f>
        <v>0</v>
      </c>
      <c r="I131" s="13" t="n">
        <f aca="false">березень!I131</f>
        <v>4.1</v>
      </c>
      <c r="J131" s="14" t="n">
        <f aca="false">ROUND(G131*I131,2)</f>
        <v>267.12</v>
      </c>
      <c r="K131" s="14"/>
      <c r="L131" s="14"/>
      <c r="M131" s="14"/>
      <c r="N131" s="14" t="n">
        <f aca="false">ROUND((G131*I131)-K131-L131-M131,2)</f>
        <v>267.12</v>
      </c>
      <c r="O131" s="14"/>
      <c r="P131" s="14" t="n">
        <f aca="false">ROUND(IF(D131=0,IF((N131-E131-O131)&gt;0,(N131-E131-O131),0),IF((D131+N131-O131)&gt;0,(D131+N131-O131),0)),2)</f>
        <v>5068.48</v>
      </c>
      <c r="Q131" s="14" t="n">
        <f aca="false">ROUND(IF(E131=0,IF((D131+N131-O131)&lt;0,ABS(D131+N131-O131),0),IF((N131-E131-O131)&lt;0,ABS(N131-E131-O131),0)),2)</f>
        <v>0</v>
      </c>
    </row>
    <row r="132" customFormat="false" ht="15" hidden="false" customHeight="true" outlineLevel="0" collapsed="false">
      <c r="A132" s="12" t="s">
        <v>392</v>
      </c>
      <c r="B132" s="12" t="str">
        <f aca="false">березень!B132</f>
        <v>Арістов О.О.</v>
      </c>
      <c r="C132" s="12" t="s">
        <v>394</v>
      </c>
      <c r="D132" s="14" t="n">
        <f aca="false">березень!P132</f>
        <v>1033.2</v>
      </c>
      <c r="E132" s="14" t="n">
        <f aca="false">березень!Q132</f>
        <v>0</v>
      </c>
      <c r="F132" s="13" t="n">
        <f aca="false">березень!F132</f>
        <v>0</v>
      </c>
      <c r="G132" s="13" t="n">
        <f aca="false">березень!G132</f>
        <v>63</v>
      </c>
      <c r="H132" s="13" t="n">
        <f aca="false">березень!H132</f>
        <v>0</v>
      </c>
      <c r="I132" s="13" t="n">
        <f aca="false">березень!I132</f>
        <v>4.1</v>
      </c>
      <c r="J132" s="14" t="n">
        <f aca="false">ROUND(G132*I132,2)</f>
        <v>258.3</v>
      </c>
      <c r="K132" s="14"/>
      <c r="L132" s="14"/>
      <c r="M132" s="14"/>
      <c r="N132" s="14" t="n">
        <f aca="false">ROUND((G132*I132)-K132-L132-M132,2)</f>
        <v>258.3</v>
      </c>
      <c r="O132" s="14"/>
      <c r="P132" s="14" t="n">
        <f aca="false">ROUND(IF(D132=0,IF((N132-E132-O132)&gt;0,(N132-E132-O132),0),IF((D132+N132-O132)&gt;0,(D132+N132-O132),0)),2)</f>
        <v>1291.5</v>
      </c>
      <c r="Q132" s="14" t="n">
        <f aca="false">ROUND(IF(E132=0,IF((D132+N132-O132)&lt;0,ABS(D132+N132-O132),0),IF((N132-E132-O132)&lt;0,ABS(N132-E132-O132),0)),2)</f>
        <v>0</v>
      </c>
    </row>
    <row r="133" customFormat="false" ht="15" hidden="false" customHeight="true" outlineLevel="0" collapsed="false">
      <c r="A133" s="12" t="s">
        <v>395</v>
      </c>
      <c r="B133" s="12" t="str">
        <f aca="false">березень!B133</f>
        <v>Бондаренко Т.О.</v>
      </c>
      <c r="C133" s="12" t="s">
        <v>397</v>
      </c>
      <c r="D133" s="14" t="n">
        <f aca="false">березень!P133</f>
        <v>426.81</v>
      </c>
      <c r="E133" s="14" t="n">
        <f aca="false">березень!Q133</f>
        <v>0</v>
      </c>
      <c r="F133" s="13" t="n">
        <f aca="false">березень!F133</f>
        <v>0</v>
      </c>
      <c r="G133" s="13" t="n">
        <f aca="false">березень!G133</f>
        <v>34.7</v>
      </c>
      <c r="H133" s="13" t="n">
        <f aca="false">березень!H133</f>
        <v>0</v>
      </c>
      <c r="I133" s="13" t="n">
        <f aca="false">березень!I133</f>
        <v>4.1</v>
      </c>
      <c r="J133" s="14" t="n">
        <f aca="false">ROUND(G133*I133,2)</f>
        <v>142.27</v>
      </c>
      <c r="K133" s="14"/>
      <c r="L133" s="14"/>
      <c r="M133" s="14"/>
      <c r="N133" s="14" t="n">
        <f aca="false">ROUND((G133*I133)-K133-L133-M133,2)</f>
        <v>142.27</v>
      </c>
      <c r="O133" s="14"/>
      <c r="P133" s="14" t="n">
        <f aca="false">ROUND(IF(D133=0,IF((N133-E133-O133)&gt;0,(N133-E133-O133),0),IF((D133+N133-O133)&gt;0,(D133+N133-O133),0)),2)</f>
        <v>569.08</v>
      </c>
      <c r="Q133" s="14" t="n">
        <f aca="false">ROUND(IF(E133=0,IF((D133+N133-O133)&lt;0,ABS(D133+N133-O133),0),IF((N133-E133-O133)&lt;0,ABS(N133-E133-O133),0)),2)</f>
        <v>0</v>
      </c>
    </row>
    <row r="134" customFormat="false" ht="15" hidden="false" customHeight="true" outlineLevel="0" collapsed="false">
      <c r="A134" s="12" t="s">
        <v>398</v>
      </c>
      <c r="B134" s="12" t="str">
        <f aca="false">березень!B134</f>
        <v>Гайчев П.В.</v>
      </c>
      <c r="C134" s="12" t="s">
        <v>400</v>
      </c>
      <c r="D134" s="14" t="n">
        <f aca="false">березень!P134</f>
        <v>806.88</v>
      </c>
      <c r="E134" s="14" t="n">
        <f aca="false">березень!Q134</f>
        <v>0</v>
      </c>
      <c r="F134" s="13" t="n">
        <f aca="false">березень!F134</f>
        <v>0</v>
      </c>
      <c r="G134" s="13" t="n">
        <f aca="false">березень!G134</f>
        <v>49.2</v>
      </c>
      <c r="H134" s="13" t="n">
        <f aca="false">березень!H134</f>
        <v>0</v>
      </c>
      <c r="I134" s="13" t="n">
        <f aca="false">березень!I134</f>
        <v>4.1</v>
      </c>
      <c r="J134" s="14" t="n">
        <f aca="false">ROUND(G134*I134,2)</f>
        <v>201.72</v>
      </c>
      <c r="K134" s="14"/>
      <c r="L134" s="14"/>
      <c r="M134" s="14"/>
      <c r="N134" s="14" t="n">
        <f aca="false">ROUND((G134*I134)-K134-L134-M134,2)</f>
        <v>201.72</v>
      </c>
      <c r="O134" s="14"/>
      <c r="P134" s="14" t="n">
        <f aca="false">ROUND(IF(D134=0,IF((N134-E134-O134)&gt;0,(N134-E134-O134),0),IF((D134+N134-O134)&gt;0,(D134+N134-O134),0)),2)</f>
        <v>1008.6</v>
      </c>
      <c r="Q134" s="14" t="n">
        <f aca="false">ROUND(IF(E134=0,IF((D134+N134-O134)&lt;0,ABS(D134+N134-O134),0),IF((N134-E134-O134)&lt;0,ABS(N134-E134-O134),0)),2)</f>
        <v>0</v>
      </c>
    </row>
    <row r="135" customFormat="false" ht="15" hidden="false" customHeight="true" outlineLevel="0" collapsed="false">
      <c r="A135" s="12" t="s">
        <v>401</v>
      </c>
      <c r="B135" s="12" t="str">
        <f aca="false">березень!B135</f>
        <v>Радченко О.С.</v>
      </c>
      <c r="C135" s="12" t="s">
        <v>403</v>
      </c>
      <c r="D135" s="14" t="n">
        <f aca="false">березень!P135</f>
        <v>801.36</v>
      </c>
      <c r="E135" s="14" t="n">
        <f aca="false">березень!Q135</f>
        <v>0</v>
      </c>
      <c r="F135" s="13" t="n">
        <f aca="false">березень!F135</f>
        <v>0</v>
      </c>
      <c r="G135" s="13" t="n">
        <f aca="false">березень!G135</f>
        <v>65.15</v>
      </c>
      <c r="H135" s="13" t="n">
        <f aca="false">березень!H135</f>
        <v>0</v>
      </c>
      <c r="I135" s="13" t="n">
        <f aca="false">березень!I135</f>
        <v>4.1</v>
      </c>
      <c r="J135" s="14" t="n">
        <f aca="false">ROUND(G135*I135,2)</f>
        <v>267.12</v>
      </c>
      <c r="K135" s="14"/>
      <c r="L135" s="14"/>
      <c r="M135" s="14"/>
      <c r="N135" s="14" t="n">
        <f aca="false">ROUND((G135*I135)-K135-L135-M135,2)</f>
        <v>267.12</v>
      </c>
      <c r="O135" s="14"/>
      <c r="P135" s="14" t="n">
        <f aca="false">ROUND(IF(D135=0,IF((N135-E135-O135)&gt;0,(N135-E135-O135),0),IF((D135+N135-O135)&gt;0,(D135+N135-O135),0)),2)</f>
        <v>1068.48</v>
      </c>
      <c r="Q135" s="14" t="n">
        <f aca="false">ROUND(IF(E135=0,IF((D135+N135-O135)&lt;0,ABS(D135+N135-O135),0),IF((N135-E135-O135)&lt;0,ABS(N135-E135-O135),0)),2)</f>
        <v>0</v>
      </c>
    </row>
    <row r="136" customFormat="false" ht="15" hidden="false" customHeight="true" outlineLevel="0" collapsed="false">
      <c r="A136" s="12" t="s">
        <v>404</v>
      </c>
      <c r="B136" s="12" t="str">
        <f aca="false">березень!B136</f>
        <v>Шилін С.М.</v>
      </c>
      <c r="C136" s="12" t="s">
        <v>406</v>
      </c>
      <c r="D136" s="14" t="n">
        <f aca="false">березень!P136</f>
        <v>2271.6</v>
      </c>
      <c r="E136" s="14" t="n">
        <f aca="false">березень!Q136</f>
        <v>0</v>
      </c>
      <c r="F136" s="13" t="n">
        <f aca="false">березень!F136</f>
        <v>0</v>
      </c>
      <c r="G136" s="13" t="n">
        <f aca="false">березень!G136</f>
        <v>62.3</v>
      </c>
      <c r="H136" s="13" t="n">
        <f aca="false">березень!H136</f>
        <v>0</v>
      </c>
      <c r="I136" s="13" t="n">
        <f aca="false">березень!I136</f>
        <v>4.1</v>
      </c>
      <c r="J136" s="14" t="n">
        <f aca="false">ROUND(G136*I136,2)</f>
        <v>255.43</v>
      </c>
      <c r="K136" s="14"/>
      <c r="L136" s="14"/>
      <c r="M136" s="14"/>
      <c r="N136" s="14" t="n">
        <f aca="false">ROUND((G136*I136)-K136-L136-M136,2)</f>
        <v>255.43</v>
      </c>
      <c r="O136" s="14"/>
      <c r="P136" s="14" t="n">
        <f aca="false">ROUND(IF(D136=0,IF((N136-E136-O136)&gt;0,(N136-E136-O136),0),IF((D136+N136-O136)&gt;0,(D136+N136-O136),0)),2)</f>
        <v>2527.03</v>
      </c>
      <c r="Q136" s="14" t="n">
        <f aca="false">ROUND(IF(E136=0,IF((D136+N136-O136)&lt;0,ABS(D136+N136-O136),0),IF((N136-E136-O136)&lt;0,ABS(N136-E136-O136),0)),2)</f>
        <v>0</v>
      </c>
    </row>
    <row r="137" customFormat="false" ht="15" hidden="false" customHeight="true" outlineLevel="0" collapsed="false">
      <c r="A137" s="12" t="s">
        <v>407</v>
      </c>
      <c r="B137" s="12" t="str">
        <f aca="false">березень!B137</f>
        <v>Корякін Л.М.</v>
      </c>
      <c r="C137" s="12" t="s">
        <v>409</v>
      </c>
      <c r="D137" s="14" t="n">
        <f aca="false">березень!P137</f>
        <v>1957.73</v>
      </c>
      <c r="E137" s="14" t="n">
        <f aca="false">березень!Q137</f>
        <v>0</v>
      </c>
      <c r="F137" s="13" t="n">
        <f aca="false">березень!F137</f>
        <v>0</v>
      </c>
      <c r="G137" s="13" t="n">
        <f aca="false">березень!G137</f>
        <v>35.3</v>
      </c>
      <c r="H137" s="13" t="n">
        <f aca="false">березень!H137</f>
        <v>0</v>
      </c>
      <c r="I137" s="13" t="n">
        <f aca="false">березень!I137</f>
        <v>4.1</v>
      </c>
      <c r="J137" s="14" t="n">
        <f aca="false">ROUND(G137*I137,2)</f>
        <v>144.73</v>
      </c>
      <c r="K137" s="14"/>
      <c r="L137" s="14"/>
      <c r="M137" s="14"/>
      <c r="N137" s="14" t="n">
        <f aca="false">ROUND((G137*I137)-K137-L137-M137,2)</f>
        <v>144.73</v>
      </c>
      <c r="O137" s="14"/>
      <c r="P137" s="14" t="n">
        <f aca="false">ROUND(IF(D137=0,IF((N137-E137-O137)&gt;0,(N137-E137-O137),0),IF((D137+N137-O137)&gt;0,(D137+N137-O137),0)),2)</f>
        <v>2102.46</v>
      </c>
      <c r="Q137" s="14" t="n">
        <f aca="false">ROUND(IF(E137=0,IF((D137+N137-O137)&lt;0,ABS(D137+N137-O137),0),IF((N137-E137-O137)&lt;0,ABS(N137-E137-O137),0)),2)</f>
        <v>0</v>
      </c>
    </row>
    <row r="138" customFormat="false" ht="15" hidden="false" customHeight="true" outlineLevel="0" collapsed="false">
      <c r="A138" s="12" t="s">
        <v>410</v>
      </c>
      <c r="B138" s="12" t="str">
        <f aca="false">березень!B138</f>
        <v>Кривошеєва Л.М.</v>
      </c>
      <c r="C138" s="12" t="s">
        <v>412</v>
      </c>
      <c r="D138" s="14" t="n">
        <f aca="false">березень!P138</f>
        <v>3112.32</v>
      </c>
      <c r="E138" s="14" t="n">
        <f aca="false">березень!Q138</f>
        <v>0</v>
      </c>
      <c r="F138" s="13" t="n">
        <f aca="false">березень!F138</f>
        <v>0</v>
      </c>
      <c r="G138" s="13" t="n">
        <f aca="false">березень!G138</f>
        <v>49.78</v>
      </c>
      <c r="H138" s="13" t="n">
        <f aca="false">березень!H138</f>
        <v>0</v>
      </c>
      <c r="I138" s="13" t="n">
        <f aca="false">березень!I138</f>
        <v>4.1</v>
      </c>
      <c r="J138" s="14" t="n">
        <f aca="false">ROUND(G138*I138,2)</f>
        <v>204.1</v>
      </c>
      <c r="K138" s="14"/>
      <c r="L138" s="14"/>
      <c r="M138" s="14"/>
      <c r="N138" s="14" t="n">
        <f aca="false">ROUND((G138*I138)-K138-L138-M138,2)</f>
        <v>204.1</v>
      </c>
      <c r="O138" s="14"/>
      <c r="P138" s="14" t="n">
        <f aca="false">ROUND(IF(D138=0,IF((N138-E138-O138)&gt;0,(N138-E138-O138),0),IF((D138+N138-O138)&gt;0,(D138+N138-O138),0)),2)</f>
        <v>3316.42</v>
      </c>
      <c r="Q138" s="14" t="n">
        <f aca="false">ROUND(IF(E138=0,IF((D138+N138-O138)&lt;0,ABS(D138+N138-O138),0),IF((N138-E138-O138)&lt;0,ABS(N138-E138-O138),0)),2)</f>
        <v>0</v>
      </c>
    </row>
    <row r="139" customFormat="false" ht="15" hidden="false" customHeight="true" outlineLevel="0" collapsed="false">
      <c r="A139" s="12" t="s">
        <v>413</v>
      </c>
      <c r="B139" s="12" t="str">
        <f aca="false">березень!B139</f>
        <v>Харченко І.С.</v>
      </c>
      <c r="C139" s="12" t="s">
        <v>415</v>
      </c>
      <c r="D139" s="14" t="n">
        <f aca="false">березень!P139</f>
        <v>533.86</v>
      </c>
      <c r="E139" s="14" t="n">
        <f aca="false">березень!Q139</f>
        <v>0</v>
      </c>
      <c r="F139" s="13" t="n">
        <f aca="false">березень!F139</f>
        <v>0</v>
      </c>
      <c r="G139" s="13" t="n">
        <f aca="false">березень!G139</f>
        <v>65.93</v>
      </c>
      <c r="H139" s="13" t="n">
        <f aca="false">березень!H139</f>
        <v>0</v>
      </c>
      <c r="I139" s="13" t="n">
        <f aca="false">березень!I139</f>
        <v>4.1</v>
      </c>
      <c r="J139" s="14" t="n">
        <f aca="false">ROUND(G139*I139,2)</f>
        <v>270.31</v>
      </c>
      <c r="K139" s="14"/>
      <c r="L139" s="14"/>
      <c r="M139" s="14"/>
      <c r="N139" s="14" t="n">
        <f aca="false">ROUND((G139*I139)-K139-L139-M139,2)</f>
        <v>270.31</v>
      </c>
      <c r="O139" s="14"/>
      <c r="P139" s="14" t="n">
        <f aca="false">ROUND(IF(D139=0,IF((N139-E139-O139)&gt;0,(N139-E139-O139),0),IF((D139+N139-O139)&gt;0,(D139+N139-O139),0)),2)</f>
        <v>804.17</v>
      </c>
      <c r="Q139" s="14" t="n">
        <f aca="false">ROUND(IF(E139=0,IF((D139+N139-O139)&lt;0,ABS(D139+N139-O139),0),IF((N139-E139-O139)&lt;0,ABS(N139-E139-O139),0)),2)</f>
        <v>0</v>
      </c>
    </row>
    <row r="140" customFormat="false" ht="15" hidden="false" customHeight="true" outlineLevel="0" collapsed="false">
      <c r="A140" s="12" t="s">
        <v>416</v>
      </c>
      <c r="B140" s="12" t="str">
        <f aca="false">березень!B140</f>
        <v>Куриленко І.О.</v>
      </c>
      <c r="C140" s="12" t="s">
        <v>418</v>
      </c>
      <c r="D140" s="14" t="n">
        <f aca="false">березень!P140</f>
        <v>511.36</v>
      </c>
      <c r="E140" s="14" t="n">
        <f aca="false">березень!Q140</f>
        <v>0</v>
      </c>
      <c r="F140" s="13" t="n">
        <f aca="false">березень!F140</f>
        <v>0</v>
      </c>
      <c r="G140" s="13" t="n">
        <f aca="false">березень!G140</f>
        <v>62.36</v>
      </c>
      <c r="H140" s="13" t="n">
        <f aca="false">березень!H140</f>
        <v>0</v>
      </c>
      <c r="I140" s="13" t="n">
        <f aca="false">березень!I140</f>
        <v>4.1</v>
      </c>
      <c r="J140" s="14" t="n">
        <f aca="false">ROUND(G140*I140,2)</f>
        <v>255.68</v>
      </c>
      <c r="K140" s="14"/>
      <c r="L140" s="14"/>
      <c r="M140" s="14"/>
      <c r="N140" s="14" t="n">
        <f aca="false">ROUND((G140*I140)-K140-L140-M140,2)</f>
        <v>255.68</v>
      </c>
      <c r="O140" s="14"/>
      <c r="P140" s="14" t="n">
        <f aca="false">ROUND(IF(D140=0,IF((N140-E140-O140)&gt;0,(N140-E140-O140),0),IF((D140+N140-O140)&gt;0,(D140+N140-O140),0)),2)</f>
        <v>767.04</v>
      </c>
      <c r="Q140" s="14" t="n">
        <f aca="false">ROUND(IF(E140=0,IF((D140+N140-O140)&lt;0,ABS(D140+N140-O140),0),IF((N140-E140-O140)&lt;0,ABS(N140-E140-O140),0)),2)</f>
        <v>0</v>
      </c>
    </row>
    <row r="141" customFormat="false" ht="15" hidden="false" customHeight="true" outlineLevel="0" collapsed="false">
      <c r="A141" s="12" t="s">
        <v>419</v>
      </c>
      <c r="B141" s="12" t="str">
        <f aca="false">березень!B141</f>
        <v>Єлсукова В.М.</v>
      </c>
      <c r="C141" s="12" t="s">
        <v>421</v>
      </c>
      <c r="D141" s="14" t="n">
        <f aca="false">березень!P141</f>
        <v>7339.41</v>
      </c>
      <c r="E141" s="14" t="n">
        <f aca="false">березень!Q141</f>
        <v>0</v>
      </c>
      <c r="F141" s="13" t="n">
        <f aca="false">березень!F141</f>
        <v>0</v>
      </c>
      <c r="G141" s="13" t="n">
        <f aca="false">березень!G141</f>
        <v>35.1</v>
      </c>
      <c r="H141" s="13" t="n">
        <f aca="false">березень!H141</f>
        <v>0</v>
      </c>
      <c r="I141" s="13" t="n">
        <f aca="false">березень!I141</f>
        <v>4.1</v>
      </c>
      <c r="J141" s="14" t="n">
        <f aca="false">ROUND(G141*I141,2)</f>
        <v>143.91</v>
      </c>
      <c r="K141" s="14"/>
      <c r="L141" s="14"/>
      <c r="M141" s="14"/>
      <c r="N141" s="14" t="n">
        <f aca="false">ROUND((G141*I141)-K141-L141-M141,2)</f>
        <v>143.91</v>
      </c>
      <c r="O141" s="14"/>
      <c r="P141" s="14" t="n">
        <f aca="false">ROUND(IF(D141=0,IF((N141-E141-O141)&gt;0,(N141-E141-O141),0),IF((D141+N141-O141)&gt;0,(D141+N141-O141),0)),2)</f>
        <v>7483.32</v>
      </c>
      <c r="Q141" s="14" t="n">
        <f aca="false">ROUND(IF(E141=0,IF((D141+N141-O141)&lt;0,ABS(D141+N141-O141),0),IF((N141-E141-O141)&lt;0,ABS(N141-E141-O141),0)),2)</f>
        <v>0</v>
      </c>
    </row>
    <row r="142" customFormat="false" ht="15" hidden="false" customHeight="true" outlineLevel="0" collapsed="false">
      <c r="A142" s="12" t="s">
        <v>422</v>
      </c>
      <c r="B142" s="12" t="str">
        <f aca="false">березень!B142</f>
        <v>Пімонова М.В.</v>
      </c>
      <c r="C142" s="12" t="s">
        <v>424</v>
      </c>
      <c r="D142" s="14" t="n">
        <f aca="false">березень!P142</f>
        <v>8883</v>
      </c>
      <c r="E142" s="14" t="n">
        <f aca="false">березень!Q142</f>
        <v>0</v>
      </c>
      <c r="F142" s="13" t="n">
        <f aca="false">березень!F142</f>
        <v>0</v>
      </c>
      <c r="G142" s="13" t="n">
        <f aca="false">березень!G142</f>
        <v>49.47</v>
      </c>
      <c r="H142" s="13" t="n">
        <f aca="false">березень!H142</f>
        <v>0</v>
      </c>
      <c r="I142" s="13" t="n">
        <f aca="false">березень!I142</f>
        <v>4.1</v>
      </c>
      <c r="J142" s="14" t="n">
        <f aca="false">ROUND(G142*I142,2)</f>
        <v>202.83</v>
      </c>
      <c r="K142" s="14"/>
      <c r="L142" s="14"/>
      <c r="M142" s="14"/>
      <c r="N142" s="14" t="n">
        <f aca="false">ROUND((G142*I142)-K142-L142-M142,2)</f>
        <v>202.83</v>
      </c>
      <c r="O142" s="14"/>
      <c r="P142" s="14" t="n">
        <f aca="false">ROUND(IF(D142=0,IF((N142-E142-O142)&gt;0,(N142-E142-O142),0),IF((D142+N142-O142)&gt;0,(D142+N142-O142),0)),2)</f>
        <v>9085.83</v>
      </c>
      <c r="Q142" s="14" t="n">
        <f aca="false">ROUND(IF(E142=0,IF((D142+N142-O142)&lt;0,ABS(D142+N142-O142),0),IF((N142-E142-O142)&lt;0,ABS(N142-E142-O142),0)),2)</f>
        <v>0</v>
      </c>
    </row>
    <row r="143" customFormat="false" ht="15" hidden="false" customHeight="true" outlineLevel="0" collapsed="false">
      <c r="A143" s="12" t="s">
        <v>425</v>
      </c>
      <c r="B143" s="12" t="str">
        <f aca="false">березень!B143</f>
        <v>Осипенко В.В.</v>
      </c>
      <c r="C143" s="12" t="s">
        <v>427</v>
      </c>
      <c r="D143" s="14" t="n">
        <f aca="false">березень!P143</f>
        <v>11572.5</v>
      </c>
      <c r="E143" s="14" t="n">
        <f aca="false">березень!Q143</f>
        <v>0</v>
      </c>
      <c r="F143" s="13" t="n">
        <f aca="false">березень!F143</f>
        <v>0</v>
      </c>
      <c r="G143" s="13" t="n">
        <f aca="false">березень!G143</f>
        <v>65.65</v>
      </c>
      <c r="H143" s="13" t="n">
        <f aca="false">березень!H143</f>
        <v>0</v>
      </c>
      <c r="I143" s="13" t="n">
        <f aca="false">березень!I143</f>
        <v>4.1</v>
      </c>
      <c r="J143" s="14" t="n">
        <f aca="false">ROUND(G143*I143,2)</f>
        <v>269.17</v>
      </c>
      <c r="K143" s="14"/>
      <c r="L143" s="14"/>
      <c r="M143" s="14"/>
      <c r="N143" s="14" t="n">
        <f aca="false">ROUND((G143*I143)-K143-L143-M143,2)</f>
        <v>269.17</v>
      </c>
      <c r="O143" s="14"/>
      <c r="P143" s="14" t="n">
        <f aca="false">ROUND(IF(D143=0,IF((N143-E143-O143)&gt;0,(N143-E143-O143),0),IF((D143+N143-O143)&gt;0,(D143+N143-O143),0)),2)</f>
        <v>11841.67</v>
      </c>
      <c r="Q143" s="14" t="n">
        <f aca="false">ROUND(IF(E143=0,IF((D143+N143-O143)&lt;0,ABS(D143+N143-O143),0),IF((N143-E143-O143)&lt;0,ABS(N143-E143-O143),0)),2)</f>
        <v>0</v>
      </c>
    </row>
    <row r="144" customFormat="false" ht="15" hidden="false" customHeight="true" outlineLevel="0" collapsed="false">
      <c r="A144" s="12" t="s">
        <v>428</v>
      </c>
      <c r="B144" s="12" t="str">
        <f aca="false">березень!B144</f>
        <v>Друзь О.О.</v>
      </c>
      <c r="C144" s="12" t="s">
        <v>430</v>
      </c>
      <c r="D144" s="14" t="n">
        <f aca="false">березень!P144</f>
        <v>11711.38</v>
      </c>
      <c r="E144" s="14" t="n">
        <f aca="false">березень!Q144</f>
        <v>0</v>
      </c>
      <c r="F144" s="13" t="n">
        <f aca="false">березень!F144</f>
        <v>0</v>
      </c>
      <c r="G144" s="13" t="n">
        <f aca="false">березень!G144</f>
        <v>62.1</v>
      </c>
      <c r="H144" s="13" t="n">
        <f aca="false">березень!H144</f>
        <v>0</v>
      </c>
      <c r="I144" s="13" t="n">
        <f aca="false">березень!I144</f>
        <v>4.1</v>
      </c>
      <c r="J144" s="14" t="n">
        <f aca="false">ROUND(G144*I144,2)</f>
        <v>254.61</v>
      </c>
      <c r="K144" s="14"/>
      <c r="L144" s="14"/>
      <c r="M144" s="14"/>
      <c r="N144" s="14" t="n">
        <f aca="false">ROUND((G144*I144)-K144-L144-M144,2)</f>
        <v>254.61</v>
      </c>
      <c r="O144" s="14"/>
      <c r="P144" s="14" t="n">
        <f aca="false">ROUND(IF(D144=0,IF((N144-E144-O144)&gt;0,(N144-E144-O144),0),IF((D144+N144-O144)&gt;0,(D144+N144-O144),0)),2)</f>
        <v>11965.99</v>
      </c>
      <c r="Q144" s="14" t="n">
        <f aca="false">ROUND(IF(E144=0,IF((D144+N144-O144)&lt;0,ABS(D144+N144-O144),0),IF((N144-E144-O144)&lt;0,ABS(N144-E144-O144),0)),2)</f>
        <v>0</v>
      </c>
    </row>
    <row r="145" customFormat="false" ht="15" hidden="false" customHeight="true" outlineLevel="0" collapsed="false">
      <c r="A145" s="12" t="s">
        <v>431</v>
      </c>
      <c r="B145" s="12" t="str">
        <f aca="false">березень!B145</f>
        <v>Вовченко Р.І.</v>
      </c>
      <c r="C145" s="12" t="s">
        <v>433</v>
      </c>
      <c r="D145" s="14" t="n">
        <f aca="false">березень!P145</f>
        <v>3971.68</v>
      </c>
      <c r="E145" s="14" t="n">
        <f aca="false">березень!Q145</f>
        <v>0</v>
      </c>
      <c r="F145" s="13" t="n">
        <f aca="false">березень!F145</f>
        <v>0</v>
      </c>
      <c r="G145" s="13" t="n">
        <f aca="false">березень!G145</f>
        <v>35.2</v>
      </c>
      <c r="H145" s="13" t="n">
        <f aca="false">березень!H145</f>
        <v>0</v>
      </c>
      <c r="I145" s="13" t="n">
        <f aca="false">березень!I145</f>
        <v>4.1</v>
      </c>
      <c r="J145" s="14" t="n">
        <f aca="false">ROUND(G145*I145,2)</f>
        <v>144.32</v>
      </c>
      <c r="K145" s="14"/>
      <c r="L145" s="14"/>
      <c r="M145" s="14"/>
      <c r="N145" s="14" t="n">
        <f aca="false">ROUND((G145*I145)-K145-L145-M145,2)</f>
        <v>144.32</v>
      </c>
      <c r="O145" s="14"/>
      <c r="P145" s="14" t="n">
        <f aca="false">ROUND(IF(D145=0,IF((N145-E145-O145)&gt;0,(N145-E145-O145),0),IF((D145+N145-O145)&gt;0,(D145+N145-O145),0)),2)</f>
        <v>4116</v>
      </c>
      <c r="Q145" s="14" t="n">
        <f aca="false">ROUND(IF(E145=0,IF((D145+N145-O145)&lt;0,ABS(D145+N145-O145),0),IF((N145-E145-O145)&lt;0,ABS(N145-E145-O145),0)),2)</f>
        <v>0</v>
      </c>
    </row>
    <row r="146" customFormat="false" ht="15" hidden="false" customHeight="true" outlineLevel="0" collapsed="false">
      <c r="A146" s="12" t="s">
        <v>434</v>
      </c>
      <c r="B146" s="12" t="str">
        <f aca="false">березень!B146</f>
        <v>Плакун Д.В.</v>
      </c>
      <c r="C146" s="12" t="s">
        <v>436</v>
      </c>
      <c r="D146" s="14" t="n">
        <f aca="false">березень!P146</f>
        <v>1022.95</v>
      </c>
      <c r="E146" s="14" t="n">
        <f aca="false">березень!Q146</f>
        <v>0</v>
      </c>
      <c r="F146" s="13" t="n">
        <f aca="false">березень!F146</f>
        <v>0</v>
      </c>
      <c r="G146" s="13" t="n">
        <f aca="false">березень!G146</f>
        <v>49.9</v>
      </c>
      <c r="H146" s="13" t="n">
        <f aca="false">березень!H146</f>
        <v>0</v>
      </c>
      <c r="I146" s="13" t="n">
        <f aca="false">березень!I146</f>
        <v>4.1</v>
      </c>
      <c r="J146" s="14" t="n">
        <f aca="false">ROUND(G146*I146,2)</f>
        <v>204.59</v>
      </c>
      <c r="K146" s="14"/>
      <c r="L146" s="14"/>
      <c r="M146" s="14"/>
      <c r="N146" s="14" t="n">
        <f aca="false">ROUND((G146*I146)-K146-L146-M146,2)</f>
        <v>204.59</v>
      </c>
      <c r="O146" s="14"/>
      <c r="P146" s="14" t="n">
        <f aca="false">ROUND(IF(D146=0,IF((N146-E146-O146)&gt;0,(N146-E146-O146),0),IF((D146+N146-O146)&gt;0,(D146+N146-O146),0)),2)</f>
        <v>1227.54</v>
      </c>
      <c r="Q146" s="14" t="n">
        <f aca="false">ROUND(IF(E146=0,IF((D146+N146-O146)&lt;0,ABS(D146+N146-O146),0),IF((N146-E146-O146)&lt;0,ABS(N146-E146-O146),0)),2)</f>
        <v>0</v>
      </c>
    </row>
    <row r="147" customFormat="false" ht="15" hidden="false" customHeight="true" outlineLevel="0" collapsed="false">
      <c r="A147" s="12" t="s">
        <v>437</v>
      </c>
      <c r="B147" s="12" t="str">
        <f aca="false">березень!B147</f>
        <v>Гаврилова Ю.О.</v>
      </c>
      <c r="C147" s="12" t="s">
        <v>439</v>
      </c>
      <c r="D147" s="14" t="n">
        <f aca="false">березень!P147</f>
        <v>5445.08</v>
      </c>
      <c r="E147" s="14" t="n">
        <f aca="false">березень!Q147</f>
        <v>0</v>
      </c>
      <c r="F147" s="13" t="n">
        <f aca="false">березень!F147</f>
        <v>0</v>
      </c>
      <c r="G147" s="13" t="n">
        <f aca="false">березень!G147</f>
        <v>65.8</v>
      </c>
      <c r="H147" s="13" t="n">
        <f aca="false">березень!H147</f>
        <v>0</v>
      </c>
      <c r="I147" s="13" t="n">
        <f aca="false">березень!I147</f>
        <v>4.1</v>
      </c>
      <c r="J147" s="14" t="n">
        <f aca="false">ROUND(G147*I147,2)</f>
        <v>269.78</v>
      </c>
      <c r="K147" s="14"/>
      <c r="L147" s="14"/>
      <c r="M147" s="14"/>
      <c r="N147" s="14" t="n">
        <f aca="false">ROUND((G147*I147)-K147-L147-M147,2)</f>
        <v>269.78</v>
      </c>
      <c r="O147" s="14"/>
      <c r="P147" s="14" t="n">
        <f aca="false">ROUND(IF(D147=0,IF((N147-E147-O147)&gt;0,(N147-E147-O147),0),IF((D147+N147-O147)&gt;0,(D147+N147-O147),0)),2)</f>
        <v>5714.86</v>
      </c>
      <c r="Q147" s="14" t="n">
        <f aca="false">ROUND(IF(E147=0,IF((D147+N147-O147)&lt;0,ABS(D147+N147-O147),0),IF((N147-E147-O147)&lt;0,ABS(N147-E147-O147),0)),2)</f>
        <v>0</v>
      </c>
    </row>
    <row r="148" customFormat="false" ht="15" hidden="false" customHeight="true" outlineLevel="0" collapsed="false">
      <c r="A148" s="12" t="s">
        <v>440</v>
      </c>
      <c r="B148" s="12" t="str">
        <f aca="false">березень!B148</f>
        <v>Корзун Г.М.</v>
      </c>
      <c r="C148" s="12" t="s">
        <v>442</v>
      </c>
      <c r="D148" s="14" t="n">
        <f aca="false">березень!P148</f>
        <v>2034.2</v>
      </c>
      <c r="E148" s="14" t="n">
        <f aca="false">березень!Q148</f>
        <v>0</v>
      </c>
      <c r="F148" s="13" t="n">
        <f aca="false">березень!F148</f>
        <v>0</v>
      </c>
      <c r="G148" s="13" t="n">
        <f aca="false">березень!G148</f>
        <v>63.2</v>
      </c>
      <c r="H148" s="13" t="n">
        <f aca="false">березень!H148</f>
        <v>0</v>
      </c>
      <c r="I148" s="13" t="n">
        <f aca="false">березень!I148</f>
        <v>4.1</v>
      </c>
      <c r="J148" s="14" t="n">
        <f aca="false">ROUND(G148*I148,2)</f>
        <v>259.12</v>
      </c>
      <c r="K148" s="14"/>
      <c r="L148" s="14"/>
      <c r="M148" s="14"/>
      <c r="N148" s="14" t="n">
        <f aca="false">ROUND((G148*I148)-K148-L148-M148,2)</f>
        <v>259.12</v>
      </c>
      <c r="O148" s="14"/>
      <c r="P148" s="14" t="n">
        <f aca="false">ROUND(IF(D148=0,IF((N148-E148-O148)&gt;0,(N148-E148-O148),0),IF((D148+N148-O148)&gt;0,(D148+N148-O148),0)),2)</f>
        <v>2293.32</v>
      </c>
      <c r="Q148" s="14" t="n">
        <f aca="false">ROUND(IF(E148=0,IF((D148+N148-O148)&lt;0,ABS(D148+N148-O148),0),IF((N148-E148-O148)&lt;0,ABS(N148-E148-O148),0)),2)</f>
        <v>0</v>
      </c>
    </row>
    <row r="149" customFormat="false" ht="15" hidden="false" customHeight="true" outlineLevel="0" collapsed="false">
      <c r="A149" s="12" t="s">
        <v>443</v>
      </c>
      <c r="B149" s="12" t="str">
        <f aca="false">березень!B149</f>
        <v>Бондаренко Л.Л.</v>
      </c>
      <c r="C149" s="12" t="s">
        <v>445</v>
      </c>
      <c r="D149" s="14" t="n">
        <f aca="false">березень!P149</f>
        <v>4435.26</v>
      </c>
      <c r="E149" s="14" t="n">
        <f aca="false">березень!Q149</f>
        <v>0</v>
      </c>
      <c r="F149" s="13" t="n">
        <f aca="false">березень!F149</f>
        <v>0</v>
      </c>
      <c r="G149" s="13" t="n">
        <f aca="false">березень!G149</f>
        <v>34.9</v>
      </c>
      <c r="H149" s="13" t="n">
        <f aca="false">березень!H149</f>
        <v>0</v>
      </c>
      <c r="I149" s="13" t="n">
        <f aca="false">березень!I149</f>
        <v>4.1</v>
      </c>
      <c r="J149" s="14" t="n">
        <f aca="false">ROUND(G149*I149,2)</f>
        <v>143.09</v>
      </c>
      <c r="K149" s="14"/>
      <c r="L149" s="14"/>
      <c r="M149" s="14"/>
      <c r="N149" s="14" t="n">
        <f aca="false">ROUND((G149*I149)-K149-L149-M149,2)</f>
        <v>143.09</v>
      </c>
      <c r="O149" s="14"/>
      <c r="P149" s="14" t="n">
        <f aca="false">ROUND(IF(D149=0,IF((N149-E149-O149)&gt;0,(N149-E149-O149),0),IF((D149+N149-O149)&gt;0,(D149+N149-O149),0)),2)</f>
        <v>4578.35</v>
      </c>
      <c r="Q149" s="14" t="n">
        <f aca="false">ROUND(IF(E149=0,IF((D149+N149-O149)&lt;0,ABS(D149+N149-O149),0),IF((N149-E149-O149)&lt;0,ABS(N149-E149-O149),0)),2)</f>
        <v>0</v>
      </c>
    </row>
    <row r="150" customFormat="false" ht="15" hidden="false" customHeight="true" outlineLevel="0" collapsed="false">
      <c r="A150" s="12" t="s">
        <v>446</v>
      </c>
      <c r="B150" s="12" t="str">
        <f aca="false">березень!B150</f>
        <v>Капелюш Н.А.</v>
      </c>
      <c r="C150" s="12" t="s">
        <v>448</v>
      </c>
      <c r="D150" s="14" t="n">
        <f aca="false">березень!P150</f>
        <v>10125.36</v>
      </c>
      <c r="E150" s="14" t="n">
        <f aca="false">березень!Q150</f>
        <v>0</v>
      </c>
      <c r="F150" s="13" t="n">
        <f aca="false">березень!F150</f>
        <v>0</v>
      </c>
      <c r="G150" s="13" t="n">
        <f aca="false">березень!G150</f>
        <v>50.4</v>
      </c>
      <c r="H150" s="13" t="n">
        <f aca="false">березень!H150</f>
        <v>0</v>
      </c>
      <c r="I150" s="13" t="n">
        <f aca="false">березень!I150</f>
        <v>4.1</v>
      </c>
      <c r="J150" s="14" t="n">
        <f aca="false">ROUND(G150*I150,2)</f>
        <v>206.64</v>
      </c>
      <c r="K150" s="14"/>
      <c r="L150" s="14"/>
      <c r="M150" s="14"/>
      <c r="N150" s="14" t="n">
        <f aca="false">ROUND((G150*I150)-K150-L150-M150,2)</f>
        <v>206.64</v>
      </c>
      <c r="O150" s="14"/>
      <c r="P150" s="14" t="n">
        <f aca="false">ROUND(IF(D150=0,IF((N150-E150-O150)&gt;0,(N150-E150-O150),0),IF((D150+N150-O150)&gt;0,(D150+N150-O150),0)),2)</f>
        <v>10332</v>
      </c>
      <c r="Q150" s="14" t="n">
        <f aca="false">ROUND(IF(E150=0,IF((D150+N150-O150)&lt;0,ABS(D150+N150-O150),0),IF((N150-E150-O150)&lt;0,ABS(N150-E150-O150),0)),2)</f>
        <v>0</v>
      </c>
    </row>
    <row r="151" customFormat="false" ht="15" hidden="false" customHeight="true" outlineLevel="0" collapsed="false">
      <c r="A151" s="12" t="s">
        <v>449</v>
      </c>
      <c r="B151" s="12" t="str">
        <f aca="false">березень!B151</f>
        <v>Кістрінь Л.П.</v>
      </c>
      <c r="C151" s="12" t="s">
        <v>451</v>
      </c>
      <c r="D151" s="14" t="n">
        <f aca="false">березень!P151</f>
        <v>13420.73</v>
      </c>
      <c r="E151" s="14" t="n">
        <f aca="false">березень!Q151</f>
        <v>0</v>
      </c>
      <c r="F151" s="13" t="n">
        <f aca="false">березень!F151</f>
        <v>0</v>
      </c>
      <c r="G151" s="13" t="n">
        <f aca="false">березень!G151</f>
        <v>65.2</v>
      </c>
      <c r="H151" s="13" t="n">
        <f aca="false">березень!H151</f>
        <v>0</v>
      </c>
      <c r="I151" s="13" t="n">
        <f aca="false">березень!I151</f>
        <v>4.1</v>
      </c>
      <c r="J151" s="14" t="n">
        <f aca="false">ROUND(G151*I151,2)</f>
        <v>267.32</v>
      </c>
      <c r="K151" s="14"/>
      <c r="L151" s="14"/>
      <c r="M151" s="14"/>
      <c r="N151" s="14" t="n">
        <f aca="false">ROUND((G151*I151)-K151-L151-M151,2)</f>
        <v>267.32</v>
      </c>
      <c r="O151" s="14"/>
      <c r="P151" s="14" t="n">
        <f aca="false">ROUND(IF(D151=0,IF((N151-E151-O151)&gt;0,(N151-E151-O151),0),IF((D151+N151-O151)&gt;0,(D151+N151-O151),0)),2)</f>
        <v>13688.05</v>
      </c>
      <c r="Q151" s="14" t="n">
        <f aca="false">ROUND(IF(E151=0,IF((D151+N151-O151)&lt;0,ABS(D151+N151-O151),0),IF((N151-E151-O151)&lt;0,ABS(N151-E151-O151),0)),2)</f>
        <v>0</v>
      </c>
    </row>
    <row r="152" customFormat="false" ht="15" hidden="false" customHeight="true" outlineLevel="0" collapsed="false">
      <c r="A152" s="12" t="s">
        <v>452</v>
      </c>
      <c r="B152" s="12" t="str">
        <f aca="false">березень!B152</f>
        <v>Козьміна І.В.</v>
      </c>
      <c r="C152" s="12" t="s">
        <v>454</v>
      </c>
      <c r="D152" s="14" t="n">
        <f aca="false">березень!P152</f>
        <v>2647.4</v>
      </c>
      <c r="E152" s="14" t="n">
        <f aca="false">березень!Q152</f>
        <v>0</v>
      </c>
      <c r="F152" s="13" t="n">
        <f aca="false">березень!F152</f>
        <v>0</v>
      </c>
      <c r="G152" s="13" t="n">
        <f aca="false">березень!G152</f>
        <v>64.57</v>
      </c>
      <c r="H152" s="13" t="n">
        <f aca="false">березень!H152</f>
        <v>0</v>
      </c>
      <c r="I152" s="13" t="n">
        <f aca="false">березень!I152</f>
        <v>4.1</v>
      </c>
      <c r="J152" s="14" t="n">
        <f aca="false">ROUND(G152*I152,2)</f>
        <v>264.74</v>
      </c>
      <c r="K152" s="14"/>
      <c r="L152" s="14"/>
      <c r="M152" s="14"/>
      <c r="N152" s="14" t="n">
        <f aca="false">ROUND((G152*I152)-K152-L152-M152,2)</f>
        <v>264.74</v>
      </c>
      <c r="O152" s="14"/>
      <c r="P152" s="14" t="n">
        <f aca="false">ROUND(IF(D152=0,IF((N152-E152-O152)&gt;0,(N152-E152-O152),0),IF((D152+N152-O152)&gt;0,(D152+N152-O152),0)),2)</f>
        <v>2912.14</v>
      </c>
      <c r="Q152" s="14" t="n">
        <f aca="false">ROUND(IF(E152=0,IF((D152+N152-O152)&lt;0,ABS(D152+N152-O152),0),IF((N152-E152-O152)&lt;0,ABS(N152-E152-O152),0)),2)</f>
        <v>0</v>
      </c>
    </row>
    <row r="153" customFormat="false" ht="15" hidden="false" customHeight="true" outlineLevel="0" collapsed="false">
      <c r="A153" s="12" t="s">
        <v>455</v>
      </c>
      <c r="B153" s="12" t="str">
        <f aca="false">березень!B153</f>
        <v>Чала С.С.</v>
      </c>
      <c r="C153" s="12" t="s">
        <v>457</v>
      </c>
      <c r="D153" s="14" t="n">
        <f aca="false">березень!P153</f>
        <v>11639.22</v>
      </c>
      <c r="E153" s="14" t="n">
        <f aca="false">березень!Q153</f>
        <v>0</v>
      </c>
      <c r="F153" s="13" t="n">
        <f aca="false">березень!F153</f>
        <v>0</v>
      </c>
      <c r="G153" s="13" t="n">
        <f aca="false">березень!G153</f>
        <v>48.7</v>
      </c>
      <c r="H153" s="13" t="n">
        <f aca="false">березень!H153</f>
        <v>0</v>
      </c>
      <c r="I153" s="13" t="n">
        <f aca="false">березень!I153</f>
        <v>4.1</v>
      </c>
      <c r="J153" s="14" t="n">
        <f aca="false">ROUND(G153*I153,2)</f>
        <v>199.67</v>
      </c>
      <c r="K153" s="14"/>
      <c r="L153" s="14"/>
      <c r="M153" s="14"/>
      <c r="N153" s="14" t="n">
        <f aca="false">ROUND((G153*I153)-K153-L153-M153,2)</f>
        <v>199.67</v>
      </c>
      <c r="O153" s="14"/>
      <c r="P153" s="14" t="n">
        <f aca="false">ROUND(IF(D153=0,IF((N153-E153-O153)&gt;0,(N153-E153-O153),0),IF((D153+N153-O153)&gt;0,(D153+N153-O153),0)),2)</f>
        <v>11838.89</v>
      </c>
      <c r="Q153" s="14" t="n">
        <f aca="false">ROUND(IF(E153=0,IF((D153+N153-O153)&lt;0,ABS(D153+N153-O153),0),IF((N153-E153-O153)&lt;0,ABS(N153-E153-O153),0)),2)</f>
        <v>0</v>
      </c>
    </row>
    <row r="154" customFormat="false" ht="15" hidden="false" customHeight="true" outlineLevel="0" collapsed="false">
      <c r="A154" s="12" t="s">
        <v>458</v>
      </c>
      <c r="B154" s="12" t="str">
        <f aca="false">березень!B154</f>
        <v>Свєтайлова І.М.</v>
      </c>
      <c r="C154" s="12" t="s">
        <v>460</v>
      </c>
      <c r="D154" s="14" t="n">
        <f aca="false">березень!P154</f>
        <v>1380.5</v>
      </c>
      <c r="E154" s="14" t="n">
        <f aca="false">березень!Q154</f>
        <v>0</v>
      </c>
      <c r="F154" s="13" t="n">
        <f aca="false">березень!F154</f>
        <v>0</v>
      </c>
      <c r="G154" s="13" t="n">
        <f aca="false">березень!G154</f>
        <v>35.1</v>
      </c>
      <c r="H154" s="13" t="n">
        <f aca="false">березень!H154</f>
        <v>0</v>
      </c>
      <c r="I154" s="13" t="n">
        <f aca="false">березень!I154</f>
        <v>4.1</v>
      </c>
      <c r="J154" s="14" t="n">
        <f aca="false">ROUND(G154*I154,2)</f>
        <v>143.91</v>
      </c>
      <c r="K154" s="14"/>
      <c r="L154" s="14"/>
      <c r="M154" s="14"/>
      <c r="N154" s="14" t="n">
        <f aca="false">ROUND((G154*I154)-K154-L154-M154,2)</f>
        <v>143.91</v>
      </c>
      <c r="O154" s="14"/>
      <c r="P154" s="14" t="n">
        <f aca="false">ROUND(IF(D154=0,IF((N154-E154-O154)&gt;0,(N154-E154-O154),0),IF((D154+N154-O154)&gt;0,(D154+N154-O154),0)),2)</f>
        <v>1524.41</v>
      </c>
      <c r="Q154" s="14" t="n">
        <f aca="false">ROUND(IF(E154=0,IF((D154+N154-O154)&lt;0,ABS(D154+N154-O154),0),IF((N154-E154-O154)&lt;0,ABS(N154-E154-O154),0)),2)</f>
        <v>0</v>
      </c>
    </row>
    <row r="155" customFormat="false" ht="15" hidden="false" customHeight="true" outlineLevel="0" collapsed="false">
      <c r="A155" s="12" t="s">
        <v>461</v>
      </c>
      <c r="B155" s="12" t="str">
        <f aca="false">березень!B155</f>
        <v>Неделько Д.І.</v>
      </c>
      <c r="C155" s="12" t="s">
        <v>463</v>
      </c>
      <c r="D155" s="14" t="n">
        <f aca="false">березень!P155</f>
        <v>7248.12</v>
      </c>
      <c r="E155" s="14" t="n">
        <f aca="false">березень!Q155</f>
        <v>0</v>
      </c>
      <c r="F155" s="13" t="n">
        <f aca="false">березень!F155</f>
        <v>0</v>
      </c>
      <c r="G155" s="13" t="n">
        <f aca="false">березень!G155</f>
        <v>53.57</v>
      </c>
      <c r="H155" s="13" t="n">
        <f aca="false">березень!H155</f>
        <v>0</v>
      </c>
      <c r="I155" s="13" t="n">
        <f aca="false">березень!I155</f>
        <v>4.1</v>
      </c>
      <c r="J155" s="14" t="n">
        <f aca="false">ROUND(G155*I155,2)</f>
        <v>219.64</v>
      </c>
      <c r="K155" s="14"/>
      <c r="L155" s="14"/>
      <c r="M155" s="14"/>
      <c r="N155" s="14" t="n">
        <f aca="false">ROUND((G155*I155)-K155-L155-M155,2)</f>
        <v>219.64</v>
      </c>
      <c r="O155" s="14"/>
      <c r="P155" s="14" t="n">
        <f aca="false">ROUND(IF(D155=0,IF((N155-E155-O155)&gt;0,(N155-E155-O155),0),IF((D155+N155-O155)&gt;0,(D155+N155-O155),0)),2)</f>
        <v>7467.76</v>
      </c>
      <c r="Q155" s="14" t="n">
        <f aca="false">ROUND(IF(E155=0,IF((D155+N155-O155)&lt;0,ABS(D155+N155-O155),0),IF((N155-E155-O155)&lt;0,ABS(N155-E155-O155),0)),2)</f>
        <v>0</v>
      </c>
    </row>
    <row r="156" customFormat="false" ht="15" hidden="false" customHeight="true" outlineLevel="0" collapsed="false">
      <c r="A156" s="12" t="s">
        <v>464</v>
      </c>
      <c r="B156" s="12" t="str">
        <f aca="false">березень!B156</f>
        <v>Самойленко Л.К.</v>
      </c>
      <c r="C156" s="12" t="s">
        <v>466</v>
      </c>
      <c r="D156" s="14" t="n">
        <f aca="false">березень!P156</f>
        <v>0</v>
      </c>
      <c r="E156" s="14" t="n">
        <f aca="false">березень!Q156</f>
        <v>1550.27</v>
      </c>
      <c r="F156" s="13" t="n">
        <f aca="false">березень!F156</f>
        <v>0</v>
      </c>
      <c r="G156" s="13" t="n">
        <f aca="false">березень!G156</f>
        <v>65.7</v>
      </c>
      <c r="H156" s="13" t="n">
        <f aca="false">березень!H156</f>
        <v>0</v>
      </c>
      <c r="I156" s="13" t="n">
        <f aca="false">березень!I156</f>
        <v>4.1</v>
      </c>
      <c r="J156" s="14" t="n">
        <f aca="false">ROUND(G156*I156,2)</f>
        <v>269.37</v>
      </c>
      <c r="K156" s="14"/>
      <c r="L156" s="14"/>
      <c r="M156" s="14"/>
      <c r="N156" s="14" t="n">
        <f aca="false">ROUND((G156*I156)-K156-L156-M156,2)</f>
        <v>269.37</v>
      </c>
      <c r="O156" s="14"/>
      <c r="P156" s="14" t="n">
        <f aca="false">ROUND(IF(D156=0,IF((N156-E156-O156)&gt;0,(N156-E156-O156),0),IF((D156+N156-O156)&gt;0,(D156+N156-O156),0)),2)</f>
        <v>0</v>
      </c>
      <c r="Q156" s="14" t="n">
        <f aca="false">ROUND(IF(E156=0,IF((D156+N156-O156)&lt;0,ABS(D156+N156-O156),0),IF((N156-E156-O156)&lt;0,ABS(N156-E156-O156),0)),2)</f>
        <v>1280.9</v>
      </c>
    </row>
    <row r="157" customFormat="false" ht="15" hidden="false" customHeight="true" outlineLevel="0" collapsed="false">
      <c r="A157" s="12" t="s">
        <v>467</v>
      </c>
      <c r="B157" s="12" t="str">
        <f aca="false">березень!B157</f>
        <v>Павлов Ю.В.</v>
      </c>
      <c r="C157" s="12" t="s">
        <v>469</v>
      </c>
      <c r="D157" s="14" t="n">
        <f aca="false">березень!P157</f>
        <v>3037.68</v>
      </c>
      <c r="E157" s="14" t="n">
        <f aca="false">березень!Q157</f>
        <v>0</v>
      </c>
      <c r="F157" s="13" t="n">
        <f aca="false">березень!F157</f>
        <v>0</v>
      </c>
      <c r="G157" s="13" t="n">
        <f aca="false">березень!G157</f>
        <v>49.78</v>
      </c>
      <c r="H157" s="13" t="n">
        <f aca="false">березень!H157</f>
        <v>0</v>
      </c>
      <c r="I157" s="13" t="n">
        <f aca="false">березень!I157</f>
        <v>4.1</v>
      </c>
      <c r="J157" s="14" t="n">
        <f aca="false">ROUND(G157*I157,2)</f>
        <v>204.1</v>
      </c>
      <c r="K157" s="14"/>
      <c r="L157" s="14"/>
      <c r="M157" s="14"/>
      <c r="N157" s="14" t="n">
        <f aca="false">ROUND((G157*I157)-K157-L157-M157,2)</f>
        <v>204.1</v>
      </c>
      <c r="O157" s="14"/>
      <c r="P157" s="14" t="n">
        <f aca="false">ROUND(IF(D157=0,IF((N157-E157-O157)&gt;0,(N157-E157-O157),0),IF((D157+N157-O157)&gt;0,(D157+N157-O157),0)),2)</f>
        <v>3241.78</v>
      </c>
      <c r="Q157" s="14" t="n">
        <f aca="false">ROUND(IF(E157=0,IF((D157+N157-O157)&lt;0,ABS(D157+N157-O157),0),IF((N157-E157-O157)&lt;0,ABS(N157-E157-O157),0)),2)</f>
        <v>0</v>
      </c>
    </row>
    <row r="158" customFormat="false" ht="15" hidden="false" customHeight="true" outlineLevel="0" collapsed="false">
      <c r="A158" s="12" t="s">
        <v>470</v>
      </c>
      <c r="B158" s="12" t="str">
        <f aca="false">березень!B158</f>
        <v>Коваленко Т.М.</v>
      </c>
      <c r="C158" s="12" t="s">
        <v>472</v>
      </c>
      <c r="D158" s="14" t="n">
        <f aca="false">березень!P158</f>
        <v>717.5</v>
      </c>
      <c r="E158" s="14" t="n">
        <f aca="false">березень!Q158</f>
        <v>0</v>
      </c>
      <c r="F158" s="13" t="n">
        <f aca="false">березень!F158</f>
        <v>0</v>
      </c>
      <c r="G158" s="13" t="n">
        <f aca="false">березень!G158</f>
        <v>35</v>
      </c>
      <c r="H158" s="13" t="n">
        <f aca="false">березень!H158</f>
        <v>0</v>
      </c>
      <c r="I158" s="13" t="n">
        <f aca="false">березень!I158</f>
        <v>4.1</v>
      </c>
      <c r="J158" s="14" t="n">
        <f aca="false">ROUND(G158*I158,2)</f>
        <v>143.5</v>
      </c>
      <c r="K158" s="14"/>
      <c r="L158" s="14"/>
      <c r="M158" s="14"/>
      <c r="N158" s="14" t="n">
        <f aca="false">ROUND((G158*I158)-K158-L158-M158,2)</f>
        <v>143.5</v>
      </c>
      <c r="O158" s="14"/>
      <c r="P158" s="14" t="n">
        <f aca="false">ROUND(IF(D158=0,IF((N158-E158-O158)&gt;0,(N158-E158-O158),0),IF((D158+N158-O158)&gt;0,(D158+N158-O158),0)),2)</f>
        <v>861</v>
      </c>
      <c r="Q158" s="14" t="n">
        <f aca="false">ROUND(IF(E158=0,IF((D158+N158-O158)&lt;0,ABS(D158+N158-O158),0),IF((N158-E158-O158)&lt;0,ABS(N158-E158-O158),0)),2)</f>
        <v>0</v>
      </c>
    </row>
    <row r="159" customFormat="false" ht="15" hidden="false" customHeight="true" outlineLevel="0" collapsed="false">
      <c r="A159" s="12" t="s">
        <v>473</v>
      </c>
      <c r="B159" s="12" t="str">
        <f aca="false">березень!B159</f>
        <v>Рощенко Л.Б.</v>
      </c>
      <c r="C159" s="12" t="s">
        <v>475</v>
      </c>
      <c r="D159" s="14" t="n">
        <f aca="false">березень!P159</f>
        <v>10658.56</v>
      </c>
      <c r="E159" s="14" t="n">
        <f aca="false">березень!Q159</f>
        <v>0</v>
      </c>
      <c r="F159" s="13" t="n">
        <f aca="false">березень!F159</f>
        <v>0</v>
      </c>
      <c r="G159" s="13" t="n">
        <f aca="false">березень!G159</f>
        <v>62.08</v>
      </c>
      <c r="H159" s="13" t="n">
        <f aca="false">березень!H159</f>
        <v>0</v>
      </c>
      <c r="I159" s="13" t="n">
        <f aca="false">березень!I159</f>
        <v>4.1</v>
      </c>
      <c r="J159" s="14" t="n">
        <f aca="false">ROUND(G159*I159,2)</f>
        <v>254.53</v>
      </c>
      <c r="K159" s="14"/>
      <c r="L159" s="14"/>
      <c r="M159" s="14"/>
      <c r="N159" s="14" t="n">
        <f aca="false">ROUND((G159*I159)-K159-L159-M159,2)</f>
        <v>254.53</v>
      </c>
      <c r="O159" s="14"/>
      <c r="P159" s="14" t="n">
        <f aca="false">ROUND(IF(D159=0,IF((N159-E159-O159)&gt;0,(N159-E159-O159),0),IF((D159+N159-O159)&gt;0,(D159+N159-O159),0)),2)</f>
        <v>10913.09</v>
      </c>
      <c r="Q159" s="14" t="n">
        <f aca="false">ROUND(IF(E159=0,IF((D159+N159-O159)&lt;0,ABS(D159+N159-O159),0),IF((N159-E159-O159)&lt;0,ABS(N159-E159-O159),0)),2)</f>
        <v>0</v>
      </c>
    </row>
    <row r="160" customFormat="false" ht="15" hidden="false" customHeight="true" outlineLevel="0" collapsed="false">
      <c r="A160" s="12" t="s">
        <v>476</v>
      </c>
      <c r="B160" s="12" t="str">
        <f aca="false">березень!B160</f>
        <v>Галушко С.Т.</v>
      </c>
      <c r="C160" s="12" t="s">
        <v>478</v>
      </c>
      <c r="D160" s="14" t="n">
        <f aca="false">березень!P160</f>
        <v>540.06</v>
      </c>
      <c r="E160" s="14" t="n">
        <f aca="false">березень!Q160</f>
        <v>0</v>
      </c>
      <c r="F160" s="13" t="n">
        <f aca="false">березень!F160</f>
        <v>0</v>
      </c>
      <c r="G160" s="13" t="n">
        <f aca="false">березень!G160</f>
        <v>65.86</v>
      </c>
      <c r="H160" s="13" t="n">
        <f aca="false">березень!H160</f>
        <v>0</v>
      </c>
      <c r="I160" s="13" t="n">
        <f aca="false">березень!I160</f>
        <v>4.1</v>
      </c>
      <c r="J160" s="14" t="n">
        <f aca="false">ROUND(G160*I160,2)</f>
        <v>270.03</v>
      </c>
      <c r="K160" s="14"/>
      <c r="L160" s="14"/>
      <c r="M160" s="14"/>
      <c r="N160" s="14" t="n">
        <f aca="false">ROUND((G160*I160)-K160-L160-M160,2)</f>
        <v>270.03</v>
      </c>
      <c r="O160" s="14"/>
      <c r="P160" s="14" t="n">
        <f aca="false">ROUND(IF(D160=0,IF((N160-E160-O160)&gt;0,(N160-E160-O160),0),IF((D160+N160-O160)&gt;0,(D160+N160-O160),0)),2)</f>
        <v>810.09</v>
      </c>
      <c r="Q160" s="14" t="n">
        <f aca="false">ROUND(IF(E160=0,IF((D160+N160-O160)&lt;0,ABS(D160+N160-O160),0),IF((N160-E160-O160)&lt;0,ABS(N160-E160-O160),0)),2)</f>
        <v>0</v>
      </c>
    </row>
    <row r="161" customFormat="false" ht="15" hidden="false" customHeight="true" outlineLevel="0" collapsed="false">
      <c r="A161" s="12" t="s">
        <v>479</v>
      </c>
      <c r="B161" s="12" t="str">
        <f aca="false">березень!B161</f>
        <v>Наумова Л.Я.</v>
      </c>
      <c r="C161" s="12" t="s">
        <v>481</v>
      </c>
      <c r="D161" s="14" t="n">
        <f aca="false">березень!P161</f>
        <v>576.8</v>
      </c>
      <c r="E161" s="14" t="n">
        <f aca="false">березень!Q161</f>
        <v>0</v>
      </c>
      <c r="F161" s="13" t="n">
        <f aca="false">березень!F161</f>
        <v>0</v>
      </c>
      <c r="G161" s="13" t="n">
        <f aca="false">березень!G161</f>
        <v>49.95</v>
      </c>
      <c r="H161" s="13" t="n">
        <f aca="false">березень!H161</f>
        <v>0</v>
      </c>
      <c r="I161" s="13" t="n">
        <f aca="false">березень!I161</f>
        <v>4.1</v>
      </c>
      <c r="J161" s="14" t="n">
        <f aca="false">ROUND(G161*I161,2)</f>
        <v>204.8</v>
      </c>
      <c r="K161" s="14"/>
      <c r="L161" s="14"/>
      <c r="M161" s="14"/>
      <c r="N161" s="14" t="n">
        <f aca="false">ROUND((G161*I161)-K161-L161-M161,2)</f>
        <v>204.8</v>
      </c>
      <c r="O161" s="14"/>
      <c r="P161" s="14" t="n">
        <f aca="false">ROUND(IF(D161=0,IF((N161-E161-O161)&gt;0,(N161-E161-O161),0),IF((D161+N161-O161)&gt;0,(D161+N161-O161),0)),2)</f>
        <v>781.6</v>
      </c>
      <c r="Q161" s="14" t="n">
        <f aca="false">ROUND(IF(E161=0,IF((D161+N161-O161)&lt;0,ABS(D161+N161-O161),0),IF((N161-E161-O161)&lt;0,ABS(N161-E161-O161),0)),2)</f>
        <v>0</v>
      </c>
    </row>
    <row r="162" customFormat="false" ht="15" hidden="false" customHeight="true" outlineLevel="0" collapsed="false">
      <c r="A162" s="12" t="s">
        <v>482</v>
      </c>
      <c r="B162" s="12" t="str">
        <f aca="false">березень!B162</f>
        <v>Грєк В.С.</v>
      </c>
      <c r="C162" s="12" t="s">
        <v>484</v>
      </c>
      <c r="D162" s="14" t="n">
        <f aca="false">березень!P162</f>
        <v>0</v>
      </c>
      <c r="E162" s="14" t="n">
        <f aca="false">березень!Q162</f>
        <v>983.93</v>
      </c>
      <c r="F162" s="13" t="n">
        <f aca="false">березень!F162</f>
        <v>0</v>
      </c>
      <c r="G162" s="13" t="n">
        <f aca="false">березень!G162</f>
        <v>33.9</v>
      </c>
      <c r="H162" s="13" t="n">
        <f aca="false">березень!H162</f>
        <v>0</v>
      </c>
      <c r="I162" s="13" t="n">
        <f aca="false">березень!I162</f>
        <v>4.1</v>
      </c>
      <c r="J162" s="14" t="n">
        <f aca="false">ROUND(G162*I162,2)</f>
        <v>138.99</v>
      </c>
      <c r="K162" s="14"/>
      <c r="L162" s="14"/>
      <c r="M162" s="14"/>
      <c r="N162" s="14" t="n">
        <f aca="false">ROUND((G162*I162)-K162-L162-M162,2)</f>
        <v>138.99</v>
      </c>
      <c r="O162" s="14"/>
      <c r="P162" s="14" t="n">
        <f aca="false">ROUND(IF(D162=0,IF((N162-E162-O162)&gt;0,(N162-E162-O162),0),IF((D162+N162-O162)&gt;0,(D162+N162-O162),0)),2)</f>
        <v>0</v>
      </c>
      <c r="Q162" s="14" t="n">
        <f aca="false">ROUND(IF(E162=0,IF((D162+N162-O162)&lt;0,ABS(D162+N162-O162),0),IF((N162-E162-O162)&lt;0,ABS(N162-E162-O162),0)),2)</f>
        <v>844.94</v>
      </c>
    </row>
    <row r="163" customFormat="false" ht="15" hidden="false" customHeight="true" outlineLevel="0" collapsed="false">
      <c r="A163" s="12" t="s">
        <v>485</v>
      </c>
      <c r="B163" s="12" t="str">
        <f aca="false">березень!B163</f>
        <v>Пермінов О.А.</v>
      </c>
      <c r="C163" s="12" t="s">
        <v>487</v>
      </c>
      <c r="D163" s="14" t="n">
        <f aca="false">березень!P163</f>
        <v>1637.08</v>
      </c>
      <c r="E163" s="14" t="n">
        <f aca="false">березень!Q163</f>
        <v>0</v>
      </c>
      <c r="F163" s="13" t="n">
        <f aca="false">березень!F163</f>
        <v>0</v>
      </c>
      <c r="G163" s="13" t="n">
        <f aca="false">березень!G163</f>
        <v>62.43</v>
      </c>
      <c r="H163" s="13" t="n">
        <f aca="false">березень!H163</f>
        <v>0</v>
      </c>
      <c r="I163" s="13" t="n">
        <f aca="false">березень!I163</f>
        <v>4.1</v>
      </c>
      <c r="J163" s="14" t="n">
        <f aca="false">ROUND(G163*I163,2)</f>
        <v>255.96</v>
      </c>
      <c r="K163" s="14"/>
      <c r="L163" s="14"/>
      <c r="M163" s="14"/>
      <c r="N163" s="14" t="n">
        <f aca="false">ROUND((G163*I163)-K163-L163-M163,2)</f>
        <v>255.96</v>
      </c>
      <c r="O163" s="14"/>
      <c r="P163" s="14" t="n">
        <f aca="false">ROUND(IF(D163=0,IF((N163-E163-O163)&gt;0,(N163-E163-O163),0),IF((D163+N163-O163)&gt;0,(D163+N163-O163),0)),2)</f>
        <v>1893.04</v>
      </c>
      <c r="Q163" s="14" t="n">
        <f aca="false">ROUND(IF(E163=0,IF((D163+N163-O163)&lt;0,ABS(D163+N163-O163),0),IF((N163-E163-O163)&lt;0,ABS(N163-E163-O163),0)),2)</f>
        <v>0</v>
      </c>
    </row>
    <row r="164" customFormat="false" ht="15" hidden="false" customHeight="true" outlineLevel="0" collapsed="false">
      <c r="A164" s="12" t="s">
        <v>488</v>
      </c>
      <c r="B164" s="12" t="str">
        <f aca="false">березень!B164</f>
        <v>Рябчук Л.П.</v>
      </c>
      <c r="C164" s="12" t="s">
        <v>490</v>
      </c>
      <c r="D164" s="14" t="n">
        <f aca="false">березень!P164</f>
        <v>7762.72</v>
      </c>
      <c r="E164" s="14" t="n">
        <f aca="false">березень!Q164</f>
        <v>0</v>
      </c>
      <c r="F164" s="13" t="n">
        <f aca="false">березень!F164</f>
        <v>0</v>
      </c>
      <c r="G164" s="13" t="n">
        <f aca="false">березень!G164</f>
        <v>64.8</v>
      </c>
      <c r="H164" s="13" t="n">
        <f aca="false">березень!H164</f>
        <v>0</v>
      </c>
      <c r="I164" s="13" t="n">
        <f aca="false">березень!I164</f>
        <v>4.1</v>
      </c>
      <c r="J164" s="14" t="n">
        <f aca="false">ROUND(G164*I164,2)</f>
        <v>265.68</v>
      </c>
      <c r="K164" s="14"/>
      <c r="L164" s="14"/>
      <c r="M164" s="14"/>
      <c r="N164" s="14" t="n">
        <f aca="false">ROUND((G164*I164)-K164-L164-M164,2)</f>
        <v>265.68</v>
      </c>
      <c r="O164" s="14"/>
      <c r="P164" s="14" t="n">
        <f aca="false">ROUND(IF(D164=0,IF((N164-E164-O164)&gt;0,(N164-E164-O164),0),IF((D164+N164-O164)&gt;0,(D164+N164-O164),0)),2)</f>
        <v>8028.4</v>
      </c>
      <c r="Q164" s="14" t="n">
        <f aca="false">ROUND(IF(E164=0,IF((D164+N164-O164)&lt;0,ABS(D164+N164-O164),0),IF((N164-E164-O164)&lt;0,ABS(N164-E164-O164),0)),2)</f>
        <v>0</v>
      </c>
    </row>
    <row r="165" customFormat="false" ht="15" hidden="false" customHeight="true" outlineLevel="0" collapsed="false">
      <c r="A165" s="12" t="s">
        <v>491</v>
      </c>
      <c r="B165" s="12" t="str">
        <f aca="false">березень!B165</f>
        <v>Копасова Л.Б.</v>
      </c>
      <c r="C165" s="12" t="s">
        <v>493</v>
      </c>
      <c r="D165" s="14" t="n">
        <f aca="false">березень!P165</f>
        <v>607.62</v>
      </c>
      <c r="E165" s="14" t="n">
        <f aca="false">березень!Q165</f>
        <v>0</v>
      </c>
      <c r="F165" s="13" t="n">
        <f aca="false">березень!F165</f>
        <v>0</v>
      </c>
      <c r="G165" s="13" t="n">
        <f aca="false">березень!G165</f>
        <v>49.4</v>
      </c>
      <c r="H165" s="13" t="n">
        <f aca="false">березень!H165</f>
        <v>0</v>
      </c>
      <c r="I165" s="13" t="n">
        <f aca="false">березень!I165</f>
        <v>4.1</v>
      </c>
      <c r="J165" s="14" t="n">
        <f aca="false">ROUND(G165*I165,2)</f>
        <v>202.54</v>
      </c>
      <c r="K165" s="14"/>
      <c r="L165" s="14"/>
      <c r="M165" s="14"/>
      <c r="N165" s="14" t="n">
        <f aca="false">ROUND((G165*I165)-K165-L165-M165,2)</f>
        <v>202.54</v>
      </c>
      <c r="O165" s="14"/>
      <c r="P165" s="14" t="n">
        <f aca="false">ROUND(IF(D165=0,IF((N165-E165-O165)&gt;0,(N165-E165-O165),0),IF((D165+N165-O165)&gt;0,(D165+N165-O165),0)),2)</f>
        <v>810.16</v>
      </c>
      <c r="Q165" s="14" t="n">
        <f aca="false">ROUND(IF(E165=0,IF((D165+N165-O165)&lt;0,ABS(D165+N165-O165),0),IF((N165-E165-O165)&lt;0,ABS(N165-E165-O165),0)),2)</f>
        <v>0</v>
      </c>
    </row>
    <row r="166" customFormat="false" ht="15" hidden="false" customHeight="true" outlineLevel="0" collapsed="false">
      <c r="A166" s="12" t="s">
        <v>494</v>
      </c>
      <c r="B166" s="12" t="str">
        <f aca="false">березень!B166</f>
        <v>Киричинська Г.Я.</v>
      </c>
      <c r="C166" s="12" t="s">
        <v>496</v>
      </c>
      <c r="D166" s="14" t="n">
        <f aca="false">березень!P166</f>
        <v>4056.88</v>
      </c>
      <c r="E166" s="14" t="n">
        <f aca="false">березень!Q166</f>
        <v>0</v>
      </c>
      <c r="F166" s="13" t="n">
        <f aca="false">березень!F166</f>
        <v>0</v>
      </c>
      <c r="G166" s="13" t="n">
        <f aca="false">березень!G166</f>
        <v>35.1</v>
      </c>
      <c r="H166" s="13" t="n">
        <f aca="false">березень!H166</f>
        <v>0</v>
      </c>
      <c r="I166" s="13" t="n">
        <f aca="false">березень!I166</f>
        <v>4.1</v>
      </c>
      <c r="J166" s="14" t="n">
        <f aca="false">ROUND(G166*I166,2)</f>
        <v>143.91</v>
      </c>
      <c r="K166" s="14"/>
      <c r="L166" s="14"/>
      <c r="M166" s="14"/>
      <c r="N166" s="14" t="n">
        <f aca="false">ROUND((G166*I166)-K166-L166-M166,2)</f>
        <v>143.91</v>
      </c>
      <c r="O166" s="14"/>
      <c r="P166" s="14" t="n">
        <f aca="false">ROUND(IF(D166=0,IF((N166-E166-O166)&gt;0,(N166-E166-O166),0),IF((D166+N166-O166)&gt;0,(D166+N166-O166),0)),2)</f>
        <v>4200.79</v>
      </c>
      <c r="Q166" s="14" t="n">
        <f aca="false">ROUND(IF(E166=0,IF((D166+N166-O166)&lt;0,ABS(D166+N166-O166),0),IF((N166-E166-O166)&lt;0,ABS(N166-E166-O166),0)),2)</f>
        <v>0</v>
      </c>
    </row>
    <row r="167" customFormat="false" ht="15" hidden="false" customHeight="true" outlineLevel="0" collapsed="false">
      <c r="A167" s="12" t="s">
        <v>497</v>
      </c>
      <c r="B167" s="12" t="str">
        <f aca="false">березень!B167</f>
        <v>Бутрій К.В.</v>
      </c>
      <c r="C167" s="12" t="s">
        <v>499</v>
      </c>
      <c r="D167" s="14" t="n">
        <f aca="false">березень!P167</f>
        <v>1858.4</v>
      </c>
      <c r="E167" s="14" t="n">
        <f aca="false">березень!Q167</f>
        <v>0</v>
      </c>
      <c r="F167" s="13" t="n">
        <f aca="false">березень!F167</f>
        <v>0</v>
      </c>
      <c r="G167" s="13" t="n">
        <f aca="false">березень!G167</f>
        <v>62.4</v>
      </c>
      <c r="H167" s="13" t="n">
        <f aca="false">березень!H167</f>
        <v>0</v>
      </c>
      <c r="I167" s="13" t="n">
        <f aca="false">березень!I167</f>
        <v>4.1</v>
      </c>
      <c r="J167" s="14" t="n">
        <f aca="false">ROUND(G167*I167,2)</f>
        <v>255.84</v>
      </c>
      <c r="K167" s="14"/>
      <c r="L167" s="14"/>
      <c r="M167" s="14"/>
      <c r="N167" s="14" t="n">
        <f aca="false">ROUND((G167*I167)-K167-L167-M167,2)</f>
        <v>255.84</v>
      </c>
      <c r="O167" s="14"/>
      <c r="P167" s="14" t="n">
        <f aca="false">ROUND(IF(D167=0,IF((N167-E167-O167)&gt;0,(N167-E167-O167),0),IF((D167+N167-O167)&gt;0,(D167+N167-O167),0)),2)</f>
        <v>2114.24</v>
      </c>
      <c r="Q167" s="14" t="n">
        <f aca="false">ROUND(IF(E167=0,IF((D167+N167-O167)&lt;0,ABS(D167+N167-O167),0),IF((N167-E167-O167)&lt;0,ABS(N167-E167-O167),0)),2)</f>
        <v>0</v>
      </c>
    </row>
    <row r="168" customFormat="false" ht="15" hidden="false" customHeight="true" outlineLevel="0" collapsed="false">
      <c r="A168" s="12" t="s">
        <v>500</v>
      </c>
      <c r="B168" s="12" t="str">
        <f aca="false">березень!B168</f>
        <v>Кузьома Г.І.</v>
      </c>
      <c r="C168" s="12" t="s">
        <v>502</v>
      </c>
      <c r="D168" s="14" t="n">
        <f aca="false">березень!P168</f>
        <v>805.65</v>
      </c>
      <c r="E168" s="14" t="n">
        <f aca="false">березень!Q168</f>
        <v>0</v>
      </c>
      <c r="F168" s="13" t="n">
        <f aca="false">березень!F168</f>
        <v>0</v>
      </c>
      <c r="G168" s="13" t="n">
        <f aca="false">березень!G168</f>
        <v>65.5</v>
      </c>
      <c r="H168" s="13" t="n">
        <f aca="false">березень!H168</f>
        <v>0</v>
      </c>
      <c r="I168" s="13" t="n">
        <f aca="false">березень!I168</f>
        <v>4.1</v>
      </c>
      <c r="J168" s="14" t="n">
        <f aca="false">ROUND(G168*I168,2)</f>
        <v>268.55</v>
      </c>
      <c r="K168" s="14"/>
      <c r="L168" s="14"/>
      <c r="M168" s="14"/>
      <c r="N168" s="14" t="n">
        <f aca="false">ROUND((G168*I168)-K168-L168-M168,2)</f>
        <v>268.55</v>
      </c>
      <c r="O168" s="14"/>
      <c r="P168" s="14" t="n">
        <f aca="false">ROUND(IF(D168=0,IF((N168-E168-O168)&gt;0,(N168-E168-O168),0),IF((D168+N168-O168)&gt;0,(D168+N168-O168),0)),2)</f>
        <v>1074.2</v>
      </c>
      <c r="Q168" s="14" t="n">
        <f aca="false">ROUND(IF(E168=0,IF((D168+N168-O168)&lt;0,ABS(D168+N168-O168),0),IF((N168-E168-O168)&lt;0,ABS(N168-E168-O168),0)),2)</f>
        <v>0</v>
      </c>
    </row>
    <row r="169" customFormat="false" ht="15" hidden="false" customHeight="true" outlineLevel="0" collapsed="false">
      <c r="A169" s="12" t="s">
        <v>503</v>
      </c>
      <c r="B169" s="12" t="str">
        <f aca="false">березень!B169</f>
        <v>Павленко В.М.</v>
      </c>
      <c r="C169" s="12" t="s">
        <v>505</v>
      </c>
      <c r="D169" s="14" t="n">
        <f aca="false">березень!P169</f>
        <v>819</v>
      </c>
      <c r="E169" s="14" t="n">
        <f aca="false">березень!Q169</f>
        <v>0</v>
      </c>
      <c r="F169" s="13" t="n">
        <f aca="false">березень!F169</f>
        <v>0</v>
      </c>
      <c r="G169" s="13" t="n">
        <f aca="false">березень!G169</f>
        <v>49.94</v>
      </c>
      <c r="H169" s="13" t="n">
        <f aca="false">березень!H169</f>
        <v>0</v>
      </c>
      <c r="I169" s="13" t="n">
        <f aca="false">березень!I169</f>
        <v>4.1</v>
      </c>
      <c r="J169" s="14" t="n">
        <f aca="false">ROUND(G169*I169,2)</f>
        <v>204.75</v>
      </c>
      <c r="K169" s="14"/>
      <c r="L169" s="14"/>
      <c r="M169" s="14"/>
      <c r="N169" s="14" t="n">
        <f aca="false">ROUND((G169*I169)-K169-L169-M169,2)</f>
        <v>204.75</v>
      </c>
      <c r="O169" s="14"/>
      <c r="P169" s="14" t="n">
        <f aca="false">ROUND(IF(D169=0,IF((N169-E169-O169)&gt;0,(N169-E169-O169),0),IF((D169+N169-O169)&gt;0,(D169+N169-O169),0)),2)</f>
        <v>1023.75</v>
      </c>
      <c r="Q169" s="14" t="n">
        <f aca="false">ROUND(IF(E169=0,IF((D169+N169-O169)&lt;0,ABS(D169+N169-O169),0),IF((N169-E169-O169)&lt;0,ABS(N169-E169-O169),0)),2)</f>
        <v>0</v>
      </c>
    </row>
    <row r="170" customFormat="false" ht="15" hidden="false" customHeight="true" outlineLevel="0" collapsed="false">
      <c r="A170" s="12" t="s">
        <v>506</v>
      </c>
      <c r="B170" s="12" t="str">
        <f aca="false">березень!B170</f>
        <v>Качуровська С.А.</v>
      </c>
      <c r="C170" s="12" t="s">
        <v>508</v>
      </c>
      <c r="D170" s="14" t="n">
        <f aca="false">березень!P170</f>
        <v>430.5</v>
      </c>
      <c r="E170" s="14" t="n">
        <f aca="false">березень!Q170</f>
        <v>0</v>
      </c>
      <c r="F170" s="13" t="n">
        <f aca="false">березень!F170</f>
        <v>0</v>
      </c>
      <c r="G170" s="13" t="n">
        <f aca="false">березень!G170</f>
        <v>35</v>
      </c>
      <c r="H170" s="13" t="n">
        <f aca="false">березень!H170</f>
        <v>0</v>
      </c>
      <c r="I170" s="13" t="n">
        <f aca="false">березень!I170</f>
        <v>4.1</v>
      </c>
      <c r="J170" s="14" t="n">
        <f aca="false">ROUND(G170*I170,2)</f>
        <v>143.5</v>
      </c>
      <c r="K170" s="14"/>
      <c r="L170" s="14"/>
      <c r="M170" s="14"/>
      <c r="N170" s="14" t="n">
        <f aca="false">ROUND((G170*I170)-K170-L170-M170,2)</f>
        <v>143.5</v>
      </c>
      <c r="O170" s="14"/>
      <c r="P170" s="14" t="n">
        <f aca="false">ROUND(IF(D170=0,IF((N170-E170-O170)&gt;0,(N170-E170-O170),0),IF((D170+N170-O170)&gt;0,(D170+N170-O170),0)),2)</f>
        <v>574</v>
      </c>
      <c r="Q170" s="14" t="n">
        <f aca="false">ROUND(IF(E170=0,IF((D170+N170-O170)&lt;0,ABS(D170+N170-O170),0),IF((N170-E170-O170)&lt;0,ABS(N170-E170-O170),0)),2)</f>
        <v>0</v>
      </c>
    </row>
    <row r="171" customFormat="false" ht="15" hidden="false" customHeight="true" outlineLevel="0" collapsed="false">
      <c r="A171" s="12" t="s">
        <v>509</v>
      </c>
      <c r="B171" s="12" t="str">
        <f aca="false">березень!B171</f>
        <v>Білецький Б.Г.</v>
      </c>
      <c r="C171" s="12" t="s">
        <v>511</v>
      </c>
      <c r="D171" s="14" t="n">
        <f aca="false">березень!P171</f>
        <v>767.04</v>
      </c>
      <c r="E171" s="14" t="n">
        <f aca="false">березень!Q171</f>
        <v>0</v>
      </c>
      <c r="F171" s="13" t="n">
        <f aca="false">березень!F171</f>
        <v>0</v>
      </c>
      <c r="G171" s="13" t="n">
        <f aca="false">березень!G171</f>
        <v>62.36</v>
      </c>
      <c r="H171" s="13" t="n">
        <f aca="false">березень!H171</f>
        <v>0</v>
      </c>
      <c r="I171" s="13" t="n">
        <f aca="false">березень!I171</f>
        <v>4.1</v>
      </c>
      <c r="J171" s="14" t="n">
        <f aca="false">ROUND(G171*I171,2)</f>
        <v>255.68</v>
      </c>
      <c r="K171" s="14"/>
      <c r="L171" s="14"/>
      <c r="M171" s="14"/>
      <c r="N171" s="14" t="n">
        <f aca="false">ROUND((G171*I171)-K171-L171-M171,2)</f>
        <v>255.68</v>
      </c>
      <c r="O171" s="14"/>
      <c r="P171" s="14" t="n">
        <f aca="false">ROUND(IF(D171=0,IF((N171-E171-O171)&gt;0,(N171-E171-O171),0),IF((D171+N171-O171)&gt;0,(D171+N171-O171),0)),2)</f>
        <v>1022.72</v>
      </c>
      <c r="Q171" s="14" t="n">
        <f aca="false">ROUND(IF(E171=0,IF((D171+N171-O171)&lt;0,ABS(D171+N171-O171),0),IF((N171-E171-O171)&lt;0,ABS(N171-E171-O171),0)),2)</f>
        <v>0</v>
      </c>
    </row>
    <row r="172" customFormat="false" ht="15" hidden="false" customHeight="true" outlineLevel="0" collapsed="false">
      <c r="A172" s="12" t="s">
        <v>512</v>
      </c>
      <c r="B172" s="12" t="str">
        <f aca="false">березень!B172</f>
        <v>Кузнєцова В.В.</v>
      </c>
      <c r="C172" s="12" t="s">
        <v>514</v>
      </c>
      <c r="D172" s="14" t="n">
        <f aca="false">березень!P172</f>
        <v>8610.64</v>
      </c>
      <c r="E172" s="14" t="n">
        <f aca="false">березень!Q172</f>
        <v>0</v>
      </c>
      <c r="F172" s="13" t="n">
        <f aca="false">березень!F172</f>
        <v>0</v>
      </c>
      <c r="G172" s="13" t="n">
        <f aca="false">березень!G172</f>
        <v>65.63</v>
      </c>
      <c r="H172" s="13" t="n">
        <f aca="false">березень!H172</f>
        <v>0</v>
      </c>
      <c r="I172" s="13" t="n">
        <f aca="false">березень!I172</f>
        <v>4.1</v>
      </c>
      <c r="J172" s="14" t="n">
        <f aca="false">ROUND(G172*I172,2)</f>
        <v>269.08</v>
      </c>
      <c r="K172" s="14"/>
      <c r="L172" s="14"/>
      <c r="M172" s="14"/>
      <c r="N172" s="14" t="n">
        <f aca="false">ROUND((G172*I172)-K172-L172-M172,2)</f>
        <v>269.08</v>
      </c>
      <c r="O172" s="14"/>
      <c r="P172" s="14" t="n">
        <f aca="false">ROUND(IF(D172=0,IF((N172-E172-O172)&gt;0,(N172-E172-O172),0),IF((D172+N172-O172)&gt;0,(D172+N172-O172),0)),2)</f>
        <v>8879.72</v>
      </c>
      <c r="Q172" s="14" t="n">
        <f aca="false">ROUND(IF(E172=0,IF((D172+N172-O172)&lt;0,ABS(D172+N172-O172),0),IF((N172-E172-O172)&lt;0,ABS(N172-E172-O172),0)),2)</f>
        <v>0</v>
      </c>
    </row>
    <row r="173" customFormat="false" ht="15" hidden="false" customHeight="true" outlineLevel="0" collapsed="false">
      <c r="A173" s="12" t="s">
        <v>515</v>
      </c>
      <c r="B173" s="12" t="str">
        <f aca="false">березень!B173</f>
        <v>Сидоренко Б.Й.</v>
      </c>
      <c r="C173" s="12" t="s">
        <v>517</v>
      </c>
      <c r="D173" s="14" t="n">
        <f aca="false">березень!P173</f>
        <v>16790.69</v>
      </c>
      <c r="E173" s="14" t="n">
        <f aca="false">березень!Q173</f>
        <v>0</v>
      </c>
      <c r="F173" s="13" t="n">
        <f aca="false">березень!F173</f>
        <v>0</v>
      </c>
      <c r="G173" s="13" t="n">
        <f aca="false">березень!G173</f>
        <v>49.8</v>
      </c>
      <c r="H173" s="13" t="n">
        <f aca="false">березень!H173</f>
        <v>0</v>
      </c>
      <c r="I173" s="13" t="n">
        <f aca="false">березень!I173</f>
        <v>4.1</v>
      </c>
      <c r="J173" s="14" t="n">
        <f aca="false">ROUND(G173*I173,2)</f>
        <v>204.18</v>
      </c>
      <c r="K173" s="14"/>
      <c r="L173" s="14"/>
      <c r="M173" s="14"/>
      <c r="N173" s="14" t="n">
        <f aca="false">ROUND((G173*I173)-K173-L173-M173,2)</f>
        <v>204.18</v>
      </c>
      <c r="O173" s="14"/>
      <c r="P173" s="14" t="n">
        <f aca="false">ROUND(IF(D173=0,IF((N173-E173-O173)&gt;0,(N173-E173-O173),0),IF((D173+N173-O173)&gt;0,(D173+N173-O173),0)),2)</f>
        <v>16994.87</v>
      </c>
      <c r="Q173" s="14" t="n">
        <f aca="false">ROUND(IF(E173=0,IF((D173+N173-O173)&lt;0,ABS(D173+N173-O173),0),IF((N173-E173-O173)&lt;0,ABS(N173-E173-O173),0)),2)</f>
        <v>0</v>
      </c>
    </row>
    <row r="174" customFormat="false" ht="15" hidden="false" customHeight="true" outlineLevel="0" collapsed="false">
      <c r="A174" s="12" t="s">
        <v>518</v>
      </c>
      <c r="B174" s="12" t="str">
        <f aca="false">березень!B174</f>
        <v>Кузнєцова О.А.</v>
      </c>
      <c r="C174" s="12" t="s">
        <v>520</v>
      </c>
      <c r="D174" s="14" t="n">
        <f aca="false">березень!P174</f>
        <v>4448.5</v>
      </c>
      <c r="E174" s="14" t="n">
        <f aca="false">березень!Q174</f>
        <v>0</v>
      </c>
      <c r="F174" s="13" t="n">
        <f aca="false">березень!F174</f>
        <v>0</v>
      </c>
      <c r="G174" s="13" t="n">
        <f aca="false">березень!G174</f>
        <v>35</v>
      </c>
      <c r="H174" s="13" t="n">
        <f aca="false">березень!H174</f>
        <v>0</v>
      </c>
      <c r="I174" s="13" t="n">
        <f aca="false">березень!I174</f>
        <v>4.1</v>
      </c>
      <c r="J174" s="14" t="n">
        <f aca="false">ROUND(G174*I174,2)</f>
        <v>143.5</v>
      </c>
      <c r="K174" s="14"/>
      <c r="L174" s="14"/>
      <c r="M174" s="14"/>
      <c r="N174" s="14" t="n">
        <f aca="false">ROUND((G174*I174)-K174-L174-M174,2)</f>
        <v>143.5</v>
      </c>
      <c r="O174" s="14"/>
      <c r="P174" s="14" t="n">
        <f aca="false">ROUND(IF(D174=0,IF((N174-E174-O174)&gt;0,(N174-E174-O174),0),IF((D174+N174-O174)&gt;0,(D174+N174-O174),0)),2)</f>
        <v>4592</v>
      </c>
      <c r="Q174" s="14" t="n">
        <f aca="false">ROUND(IF(E174=0,IF((D174+N174-O174)&lt;0,ABS(D174+N174-O174),0),IF((N174-E174-O174)&lt;0,ABS(N174-E174-O174),0)),2)</f>
        <v>0</v>
      </c>
    </row>
    <row r="175" customFormat="false" ht="15" hidden="false" customHeight="true" outlineLevel="0" collapsed="false">
      <c r="A175" s="12" t="s">
        <v>521</v>
      </c>
      <c r="B175" s="12" t="str">
        <f aca="false">березень!B175</f>
        <v>Васильєва О.Г.</v>
      </c>
      <c r="C175" s="12" t="s">
        <v>523</v>
      </c>
      <c r="D175" s="14" t="n">
        <f aca="false">березень!P175</f>
        <v>2860.61</v>
      </c>
      <c r="E175" s="14" t="n">
        <f aca="false">березень!Q175</f>
        <v>0</v>
      </c>
      <c r="F175" s="13" t="n">
        <f aca="false">березень!F175</f>
        <v>0</v>
      </c>
      <c r="G175" s="13" t="n">
        <f aca="false">березень!G175</f>
        <v>61.7</v>
      </c>
      <c r="H175" s="13" t="n">
        <f aca="false">березень!H175</f>
        <v>0</v>
      </c>
      <c r="I175" s="13" t="n">
        <f aca="false">березень!I175</f>
        <v>4.1</v>
      </c>
      <c r="J175" s="14" t="n">
        <f aca="false">ROUND(G175*I175,2)</f>
        <v>252.97</v>
      </c>
      <c r="K175" s="14"/>
      <c r="L175" s="14"/>
      <c r="M175" s="14"/>
      <c r="N175" s="14" t="n">
        <f aca="false">ROUND((G175*I175)-K175-L175-M175,2)</f>
        <v>252.97</v>
      </c>
      <c r="O175" s="14"/>
      <c r="P175" s="14" t="n">
        <f aca="false">ROUND(IF(D175=0,IF((N175-E175-O175)&gt;0,(N175-E175-O175),0),IF((D175+N175-O175)&gt;0,(D175+N175-O175),0)),2)</f>
        <v>3113.58</v>
      </c>
      <c r="Q175" s="14" t="n">
        <f aca="false">ROUND(IF(E175=0,IF((D175+N175-O175)&lt;0,ABS(D175+N175-O175),0),IF((N175-E175-O175)&lt;0,ABS(N175-E175-O175),0)),2)</f>
        <v>0</v>
      </c>
    </row>
    <row r="176" customFormat="false" ht="15" hidden="false" customHeight="true" outlineLevel="0" collapsed="false">
      <c r="A176" s="12" t="s">
        <v>524</v>
      </c>
      <c r="B176" s="12" t="str">
        <f aca="false">березень!B176</f>
        <v>Кудінова Л.М.</v>
      </c>
      <c r="C176" s="12" t="s">
        <v>526</v>
      </c>
      <c r="D176" s="14" t="n">
        <f aca="false">березень!P176</f>
        <v>1075.52</v>
      </c>
      <c r="E176" s="14" t="n">
        <f aca="false">березень!Q176</f>
        <v>0</v>
      </c>
      <c r="F176" s="13" t="n">
        <f aca="false">березень!F176</f>
        <v>0</v>
      </c>
      <c r="G176" s="13" t="n">
        <f aca="false">березень!G176</f>
        <v>65.58</v>
      </c>
      <c r="H176" s="13" t="n">
        <f aca="false">березень!H176</f>
        <v>0</v>
      </c>
      <c r="I176" s="13" t="n">
        <f aca="false">березень!I176</f>
        <v>4.1</v>
      </c>
      <c r="J176" s="14" t="n">
        <f aca="false">ROUND(G176*I176,2)</f>
        <v>268.88</v>
      </c>
      <c r="K176" s="14"/>
      <c r="L176" s="14"/>
      <c r="M176" s="14"/>
      <c r="N176" s="14" t="n">
        <f aca="false">ROUND((G176*I176)-K176-L176-M176,2)</f>
        <v>268.88</v>
      </c>
      <c r="O176" s="14"/>
      <c r="P176" s="14" t="n">
        <f aca="false">ROUND(IF(D176=0,IF((N176-E176-O176)&gt;0,(N176-E176-O176),0),IF((D176+N176-O176)&gt;0,(D176+N176-O176),0)),2)</f>
        <v>1344.4</v>
      </c>
      <c r="Q176" s="14" t="n">
        <f aca="false">ROUND(IF(E176=0,IF((D176+N176-O176)&lt;0,ABS(D176+N176-O176),0),IF((N176-E176-O176)&lt;0,ABS(N176-E176-O176),0)),2)</f>
        <v>0</v>
      </c>
    </row>
    <row r="177" customFormat="false" ht="15" hidden="false" customHeight="true" outlineLevel="0" collapsed="false">
      <c r="A177" s="12" t="s">
        <v>527</v>
      </c>
      <c r="B177" s="12" t="str">
        <f aca="false">березень!B177</f>
        <v>Спільний І.В.</v>
      </c>
      <c r="C177" s="12" t="s">
        <v>529</v>
      </c>
      <c r="D177" s="14" t="n">
        <f aca="false">березень!P177</f>
        <v>608.85</v>
      </c>
      <c r="E177" s="14" t="n">
        <f aca="false">березень!Q177</f>
        <v>0</v>
      </c>
      <c r="F177" s="13" t="n">
        <f aca="false">березень!F177</f>
        <v>0</v>
      </c>
      <c r="G177" s="13" t="n">
        <f aca="false">березень!G177</f>
        <v>49.5</v>
      </c>
      <c r="H177" s="13" t="n">
        <f aca="false">березень!H177</f>
        <v>0</v>
      </c>
      <c r="I177" s="13" t="n">
        <f aca="false">березень!I177</f>
        <v>4.1</v>
      </c>
      <c r="J177" s="14" t="n">
        <f aca="false">ROUND(G177*I177,2)</f>
        <v>202.95</v>
      </c>
      <c r="K177" s="14"/>
      <c r="L177" s="14"/>
      <c r="M177" s="14"/>
      <c r="N177" s="14" t="n">
        <f aca="false">ROUND((G177*I177)-K177-L177-M177,2)</f>
        <v>202.95</v>
      </c>
      <c r="O177" s="14"/>
      <c r="P177" s="14" t="n">
        <f aca="false">ROUND(IF(D177=0,IF((N177-E177-O177)&gt;0,(N177-E177-O177),0),IF((D177+N177-O177)&gt;0,(D177+N177-O177),0)),2)</f>
        <v>811.8</v>
      </c>
      <c r="Q177" s="14" t="n">
        <f aca="false">ROUND(IF(E177=0,IF((D177+N177-O177)&lt;0,ABS(D177+N177-O177),0),IF((N177-E177-O177)&lt;0,ABS(N177-E177-O177),0)),2)</f>
        <v>0</v>
      </c>
    </row>
    <row r="178" customFormat="false" ht="15" hidden="false" customHeight="true" outlineLevel="0" collapsed="false">
      <c r="A178" s="12" t="s">
        <v>530</v>
      </c>
      <c r="B178" s="12" t="str">
        <f aca="false">березень!B178</f>
        <v>Кружаліна Т.А.</v>
      </c>
      <c r="C178" s="12" t="s">
        <v>532</v>
      </c>
      <c r="D178" s="14" t="n">
        <f aca="false">березень!P178</f>
        <v>431.73</v>
      </c>
      <c r="E178" s="14" t="n">
        <f aca="false">березень!Q178</f>
        <v>0</v>
      </c>
      <c r="F178" s="13" t="n">
        <f aca="false">березень!F178</f>
        <v>0</v>
      </c>
      <c r="G178" s="13" t="n">
        <f aca="false">березень!G178</f>
        <v>35.1</v>
      </c>
      <c r="H178" s="13" t="n">
        <f aca="false">березень!H178</f>
        <v>0</v>
      </c>
      <c r="I178" s="13" t="n">
        <f aca="false">березень!I178</f>
        <v>4.1</v>
      </c>
      <c r="J178" s="14" t="n">
        <f aca="false">ROUND(G178*I178,2)</f>
        <v>143.91</v>
      </c>
      <c r="K178" s="14"/>
      <c r="L178" s="14"/>
      <c r="M178" s="14"/>
      <c r="N178" s="14" t="n">
        <f aca="false">ROUND((G178*I178)-K178-L178-M178,2)</f>
        <v>143.91</v>
      </c>
      <c r="O178" s="14"/>
      <c r="P178" s="14" t="n">
        <f aca="false">ROUND(IF(D178=0,IF((N178-E178-O178)&gt;0,(N178-E178-O178),0),IF((D178+N178-O178)&gt;0,(D178+N178-O178),0)),2)</f>
        <v>575.64</v>
      </c>
      <c r="Q178" s="14" t="n">
        <f aca="false">ROUND(IF(E178=0,IF((D178+N178-O178)&lt;0,ABS(D178+N178-O178),0),IF((N178-E178-O178)&lt;0,ABS(N178-E178-O178),0)),2)</f>
        <v>0</v>
      </c>
    </row>
    <row r="179" customFormat="false" ht="15" hidden="false" customHeight="true" outlineLevel="0" collapsed="false">
      <c r="A179" s="12" t="s">
        <v>533</v>
      </c>
      <c r="B179" s="12" t="str">
        <f aca="false">березень!B179</f>
        <v>Григоренко Н.Е.</v>
      </c>
      <c r="C179" s="12" t="s">
        <v>535</v>
      </c>
      <c r="D179" s="14" t="n">
        <f aca="false">березень!P179</f>
        <v>773.79</v>
      </c>
      <c r="E179" s="14" t="n">
        <f aca="false">березень!Q179</f>
        <v>0</v>
      </c>
      <c r="F179" s="13" t="n">
        <f aca="false">березень!F179</f>
        <v>0</v>
      </c>
      <c r="G179" s="13" t="n">
        <f aca="false">березень!G179</f>
        <v>62.91</v>
      </c>
      <c r="H179" s="13" t="n">
        <f aca="false">березень!H179</f>
        <v>0</v>
      </c>
      <c r="I179" s="13" t="n">
        <f aca="false">березень!I179</f>
        <v>4.1</v>
      </c>
      <c r="J179" s="14" t="n">
        <f aca="false">ROUND(G179*I179,2)</f>
        <v>257.93</v>
      </c>
      <c r="K179" s="14"/>
      <c r="L179" s="14"/>
      <c r="M179" s="14"/>
      <c r="N179" s="14" t="n">
        <f aca="false">ROUND((G179*I179)-K179-L179-M179,2)</f>
        <v>257.93</v>
      </c>
      <c r="O179" s="14"/>
      <c r="P179" s="14" t="n">
        <f aca="false">ROUND(IF(D179=0,IF((N179-E179-O179)&gt;0,(N179-E179-O179),0),IF((D179+N179-O179)&gt;0,(D179+N179-O179),0)),2)</f>
        <v>1031.72</v>
      </c>
      <c r="Q179" s="14" t="n">
        <f aca="false">ROUND(IF(E179=0,IF((D179+N179-O179)&lt;0,ABS(D179+N179-O179),0),IF((N179-E179-O179)&lt;0,ABS(N179-E179-O179),0)),2)</f>
        <v>0</v>
      </c>
    </row>
    <row r="180" customFormat="false" ht="15" hidden="false" customHeight="true" outlineLevel="0" collapsed="false">
      <c r="A180" s="12" t="s">
        <v>536</v>
      </c>
      <c r="B180" s="12" t="str">
        <f aca="false">березень!B180</f>
        <v>Бондарчук В.В.</v>
      </c>
      <c r="C180" s="12" t="s">
        <v>538</v>
      </c>
      <c r="D180" s="14" t="n">
        <f aca="false">березень!P180</f>
        <v>812.16</v>
      </c>
      <c r="E180" s="14" t="n">
        <f aca="false">березень!Q180</f>
        <v>0</v>
      </c>
      <c r="F180" s="13" t="n">
        <f aca="false">березень!F180</f>
        <v>0</v>
      </c>
      <c r="G180" s="13" t="n">
        <f aca="false">березень!G180</f>
        <v>66.03</v>
      </c>
      <c r="H180" s="13" t="n">
        <f aca="false">березень!H180</f>
        <v>0</v>
      </c>
      <c r="I180" s="13" t="n">
        <f aca="false">березень!I180</f>
        <v>4.1</v>
      </c>
      <c r="J180" s="14" t="n">
        <f aca="false">ROUND(G180*I180,2)</f>
        <v>270.72</v>
      </c>
      <c r="K180" s="14"/>
      <c r="L180" s="14"/>
      <c r="M180" s="14"/>
      <c r="N180" s="14" t="n">
        <f aca="false">ROUND((G180*I180)-K180-L180-M180,2)</f>
        <v>270.72</v>
      </c>
      <c r="O180" s="14"/>
      <c r="P180" s="14" t="n">
        <f aca="false">ROUND(IF(D180=0,IF((N180-E180-O180)&gt;0,(N180-E180-O180),0),IF((D180+N180-O180)&gt;0,(D180+N180-O180),0)),2)</f>
        <v>1082.88</v>
      </c>
      <c r="Q180" s="14" t="n">
        <f aca="false">ROUND(IF(E180=0,IF((D180+N180-O180)&lt;0,ABS(D180+N180-O180),0),IF((N180-E180-O180)&lt;0,ABS(N180-E180-O180),0)),2)</f>
        <v>0</v>
      </c>
    </row>
    <row r="181" customFormat="false" ht="15" hidden="false" customHeight="true" outlineLevel="0" collapsed="false">
      <c r="A181" s="12" t="s">
        <v>539</v>
      </c>
      <c r="B181" s="12" t="str">
        <f aca="false">березень!B181</f>
        <v>Рябініна Н.І.</v>
      </c>
      <c r="C181" s="12" t="s">
        <v>541</v>
      </c>
      <c r="D181" s="14" t="n">
        <f aca="false">березень!P181</f>
        <v>447.73</v>
      </c>
      <c r="E181" s="14" t="n">
        <f aca="false">березень!Q181</f>
        <v>0</v>
      </c>
      <c r="F181" s="13" t="n">
        <f aca="false">березень!F181</f>
        <v>0</v>
      </c>
      <c r="G181" s="13" t="n">
        <f aca="false">березень!G181</f>
        <v>49.9</v>
      </c>
      <c r="H181" s="13" t="n">
        <f aca="false">березень!H181</f>
        <v>0</v>
      </c>
      <c r="I181" s="13" t="n">
        <f aca="false">березень!I181</f>
        <v>4.1</v>
      </c>
      <c r="J181" s="14" t="n">
        <f aca="false">ROUND(G181*I181,2)</f>
        <v>204.59</v>
      </c>
      <c r="K181" s="14"/>
      <c r="L181" s="14"/>
      <c r="M181" s="14"/>
      <c r="N181" s="14" t="n">
        <f aca="false">ROUND((G181*I181)-K181-L181-M181,2)</f>
        <v>204.59</v>
      </c>
      <c r="O181" s="14"/>
      <c r="P181" s="14" t="n">
        <f aca="false">ROUND(IF(D181=0,IF((N181-E181-O181)&gt;0,(N181-E181-O181),0),IF((D181+N181-O181)&gt;0,(D181+N181-O181),0)),2)</f>
        <v>652.32</v>
      </c>
      <c r="Q181" s="14" t="n">
        <f aca="false">ROUND(IF(E181=0,IF((D181+N181-O181)&lt;0,ABS(D181+N181-O181),0),IF((N181-E181-O181)&lt;0,ABS(N181-E181-O181),0)),2)</f>
        <v>0</v>
      </c>
    </row>
    <row r="182" customFormat="false" ht="15" hidden="false" customHeight="true" outlineLevel="0" collapsed="false">
      <c r="A182" s="12" t="s">
        <v>542</v>
      </c>
      <c r="B182" s="12" t="str">
        <f aca="false">березень!B182</f>
        <v>Шапіро В.І.</v>
      </c>
      <c r="C182" s="12" t="s">
        <v>544</v>
      </c>
      <c r="D182" s="14" t="n">
        <f aca="false">березень!P182</f>
        <v>429.51</v>
      </c>
      <c r="E182" s="14" t="n">
        <f aca="false">березень!Q182</f>
        <v>0</v>
      </c>
      <c r="F182" s="13" t="n">
        <f aca="false">березень!F182</f>
        <v>0</v>
      </c>
      <c r="G182" s="13" t="n">
        <f aca="false">березень!G182</f>
        <v>34.92</v>
      </c>
      <c r="H182" s="13" t="n">
        <f aca="false">березень!H182</f>
        <v>0</v>
      </c>
      <c r="I182" s="13" t="n">
        <f aca="false">березень!I182</f>
        <v>4.1</v>
      </c>
      <c r="J182" s="14" t="n">
        <f aca="false">ROUND(G182*I182,2)</f>
        <v>143.17</v>
      </c>
      <c r="K182" s="14"/>
      <c r="L182" s="14"/>
      <c r="M182" s="14"/>
      <c r="N182" s="14" t="n">
        <f aca="false">ROUND((G182*I182)-K182-L182-M182,2)</f>
        <v>143.17</v>
      </c>
      <c r="O182" s="14"/>
      <c r="P182" s="14" t="n">
        <f aca="false">ROUND(IF(D182=0,IF((N182-E182-O182)&gt;0,(N182-E182-O182),0),IF((D182+N182-O182)&gt;0,(D182+N182-O182),0)),2)</f>
        <v>572.68</v>
      </c>
      <c r="Q182" s="14" t="n">
        <f aca="false">ROUND(IF(E182=0,IF((D182+N182-O182)&lt;0,ABS(D182+N182-O182),0),IF((N182-E182-O182)&lt;0,ABS(N182-E182-O182),0)),2)</f>
        <v>0</v>
      </c>
    </row>
    <row r="183" customFormat="false" ht="15" hidden="false" customHeight="true" outlineLevel="0" collapsed="false">
      <c r="A183" s="12" t="s">
        <v>545</v>
      </c>
      <c r="B183" s="12" t="str">
        <f aca="false">березень!B183</f>
        <v>Крамаренко О.О.</v>
      </c>
      <c r="C183" s="12" t="s">
        <v>547</v>
      </c>
      <c r="D183" s="14" t="n">
        <f aca="false">березень!P183</f>
        <v>761.49</v>
      </c>
      <c r="E183" s="14" t="n">
        <f aca="false">березень!Q183</f>
        <v>0</v>
      </c>
      <c r="F183" s="13" t="n">
        <f aca="false">березень!F183</f>
        <v>0</v>
      </c>
      <c r="G183" s="13" t="n">
        <f aca="false">березень!G183</f>
        <v>61.91</v>
      </c>
      <c r="H183" s="13" t="n">
        <f aca="false">березень!H183</f>
        <v>0</v>
      </c>
      <c r="I183" s="13" t="n">
        <f aca="false">березень!I183</f>
        <v>4.1</v>
      </c>
      <c r="J183" s="14" t="n">
        <f aca="false">ROUND(G183*I183,2)</f>
        <v>253.83</v>
      </c>
      <c r="K183" s="14"/>
      <c r="L183" s="14"/>
      <c r="M183" s="14"/>
      <c r="N183" s="14" t="n">
        <f aca="false">ROUND((G183*I183)-K183-L183-M183,2)</f>
        <v>253.83</v>
      </c>
      <c r="O183" s="14"/>
      <c r="P183" s="14" t="n">
        <f aca="false">ROUND(IF(D183=0,IF((N183-E183-O183)&gt;0,(N183-E183-O183),0),IF((D183+N183-O183)&gt;0,(D183+N183-O183),0)),2)</f>
        <v>1015.32</v>
      </c>
      <c r="Q183" s="14" t="n">
        <f aca="false">ROUND(IF(E183=0,IF((D183+N183-O183)&lt;0,ABS(D183+N183-O183),0),IF((N183-E183-O183)&lt;0,ABS(N183-E183-O183),0)),2)</f>
        <v>0</v>
      </c>
    </row>
    <row r="184" customFormat="false" ht="15" hidden="false" customHeight="true" outlineLevel="0" collapsed="false">
      <c r="A184" s="12" t="s">
        <v>548</v>
      </c>
      <c r="B184" s="12" t="str">
        <f aca="false">березень!B184</f>
        <v>Свиридов В.Ф.</v>
      </c>
      <c r="C184" s="12" t="s">
        <v>550</v>
      </c>
      <c r="D184" s="14" t="n">
        <f aca="false">березень!P184</f>
        <v>12875.47</v>
      </c>
      <c r="E184" s="14" t="n">
        <f aca="false">березень!Q184</f>
        <v>0</v>
      </c>
      <c r="F184" s="13" t="n">
        <f aca="false">березень!F184</f>
        <v>0</v>
      </c>
      <c r="G184" s="13" t="n">
        <f aca="false">березень!G184</f>
        <v>65.15</v>
      </c>
      <c r="H184" s="13" t="n">
        <f aca="false">березень!H184</f>
        <v>0</v>
      </c>
      <c r="I184" s="13" t="n">
        <f aca="false">березень!I184</f>
        <v>4.1</v>
      </c>
      <c r="J184" s="14" t="n">
        <f aca="false">ROUND(G184*I184,2)</f>
        <v>267.12</v>
      </c>
      <c r="K184" s="14"/>
      <c r="L184" s="14"/>
      <c r="M184" s="14"/>
      <c r="N184" s="14" t="n">
        <f aca="false">ROUND((G184*I184)-K184-L184-M184,2)</f>
        <v>267.12</v>
      </c>
      <c r="O184" s="14"/>
      <c r="P184" s="14" t="n">
        <f aca="false">ROUND(IF(D184=0,IF((N184-E184-O184)&gt;0,(N184-E184-O184),0),IF((D184+N184-O184)&gt;0,(D184+N184-O184),0)),2)</f>
        <v>13142.59</v>
      </c>
      <c r="Q184" s="14" t="n">
        <f aca="false">ROUND(IF(E184=0,IF((D184+N184-O184)&lt;0,ABS(D184+N184-O184),0),IF((N184-E184-O184)&lt;0,ABS(N184-E184-O184),0)),2)</f>
        <v>0</v>
      </c>
    </row>
    <row r="185" customFormat="false" ht="15" hidden="false" customHeight="true" outlineLevel="0" collapsed="false">
      <c r="A185" s="12" t="s">
        <v>551</v>
      </c>
      <c r="B185" s="12" t="str">
        <f aca="false">березень!B185</f>
        <v>Домацький В.А.</v>
      </c>
      <c r="C185" s="12" t="s">
        <v>553</v>
      </c>
      <c r="D185" s="14" t="n">
        <f aca="false">березень!P185</f>
        <v>615</v>
      </c>
      <c r="E185" s="14" t="n">
        <f aca="false">березень!Q185</f>
        <v>0</v>
      </c>
      <c r="F185" s="13" t="n">
        <f aca="false">березень!F185</f>
        <v>0</v>
      </c>
      <c r="G185" s="13" t="n">
        <f aca="false">березень!G185</f>
        <v>50</v>
      </c>
      <c r="H185" s="13" t="n">
        <f aca="false">березень!H185</f>
        <v>0</v>
      </c>
      <c r="I185" s="13" t="n">
        <f aca="false">березень!I185</f>
        <v>4.1</v>
      </c>
      <c r="J185" s="14" t="n">
        <f aca="false">ROUND(G185*I185,2)</f>
        <v>205</v>
      </c>
      <c r="K185" s="14"/>
      <c r="L185" s="14"/>
      <c r="M185" s="14"/>
      <c r="N185" s="14" t="n">
        <f aca="false">ROUND((G185*I185)-K185-L185-M185,2)</f>
        <v>205</v>
      </c>
      <c r="O185" s="14"/>
      <c r="P185" s="14" t="n">
        <f aca="false">ROUND(IF(D185=0,IF((N185-E185-O185)&gt;0,(N185-E185-O185),0),IF((D185+N185-O185)&gt;0,(D185+N185-O185),0)),2)</f>
        <v>820</v>
      </c>
      <c r="Q185" s="14" t="n">
        <f aca="false">ROUND(IF(E185=0,IF((D185+N185-O185)&lt;0,ABS(D185+N185-O185),0),IF((N185-E185-O185)&lt;0,ABS(N185-E185-O185),0)),2)</f>
        <v>0</v>
      </c>
    </row>
    <row r="186" customFormat="false" ht="15" hidden="false" customHeight="true" outlineLevel="0" collapsed="false">
      <c r="A186" s="12" t="s">
        <v>554</v>
      </c>
      <c r="B186" s="12" t="str">
        <f aca="false">березень!B186</f>
        <v>Шаповалова І.А.</v>
      </c>
      <c r="C186" s="12" t="s">
        <v>556</v>
      </c>
      <c r="D186" s="14" t="n">
        <f aca="false">березень!P186</f>
        <v>6619.14</v>
      </c>
      <c r="E186" s="14" t="n">
        <f aca="false">березень!Q186</f>
        <v>0</v>
      </c>
      <c r="F186" s="13" t="n">
        <f aca="false">березень!F186</f>
        <v>0</v>
      </c>
      <c r="G186" s="13" t="n">
        <f aca="false">березень!G186</f>
        <v>35.1</v>
      </c>
      <c r="H186" s="13" t="n">
        <f aca="false">березень!H186</f>
        <v>0</v>
      </c>
      <c r="I186" s="13" t="n">
        <f aca="false">березень!I186</f>
        <v>4.1</v>
      </c>
      <c r="J186" s="14" t="n">
        <f aca="false">ROUND(G186*I186,2)</f>
        <v>143.91</v>
      </c>
      <c r="K186" s="14"/>
      <c r="L186" s="14"/>
      <c r="M186" s="14"/>
      <c r="N186" s="14" t="n">
        <f aca="false">ROUND((G186*I186)-K186-L186-M186,2)</f>
        <v>143.91</v>
      </c>
      <c r="O186" s="14"/>
      <c r="P186" s="14" t="n">
        <f aca="false">ROUND(IF(D186=0,IF((N186-E186-O186)&gt;0,(N186-E186-O186),0),IF((D186+N186-O186)&gt;0,(D186+N186-O186),0)),2)</f>
        <v>6763.05</v>
      </c>
      <c r="Q186" s="14" t="n">
        <f aca="false">ROUND(IF(E186=0,IF((D186+N186-O186)&lt;0,ABS(D186+N186-O186),0),IF((N186-E186-O186)&lt;0,ABS(N186-E186-O186),0)),2)</f>
        <v>0</v>
      </c>
    </row>
    <row r="187" customFormat="false" ht="15" hidden="false" customHeight="true" outlineLevel="0" collapsed="false">
      <c r="A187" s="12" t="s">
        <v>557</v>
      </c>
      <c r="B187" s="12" t="str">
        <f aca="false">березень!B187</f>
        <v>Кононенко О.В.</v>
      </c>
      <c r="C187" s="12" t="s">
        <v>559</v>
      </c>
      <c r="D187" s="14" t="n">
        <f aca="false">березень!P187</f>
        <v>2259.36</v>
      </c>
      <c r="E187" s="14" t="n">
        <f aca="false">березень!Q187</f>
        <v>0</v>
      </c>
      <c r="F187" s="13" t="n">
        <f aca="false">березень!F187</f>
        <v>0</v>
      </c>
      <c r="G187" s="13" t="n">
        <f aca="false">березень!G187</f>
        <v>61.8</v>
      </c>
      <c r="H187" s="13" t="n">
        <f aca="false">березень!H187</f>
        <v>0</v>
      </c>
      <c r="I187" s="13" t="n">
        <f aca="false">березень!I187</f>
        <v>4.1</v>
      </c>
      <c r="J187" s="14" t="n">
        <f aca="false">ROUND(G187*I187,2)</f>
        <v>253.38</v>
      </c>
      <c r="K187" s="14"/>
      <c r="L187" s="14"/>
      <c r="M187" s="14"/>
      <c r="N187" s="14" t="n">
        <f aca="false">ROUND((G187*I187)-K187-L187-M187,2)</f>
        <v>253.38</v>
      </c>
      <c r="O187" s="14"/>
      <c r="P187" s="14" t="n">
        <f aca="false">ROUND(IF(D187=0,IF((N187-E187-O187)&gt;0,(N187-E187-O187),0),IF((D187+N187-O187)&gt;0,(D187+N187-O187),0)),2)</f>
        <v>2512.74</v>
      </c>
      <c r="Q187" s="14" t="n">
        <f aca="false">ROUND(IF(E187=0,IF((D187+N187-O187)&lt;0,ABS(D187+N187-O187),0),IF((N187-E187-O187)&lt;0,ABS(N187-E187-O187),0)),2)</f>
        <v>0</v>
      </c>
    </row>
    <row r="188" customFormat="false" ht="15" hidden="false" customHeight="true" outlineLevel="0" collapsed="false">
      <c r="A188" s="12" t="s">
        <v>560</v>
      </c>
      <c r="B188" s="12" t="str">
        <f aca="false">березень!B188</f>
        <v>Овчаренко Т.І.</v>
      </c>
      <c r="C188" s="12" t="s">
        <v>562</v>
      </c>
      <c r="D188" s="14" t="n">
        <f aca="false">березень!P188</f>
        <v>874.05</v>
      </c>
      <c r="E188" s="14" t="n">
        <f aca="false">березень!Q188</f>
        <v>0</v>
      </c>
      <c r="F188" s="13" t="n">
        <f aca="false">березень!F188</f>
        <v>0</v>
      </c>
      <c r="G188" s="13" t="n">
        <f aca="false">березень!G188</f>
        <v>71.06</v>
      </c>
      <c r="H188" s="13" t="n">
        <f aca="false">березень!H188</f>
        <v>0</v>
      </c>
      <c r="I188" s="13" t="n">
        <f aca="false">березень!I188</f>
        <v>4.1</v>
      </c>
      <c r="J188" s="14" t="n">
        <f aca="false">ROUND(G188*I188,2)</f>
        <v>291.35</v>
      </c>
      <c r="K188" s="14"/>
      <c r="L188" s="14"/>
      <c r="M188" s="14"/>
      <c r="N188" s="14" t="n">
        <f aca="false">ROUND((G188*I188)-K188-L188-M188,2)</f>
        <v>291.35</v>
      </c>
      <c r="O188" s="14"/>
      <c r="P188" s="14" t="n">
        <f aca="false">ROUND(IF(D188=0,IF((N188-E188-O188)&gt;0,(N188-E188-O188),0),IF((D188+N188-O188)&gt;0,(D188+N188-O188),0)),2)</f>
        <v>1165.4</v>
      </c>
      <c r="Q188" s="14" t="n">
        <f aca="false">ROUND(IF(E188=0,IF((D188+N188-O188)&lt;0,ABS(D188+N188-O188),0),IF((N188-E188-O188)&lt;0,ABS(N188-E188-O188),0)),2)</f>
        <v>0</v>
      </c>
    </row>
    <row r="189" customFormat="false" ht="15" hidden="false" customHeight="true" outlineLevel="0" collapsed="false">
      <c r="A189" s="12" t="s">
        <v>563</v>
      </c>
      <c r="B189" s="12" t="str">
        <f aca="false">березень!B189</f>
        <v>Попукайло О.Г.</v>
      </c>
      <c r="C189" s="12" t="s">
        <v>565</v>
      </c>
      <c r="D189" s="14" t="n">
        <f aca="false">березень!P189</f>
        <v>5359.28</v>
      </c>
      <c r="E189" s="14" t="n">
        <f aca="false">березень!Q189</f>
        <v>0</v>
      </c>
      <c r="F189" s="13" t="n">
        <f aca="false">березень!F189</f>
        <v>0</v>
      </c>
      <c r="G189" s="13" t="n">
        <f aca="false">березень!G189</f>
        <v>49.15</v>
      </c>
      <c r="H189" s="13" t="n">
        <f aca="false">березень!H189</f>
        <v>0</v>
      </c>
      <c r="I189" s="13" t="n">
        <f aca="false">березень!I189</f>
        <v>4.1</v>
      </c>
      <c r="J189" s="14" t="n">
        <f aca="false">ROUND(G189*I189,2)</f>
        <v>201.52</v>
      </c>
      <c r="K189" s="14"/>
      <c r="L189" s="14"/>
      <c r="M189" s="14"/>
      <c r="N189" s="14" t="n">
        <f aca="false">ROUND((G189*I189)-K189-L189-M189,2)</f>
        <v>201.52</v>
      </c>
      <c r="O189" s="14"/>
      <c r="P189" s="14" t="n">
        <f aca="false">ROUND(IF(D189=0,IF((N189-E189-O189)&gt;0,(N189-E189-O189),0),IF((D189+N189-O189)&gt;0,(D189+N189-O189),0)),2)</f>
        <v>5560.8</v>
      </c>
      <c r="Q189" s="14" t="n">
        <f aca="false">ROUND(IF(E189=0,IF((D189+N189-O189)&lt;0,ABS(D189+N189-O189),0),IF((N189-E189-O189)&lt;0,ABS(N189-E189-O189),0)),2)</f>
        <v>0</v>
      </c>
    </row>
    <row r="190" customFormat="false" ht="15" hidden="false" customHeight="true" outlineLevel="0" collapsed="false">
      <c r="A190" s="12" t="s">
        <v>566</v>
      </c>
      <c r="B190" s="12" t="str">
        <f aca="false">березень!B190</f>
        <v>Онищенко А.В.</v>
      </c>
      <c r="C190" s="12" t="s">
        <v>568</v>
      </c>
      <c r="D190" s="14" t="n">
        <f aca="false">березень!P190</f>
        <v>6832.03</v>
      </c>
      <c r="E190" s="14" t="n">
        <f aca="false">березень!Q190</f>
        <v>0</v>
      </c>
      <c r="F190" s="13" t="n">
        <f aca="false">березень!F190</f>
        <v>0</v>
      </c>
      <c r="G190" s="13" t="n">
        <f aca="false">березень!G190</f>
        <v>53.72</v>
      </c>
      <c r="H190" s="13" t="n">
        <f aca="false">березень!H190</f>
        <v>0</v>
      </c>
      <c r="I190" s="13" t="n">
        <f aca="false">березень!I190</f>
        <v>4.1</v>
      </c>
      <c r="J190" s="14" t="n">
        <f aca="false">ROUND(G190*I190,2)</f>
        <v>220.25</v>
      </c>
      <c r="K190" s="14"/>
      <c r="L190" s="14"/>
      <c r="M190" s="14"/>
      <c r="N190" s="14" t="n">
        <f aca="false">ROUND((G190*I190)-K190-L190-M190,2)</f>
        <v>220.25</v>
      </c>
      <c r="O190" s="14"/>
      <c r="P190" s="14" t="n">
        <f aca="false">ROUND(IF(D190=0,IF((N190-E190-O190)&gt;0,(N190-E190-O190),0),IF((D190+N190-O190)&gt;0,(D190+N190-O190),0)),2)</f>
        <v>7052.28</v>
      </c>
      <c r="Q190" s="14" t="n">
        <f aca="false">ROUND(IF(E190=0,IF((D190+N190-O190)&lt;0,ABS(D190+N190-O190),0),IF((N190-E190-O190)&lt;0,ABS(N190-E190-O190),0)),2)</f>
        <v>0</v>
      </c>
    </row>
    <row r="191" customFormat="false" ht="15" hidden="false" customHeight="true" outlineLevel="0" collapsed="false">
      <c r="A191" s="12" t="s">
        <v>569</v>
      </c>
      <c r="B191" s="12" t="str">
        <f aca="false">березень!B191</f>
        <v>Соколова О.О.</v>
      </c>
      <c r="C191" s="12" t="s">
        <v>571</v>
      </c>
      <c r="D191" s="14" t="n">
        <f aca="false">березень!P191</f>
        <v>1131.12</v>
      </c>
      <c r="E191" s="14" t="n">
        <f aca="false">березень!Q191</f>
        <v>0</v>
      </c>
      <c r="F191" s="13" t="n">
        <f aca="false">березень!F191</f>
        <v>0</v>
      </c>
      <c r="G191" s="13" t="n">
        <f aca="false">березень!G191</f>
        <v>68.97</v>
      </c>
      <c r="H191" s="13" t="n">
        <f aca="false">березень!H191</f>
        <v>0</v>
      </c>
      <c r="I191" s="13" t="n">
        <f aca="false">березень!I191</f>
        <v>4.1</v>
      </c>
      <c r="J191" s="14" t="n">
        <f aca="false">ROUND(G191*I191,2)</f>
        <v>282.78</v>
      </c>
      <c r="K191" s="14"/>
      <c r="L191" s="14"/>
      <c r="M191" s="14"/>
      <c r="N191" s="14" t="n">
        <f aca="false">ROUND((G191*I191)-K191-L191-M191,2)</f>
        <v>282.78</v>
      </c>
      <c r="O191" s="14"/>
      <c r="P191" s="14" t="n">
        <f aca="false">ROUND(IF(D191=0,IF((N191-E191-O191)&gt;0,(N191-E191-O191),0),IF((D191+N191-O191)&gt;0,(D191+N191-O191),0)),2)</f>
        <v>1413.9</v>
      </c>
      <c r="Q191" s="14" t="n">
        <f aca="false">ROUND(IF(E191=0,IF((D191+N191-O191)&lt;0,ABS(D191+N191-O191),0),IF((N191-E191-O191)&lt;0,ABS(N191-E191-O191),0)),2)</f>
        <v>0</v>
      </c>
    </row>
    <row r="192" customFormat="false" ht="15" hidden="false" customHeight="true" outlineLevel="0" collapsed="false">
      <c r="A192" s="12" t="s">
        <v>572</v>
      </c>
      <c r="B192" s="12" t="str">
        <f aca="false">березень!B192</f>
        <v>Ільіна В.П.</v>
      </c>
      <c r="C192" s="12" t="s">
        <v>574</v>
      </c>
      <c r="D192" s="14" t="n">
        <f aca="false">березень!P192</f>
        <v>8635.44</v>
      </c>
      <c r="E192" s="14" t="n">
        <f aca="false">березень!Q192</f>
        <v>0</v>
      </c>
      <c r="F192" s="13" t="n">
        <f aca="false">березень!F192</f>
        <v>0</v>
      </c>
      <c r="G192" s="13" t="n">
        <f aca="false">березень!G192</f>
        <v>49.86</v>
      </c>
      <c r="H192" s="13" t="n">
        <f aca="false">березень!H192</f>
        <v>0</v>
      </c>
      <c r="I192" s="13" t="n">
        <f aca="false">березень!I192</f>
        <v>4.1</v>
      </c>
      <c r="J192" s="14" t="n">
        <f aca="false">ROUND(G192*I192,2)</f>
        <v>204.43</v>
      </c>
      <c r="K192" s="14"/>
      <c r="L192" s="14"/>
      <c r="M192" s="14"/>
      <c r="N192" s="14" t="n">
        <f aca="false">ROUND((G192*I192)-K192-L192-M192,2)</f>
        <v>204.43</v>
      </c>
      <c r="O192" s="14"/>
      <c r="P192" s="14" t="n">
        <f aca="false">ROUND(IF(D192=0,IF((N192-E192-O192)&gt;0,(N192-E192-O192),0),IF((D192+N192-O192)&gt;0,(D192+N192-O192),0)),2)</f>
        <v>8839.87</v>
      </c>
      <c r="Q192" s="14" t="n">
        <f aca="false">ROUND(IF(E192=0,IF((D192+N192-O192)&lt;0,ABS(D192+N192-O192),0),IF((N192-E192-O192)&lt;0,ABS(N192-E192-O192),0)),2)</f>
        <v>0</v>
      </c>
    </row>
    <row r="193" customFormat="false" ht="15" hidden="false" customHeight="true" outlineLevel="0" collapsed="false">
      <c r="A193" s="12" t="s">
        <v>575</v>
      </c>
      <c r="B193" s="12" t="str">
        <f aca="false">березень!B193</f>
        <v>Чешок Г.К.</v>
      </c>
      <c r="C193" s="12" t="s">
        <v>577</v>
      </c>
      <c r="D193" s="14" t="n">
        <f aca="false">березень!P193</f>
        <v>12635.04</v>
      </c>
      <c r="E193" s="14" t="n">
        <f aca="false">березень!Q193</f>
        <v>0</v>
      </c>
      <c r="F193" s="13" t="n">
        <f aca="false">березень!F193</f>
        <v>0</v>
      </c>
      <c r="G193" s="13" t="n">
        <f aca="false">березень!G193</f>
        <v>60.86</v>
      </c>
      <c r="H193" s="13" t="n">
        <f aca="false">березень!H193</f>
        <v>0</v>
      </c>
      <c r="I193" s="13" t="n">
        <f aca="false">березень!I193</f>
        <v>4.1</v>
      </c>
      <c r="J193" s="14" t="n">
        <f aca="false">ROUND(G193*I193,2)</f>
        <v>249.53</v>
      </c>
      <c r="K193" s="14"/>
      <c r="L193" s="14"/>
      <c r="M193" s="14"/>
      <c r="N193" s="14" t="n">
        <f aca="false">ROUND((G193*I193)-K193-L193-M193,2)</f>
        <v>249.53</v>
      </c>
      <c r="O193" s="14"/>
      <c r="P193" s="14" t="n">
        <f aca="false">ROUND(IF(D193=0,IF((N193-E193-O193)&gt;0,(N193-E193-O193),0),IF((D193+N193-O193)&gt;0,(D193+N193-O193),0)),2)</f>
        <v>12884.57</v>
      </c>
      <c r="Q193" s="14" t="n">
        <f aca="false">ROUND(IF(E193=0,IF((D193+N193-O193)&lt;0,ABS(D193+N193-O193),0),IF((N193-E193-O193)&lt;0,ABS(N193-E193-O193),0)),2)</f>
        <v>0</v>
      </c>
    </row>
    <row r="194" customFormat="false" ht="15" hidden="false" customHeight="true" outlineLevel="0" collapsed="false">
      <c r="A194" s="12" t="s">
        <v>578</v>
      </c>
      <c r="B194" s="12" t="str">
        <f aca="false">березень!B194</f>
        <v>Бердников В.А.</v>
      </c>
      <c r="C194" s="12" t="s">
        <v>580</v>
      </c>
      <c r="D194" s="14" t="n">
        <f aca="false">березень!P194</f>
        <v>9193.15</v>
      </c>
      <c r="E194" s="14" t="n">
        <f aca="false">березень!Q194</f>
        <v>0</v>
      </c>
      <c r="F194" s="13" t="n">
        <f aca="false">березень!F194</f>
        <v>0</v>
      </c>
      <c r="G194" s="13" t="n">
        <f aca="false">березень!G194</f>
        <v>66.75</v>
      </c>
      <c r="H194" s="13" t="n">
        <f aca="false">березень!H194</f>
        <v>0</v>
      </c>
      <c r="I194" s="13" t="n">
        <f aca="false">березень!I194</f>
        <v>4.1</v>
      </c>
      <c r="J194" s="14" t="n">
        <f aca="false">ROUND(G194*I194,2)</f>
        <v>273.68</v>
      </c>
      <c r="K194" s="14"/>
      <c r="L194" s="14"/>
      <c r="M194" s="14"/>
      <c r="N194" s="14" t="n">
        <f aca="false">ROUND((G194*I194)-K194-L194-M194,2)</f>
        <v>273.68</v>
      </c>
      <c r="O194" s="14"/>
      <c r="P194" s="14" t="n">
        <f aca="false">ROUND(IF(D194=0,IF((N194-E194-O194)&gt;0,(N194-E194-O194),0),IF((D194+N194-O194)&gt;0,(D194+N194-O194),0)),2)</f>
        <v>9466.83</v>
      </c>
      <c r="Q194" s="14" t="n">
        <f aca="false">ROUND(IF(E194=0,IF((D194+N194-O194)&lt;0,ABS(D194+N194-O194),0),IF((N194-E194-O194)&lt;0,ABS(N194-E194-O194),0)),2)</f>
        <v>0</v>
      </c>
    </row>
    <row r="195" customFormat="false" ht="15" hidden="false" customHeight="true" outlineLevel="0" collapsed="false">
      <c r="A195" s="12" t="s">
        <v>581</v>
      </c>
      <c r="B195" s="12" t="str">
        <f aca="false">березень!B195</f>
        <v>Щербак Н.В.</v>
      </c>
      <c r="C195" s="12" t="s">
        <v>583</v>
      </c>
      <c r="D195" s="14" t="n">
        <f aca="false">березень!P195</f>
        <v>13968.77</v>
      </c>
      <c r="E195" s="14" t="n">
        <f aca="false">березень!Q195</f>
        <v>0</v>
      </c>
      <c r="F195" s="13" t="n">
        <f aca="false">березень!F195</f>
        <v>0</v>
      </c>
      <c r="G195" s="13" t="n">
        <f aca="false">березень!G195</f>
        <v>72.49</v>
      </c>
      <c r="H195" s="13" t="n">
        <f aca="false">березень!H195</f>
        <v>0</v>
      </c>
      <c r="I195" s="13" t="n">
        <f aca="false">березень!I195</f>
        <v>4.1</v>
      </c>
      <c r="J195" s="14" t="n">
        <f aca="false">ROUND(G195*I195,2)</f>
        <v>297.21</v>
      </c>
      <c r="K195" s="14"/>
      <c r="L195" s="14"/>
      <c r="M195" s="14"/>
      <c r="N195" s="14" t="n">
        <f aca="false">ROUND((G195*I195)-K195-L195-M195,2)</f>
        <v>297.21</v>
      </c>
      <c r="O195" s="14"/>
      <c r="P195" s="14" t="n">
        <f aca="false">ROUND(IF(D195=0,IF((N195-E195-O195)&gt;0,(N195-E195-O195),0),IF((D195+N195-O195)&gt;0,(D195+N195-O195),0)),2)</f>
        <v>14265.98</v>
      </c>
      <c r="Q195" s="14" t="n">
        <f aca="false">ROUND(IF(E195=0,IF((D195+N195-O195)&lt;0,ABS(D195+N195-O195),0),IF((N195-E195-O195)&lt;0,ABS(N195-E195-O195),0)),2)</f>
        <v>0</v>
      </c>
    </row>
    <row r="196" customFormat="false" ht="15" hidden="false" customHeight="true" outlineLevel="0" collapsed="false">
      <c r="A196" s="12" t="s">
        <v>584</v>
      </c>
      <c r="B196" s="12" t="str">
        <f aca="false">березень!B196</f>
        <v>Рожков Ю.М.</v>
      </c>
      <c r="C196" s="12" t="s">
        <v>586</v>
      </c>
      <c r="D196" s="14" t="n">
        <f aca="false">березень!P196</f>
        <v>554.72</v>
      </c>
      <c r="E196" s="14" t="n">
        <f aca="false">березень!Q196</f>
        <v>0</v>
      </c>
      <c r="F196" s="13" t="n">
        <f aca="false">березень!F196</f>
        <v>0</v>
      </c>
      <c r="G196" s="13" t="n">
        <f aca="false">березень!G196</f>
        <v>49.8</v>
      </c>
      <c r="H196" s="13" t="n">
        <f aca="false">березень!H196</f>
        <v>0</v>
      </c>
      <c r="I196" s="13" t="n">
        <f aca="false">березень!I196</f>
        <v>4.1</v>
      </c>
      <c r="J196" s="14" t="n">
        <f aca="false">ROUND(G196*I196,2)</f>
        <v>204.18</v>
      </c>
      <c r="K196" s="14"/>
      <c r="L196" s="14"/>
      <c r="M196" s="14"/>
      <c r="N196" s="14" t="n">
        <f aca="false">ROUND((G196*I196)-K196-L196-M196,2)</f>
        <v>204.18</v>
      </c>
      <c r="O196" s="14"/>
      <c r="P196" s="14" t="n">
        <f aca="false">ROUND(IF(D196=0,IF((N196-E196-O196)&gt;0,(N196-E196-O196),0),IF((D196+N196-O196)&gt;0,(D196+N196-O196),0)),2)</f>
        <v>758.9</v>
      </c>
      <c r="Q196" s="14" t="n">
        <f aca="false">ROUND(IF(E196=0,IF((D196+N196-O196)&lt;0,ABS(D196+N196-O196),0),IF((N196-E196-O196)&lt;0,ABS(N196-E196-O196),0)),2)</f>
        <v>0</v>
      </c>
    </row>
    <row r="197" customFormat="false" ht="15" hidden="false" customHeight="true" outlineLevel="0" collapsed="false">
      <c r="A197" s="12" t="s">
        <v>587</v>
      </c>
      <c r="B197" s="12" t="str">
        <f aca="false">березень!B197</f>
        <v>Кобець В.В.</v>
      </c>
      <c r="C197" s="12" t="s">
        <v>589</v>
      </c>
      <c r="D197" s="14" t="n">
        <f aca="false">березень!P197</f>
        <v>8006.31</v>
      </c>
      <c r="E197" s="14" t="n">
        <f aca="false">березень!Q197</f>
        <v>0</v>
      </c>
      <c r="F197" s="13" t="n">
        <f aca="false">березень!F197</f>
        <v>0</v>
      </c>
      <c r="G197" s="13" t="n">
        <f aca="false">березень!G197</f>
        <v>62.36</v>
      </c>
      <c r="H197" s="13" t="n">
        <f aca="false">березень!H197</f>
        <v>0</v>
      </c>
      <c r="I197" s="13" t="n">
        <f aca="false">березень!I197</f>
        <v>4.1</v>
      </c>
      <c r="J197" s="14" t="n">
        <f aca="false">ROUND(G197*I197,2)</f>
        <v>255.68</v>
      </c>
      <c r="K197" s="14"/>
      <c r="L197" s="14"/>
      <c r="M197" s="14"/>
      <c r="N197" s="14" t="n">
        <f aca="false">ROUND((G197*I197)-K197-L197-M197,2)</f>
        <v>255.68</v>
      </c>
      <c r="O197" s="14"/>
      <c r="P197" s="14" t="n">
        <f aca="false">ROUND(IF(D197=0,IF((N197-E197-O197)&gt;0,(N197-E197-O197),0),IF((D197+N197-O197)&gt;0,(D197+N197-O197),0)),2)</f>
        <v>8261.99</v>
      </c>
      <c r="Q197" s="14" t="n">
        <f aca="false">ROUND(IF(E197=0,IF((D197+N197-O197)&lt;0,ABS(D197+N197-O197),0),IF((N197-E197-O197)&lt;0,ABS(N197-E197-O197),0)),2)</f>
        <v>0</v>
      </c>
    </row>
    <row r="198" customFormat="false" ht="15" hidden="false" customHeight="true" outlineLevel="0" collapsed="false">
      <c r="A198" s="12" t="s">
        <v>590</v>
      </c>
      <c r="B198" s="12" t="str">
        <f aca="false">березень!B198</f>
        <v>Щерба Л.О.</v>
      </c>
      <c r="C198" s="12" t="s">
        <v>592</v>
      </c>
      <c r="D198" s="14" t="n">
        <f aca="false">березень!P198</f>
        <v>842.55</v>
      </c>
      <c r="E198" s="14" t="n">
        <f aca="false">березень!Q198</f>
        <v>0</v>
      </c>
      <c r="F198" s="13" t="n">
        <f aca="false">березень!F198</f>
        <v>0</v>
      </c>
      <c r="G198" s="13" t="n">
        <f aca="false">березень!G198</f>
        <v>68.5</v>
      </c>
      <c r="H198" s="13" t="n">
        <f aca="false">березень!H198</f>
        <v>0</v>
      </c>
      <c r="I198" s="13" t="n">
        <f aca="false">березень!I198</f>
        <v>4.1</v>
      </c>
      <c r="J198" s="14" t="n">
        <f aca="false">ROUND(G198*I198,2)</f>
        <v>280.85</v>
      </c>
      <c r="K198" s="14"/>
      <c r="L198" s="14"/>
      <c r="M198" s="14"/>
      <c r="N198" s="14" t="n">
        <f aca="false">ROUND((G198*I198)-K198-L198-M198,2)</f>
        <v>280.85</v>
      </c>
      <c r="O198" s="14"/>
      <c r="P198" s="14" t="n">
        <f aca="false">ROUND(IF(D198=0,IF((N198-E198-O198)&gt;0,(N198-E198-O198),0),IF((D198+N198-O198)&gt;0,(D198+N198-O198),0)),2)</f>
        <v>1123.4</v>
      </c>
      <c r="Q198" s="14" t="n">
        <f aca="false">ROUND(IF(E198=0,IF((D198+N198-O198)&lt;0,ABS(D198+N198-O198),0),IF((N198-E198-O198)&lt;0,ABS(N198-E198-O198),0)),2)</f>
        <v>0</v>
      </c>
    </row>
    <row r="199" customFormat="false" ht="15" hidden="false" customHeight="true" outlineLevel="0" collapsed="false">
      <c r="A199" s="12" t="s">
        <v>593</v>
      </c>
      <c r="B199" s="12" t="str">
        <f aca="false">березень!B199</f>
        <v>Сапунова І.В.</v>
      </c>
      <c r="C199" s="12" t="s">
        <v>595</v>
      </c>
      <c r="D199" s="14" t="n">
        <f aca="false">березень!P199</f>
        <v>11878.48</v>
      </c>
      <c r="E199" s="14" t="n">
        <f aca="false">березень!Q199</f>
        <v>0</v>
      </c>
      <c r="F199" s="13" t="n">
        <f aca="false">березень!F199</f>
        <v>0</v>
      </c>
      <c r="G199" s="13" t="n">
        <f aca="false">березень!G199</f>
        <v>70.42</v>
      </c>
      <c r="H199" s="13" t="n">
        <f aca="false">березень!H199</f>
        <v>0</v>
      </c>
      <c r="I199" s="13" t="n">
        <f aca="false">березень!I199</f>
        <v>4.1</v>
      </c>
      <c r="J199" s="14" t="n">
        <f aca="false">ROUND(G199*I199,2)</f>
        <v>288.72</v>
      </c>
      <c r="K199" s="14"/>
      <c r="L199" s="14"/>
      <c r="M199" s="14"/>
      <c r="N199" s="14" t="n">
        <f aca="false">ROUND((G199*I199)-K199-L199-M199,2)</f>
        <v>288.72</v>
      </c>
      <c r="O199" s="14"/>
      <c r="P199" s="14" t="n">
        <f aca="false">ROUND(IF(D199=0,IF((N199-E199-O199)&gt;0,(N199-E199-O199),0),IF((D199+N199-O199)&gt;0,(D199+N199-O199),0)),2)</f>
        <v>12167.2</v>
      </c>
      <c r="Q199" s="14" t="n">
        <f aca="false">ROUND(IF(E199=0,IF((D199+N199-O199)&lt;0,ABS(D199+N199-O199),0),IF((N199-E199-O199)&lt;0,ABS(N199-E199-O199),0)),2)</f>
        <v>0</v>
      </c>
    </row>
    <row r="200" customFormat="false" ht="15" hidden="false" customHeight="true" outlineLevel="0" collapsed="false">
      <c r="A200" s="12" t="s">
        <v>596</v>
      </c>
      <c r="B200" s="12" t="str">
        <f aca="false">березень!B200</f>
        <v>Саввідіс В.О.</v>
      </c>
      <c r="C200" s="12" t="s">
        <v>598</v>
      </c>
      <c r="D200" s="14" t="n">
        <f aca="false">березень!P200</f>
        <v>10690.05</v>
      </c>
      <c r="E200" s="14" t="n">
        <f aca="false">березень!Q200</f>
        <v>0</v>
      </c>
      <c r="F200" s="13" t="n">
        <f aca="false">березень!F200</f>
        <v>0</v>
      </c>
      <c r="G200" s="13" t="n">
        <f aca="false">березень!G200</f>
        <v>49.7</v>
      </c>
      <c r="H200" s="13" t="n">
        <f aca="false">березень!H200</f>
        <v>0</v>
      </c>
      <c r="I200" s="13" t="n">
        <f aca="false">березень!I200</f>
        <v>4.1</v>
      </c>
      <c r="J200" s="14" t="n">
        <f aca="false">ROUND(G200*I200,2)</f>
        <v>203.77</v>
      </c>
      <c r="K200" s="14"/>
      <c r="L200" s="14"/>
      <c r="M200" s="14"/>
      <c r="N200" s="14" t="n">
        <f aca="false">ROUND((G200*I200)-K200-L200-M200,2)</f>
        <v>203.77</v>
      </c>
      <c r="O200" s="14"/>
      <c r="P200" s="14" t="n">
        <f aca="false">ROUND(IF(D200=0,IF((N200-E200-O200)&gt;0,(N200-E200-O200),0),IF((D200+N200-O200)&gt;0,(D200+N200-O200),0)),2)</f>
        <v>10893.82</v>
      </c>
      <c r="Q200" s="14" t="n">
        <f aca="false">ROUND(IF(E200=0,IF((D200+N200-O200)&lt;0,ABS(D200+N200-O200),0),IF((N200-E200-O200)&lt;0,ABS(N200-E200-O200),0)),2)</f>
        <v>0</v>
      </c>
    </row>
    <row r="201" customFormat="false" ht="15" hidden="false" customHeight="true" outlineLevel="0" collapsed="false">
      <c r="A201" s="12" t="s">
        <v>599</v>
      </c>
      <c r="B201" s="12" t="str">
        <f aca="false">березень!B201</f>
        <v>Кашина Г.І.</v>
      </c>
      <c r="C201" s="12" t="s">
        <v>601</v>
      </c>
      <c r="D201" s="14" t="n">
        <f aca="false">березень!P201</f>
        <v>12833</v>
      </c>
      <c r="E201" s="14" t="n">
        <f aca="false">березень!Q201</f>
        <v>0</v>
      </c>
      <c r="F201" s="13" t="n">
        <f aca="false">березень!F201</f>
        <v>0</v>
      </c>
      <c r="G201" s="13" t="n">
        <f aca="false">березень!G201</f>
        <v>62.6</v>
      </c>
      <c r="H201" s="13" t="n">
        <f aca="false">березень!H201</f>
        <v>0</v>
      </c>
      <c r="I201" s="13" t="n">
        <f aca="false">березень!I201</f>
        <v>4.1</v>
      </c>
      <c r="J201" s="14" t="n">
        <f aca="false">ROUND(G201*I201,2)</f>
        <v>256.66</v>
      </c>
      <c r="K201" s="14"/>
      <c r="L201" s="14"/>
      <c r="M201" s="14"/>
      <c r="N201" s="14" t="n">
        <f aca="false">ROUND((G201*I201)-K201-L201-M201,2)</f>
        <v>256.66</v>
      </c>
      <c r="O201" s="14"/>
      <c r="P201" s="14" t="n">
        <f aca="false">ROUND(IF(D201=0,IF((N201-E201-O201)&gt;0,(N201-E201-O201),0),IF((D201+N201-O201)&gt;0,(D201+N201-O201),0)),2)</f>
        <v>13089.66</v>
      </c>
      <c r="Q201" s="14" t="n">
        <f aca="false">ROUND(IF(E201=0,IF((D201+N201-O201)&lt;0,ABS(D201+N201-O201),0),IF((N201-E201-O201)&lt;0,ABS(N201-E201-O201),0)),2)</f>
        <v>0</v>
      </c>
    </row>
    <row r="202" customFormat="false" ht="15" hidden="false" customHeight="true" outlineLevel="0" collapsed="false">
      <c r="A202" s="12" t="s">
        <v>602</v>
      </c>
      <c r="B202" s="12" t="str">
        <f aca="false">березень!B202</f>
        <v>Фадеєва Є.А.</v>
      </c>
      <c r="C202" s="12" t="s">
        <v>604</v>
      </c>
      <c r="D202" s="14" t="n">
        <f aca="false">березень!P202</f>
        <v>865.92</v>
      </c>
      <c r="E202" s="14" t="n">
        <f aca="false">березень!Q202</f>
        <v>0</v>
      </c>
      <c r="F202" s="13" t="n">
        <f aca="false">березень!F202</f>
        <v>0</v>
      </c>
      <c r="G202" s="13" t="n">
        <f aca="false">березень!G202</f>
        <v>70.4</v>
      </c>
      <c r="H202" s="13" t="n">
        <f aca="false">березень!H202</f>
        <v>0</v>
      </c>
      <c r="I202" s="13" t="n">
        <f aca="false">березень!I202</f>
        <v>4.1</v>
      </c>
      <c r="J202" s="14" t="n">
        <f aca="false">ROUND(G202*I202,2)</f>
        <v>288.64</v>
      </c>
      <c r="K202" s="14"/>
      <c r="L202" s="14"/>
      <c r="M202" s="14"/>
      <c r="N202" s="14" t="n">
        <f aca="false">ROUND((G202*I202)-K202-L202-M202,2)</f>
        <v>288.64</v>
      </c>
      <c r="O202" s="14"/>
      <c r="P202" s="14" t="n">
        <f aca="false">ROUND(IF(D202=0,IF((N202-E202-O202)&gt;0,(N202-E202-O202),0),IF((D202+N202-O202)&gt;0,(D202+N202-O202),0)),2)</f>
        <v>1154.56</v>
      </c>
      <c r="Q202" s="14" t="n">
        <f aca="false">ROUND(IF(E202=0,IF((D202+N202-O202)&lt;0,ABS(D202+N202-O202),0),IF((N202-E202-O202)&lt;0,ABS(N202-E202-O202),0)),2)</f>
        <v>0</v>
      </c>
    </row>
    <row r="203" customFormat="false" ht="15" hidden="false" customHeight="true" outlineLevel="0" collapsed="false">
      <c r="A203" s="12" t="s">
        <v>605</v>
      </c>
      <c r="B203" s="12" t="str">
        <f aca="false">березень!B203</f>
        <v>Бойко О.А.</v>
      </c>
      <c r="C203" s="12" t="s">
        <v>607</v>
      </c>
      <c r="D203" s="14" t="n">
        <f aca="false">березень!P203</f>
        <v>863.46</v>
      </c>
      <c r="E203" s="14" t="n">
        <f aca="false">березень!Q203</f>
        <v>0</v>
      </c>
      <c r="F203" s="13" t="n">
        <f aca="false">березень!F203</f>
        <v>0</v>
      </c>
      <c r="G203" s="13" t="n">
        <f aca="false">березень!G203</f>
        <v>70.2</v>
      </c>
      <c r="H203" s="13" t="n">
        <f aca="false">березень!H203</f>
        <v>0</v>
      </c>
      <c r="I203" s="13" t="n">
        <f aca="false">березень!I203</f>
        <v>4.1</v>
      </c>
      <c r="J203" s="14" t="n">
        <f aca="false">ROUND(G203*I203,2)</f>
        <v>287.82</v>
      </c>
      <c r="K203" s="14"/>
      <c r="L203" s="14"/>
      <c r="M203" s="14"/>
      <c r="N203" s="14" t="n">
        <f aca="false">ROUND((G203*I203)-K203-L203-M203,2)</f>
        <v>287.82</v>
      </c>
      <c r="O203" s="14"/>
      <c r="P203" s="14" t="n">
        <f aca="false">ROUND(IF(D203=0,IF((N203-E203-O203)&gt;0,(N203-E203-O203),0),IF((D203+N203-O203)&gt;0,(D203+N203-O203),0)),2)</f>
        <v>1151.28</v>
      </c>
      <c r="Q203" s="14" t="n">
        <f aca="false">ROUND(IF(E203=0,IF((D203+N203-O203)&lt;0,ABS(D203+N203-O203),0),IF((N203-E203-O203)&lt;0,ABS(N203-E203-O203),0)),2)</f>
        <v>0</v>
      </c>
    </row>
    <row r="204" customFormat="false" ht="15" hidden="false" customHeight="true" outlineLevel="0" collapsed="false">
      <c r="A204" s="12" t="s">
        <v>608</v>
      </c>
      <c r="B204" s="12" t="str">
        <f aca="false">березень!B204</f>
        <v>Дудник І.А.</v>
      </c>
      <c r="C204" s="12" t="s">
        <v>610</v>
      </c>
      <c r="D204" s="14" t="n">
        <f aca="false">березень!P204</f>
        <v>9674.52</v>
      </c>
      <c r="E204" s="14" t="n">
        <f aca="false">березень!Q204</f>
        <v>0</v>
      </c>
      <c r="F204" s="13" t="n">
        <f aca="false">березень!F204</f>
        <v>0</v>
      </c>
      <c r="G204" s="13" t="n">
        <f aca="false">березень!G204</f>
        <v>49.94</v>
      </c>
      <c r="H204" s="13" t="n">
        <f aca="false">березень!H204</f>
        <v>0</v>
      </c>
      <c r="I204" s="13" t="n">
        <f aca="false">березень!I204</f>
        <v>4.1</v>
      </c>
      <c r="J204" s="14" t="n">
        <f aca="false">ROUND(G204*I204,2)</f>
        <v>204.75</v>
      </c>
      <c r="K204" s="14"/>
      <c r="L204" s="14"/>
      <c r="M204" s="14"/>
      <c r="N204" s="14" t="n">
        <f aca="false">ROUND((G204*I204)-K204-L204-M204,2)</f>
        <v>204.75</v>
      </c>
      <c r="O204" s="14"/>
      <c r="P204" s="14" t="n">
        <f aca="false">ROUND(IF(D204=0,IF((N204-E204-O204)&gt;0,(N204-E204-O204),0),IF((D204+N204-O204)&gt;0,(D204+N204-O204),0)),2)</f>
        <v>9879.27</v>
      </c>
      <c r="Q204" s="14" t="n">
        <f aca="false">ROUND(IF(E204=0,IF((D204+N204-O204)&lt;0,ABS(D204+N204-O204),0),IF((N204-E204-O204)&lt;0,ABS(N204-E204-O204),0)),2)</f>
        <v>0</v>
      </c>
    </row>
    <row r="205" customFormat="false" ht="15" hidden="false" customHeight="true" outlineLevel="0" collapsed="false">
      <c r="A205" s="12" t="s">
        <v>611</v>
      </c>
      <c r="B205" s="12" t="str">
        <f aca="false">березень!B205</f>
        <v>Лебедєва Т.В.</v>
      </c>
      <c r="C205" s="12" t="s">
        <v>613</v>
      </c>
      <c r="D205" s="14" t="n">
        <f aca="false">березень!P205</f>
        <v>10723.49</v>
      </c>
      <c r="E205" s="14" t="n">
        <f aca="false">березень!Q205</f>
        <v>0</v>
      </c>
      <c r="F205" s="13" t="n">
        <f aca="false">березень!F205</f>
        <v>0</v>
      </c>
      <c r="G205" s="13" t="n">
        <f aca="false">березень!G205</f>
        <v>62.3</v>
      </c>
      <c r="H205" s="13" t="n">
        <f aca="false">березень!H205</f>
        <v>0</v>
      </c>
      <c r="I205" s="13" t="n">
        <f aca="false">березень!I205</f>
        <v>4.1</v>
      </c>
      <c r="J205" s="14" t="n">
        <f aca="false">ROUND(G205*I205,2)</f>
        <v>255.43</v>
      </c>
      <c r="K205" s="14"/>
      <c r="L205" s="14"/>
      <c r="M205" s="14"/>
      <c r="N205" s="14" t="n">
        <f aca="false">ROUND((G205*I205)-K205-L205-M205,2)</f>
        <v>255.43</v>
      </c>
      <c r="O205" s="14"/>
      <c r="P205" s="14" t="n">
        <f aca="false">ROUND(IF(D205=0,IF((N205-E205-O205)&gt;0,(N205-E205-O205),0),IF((D205+N205-O205)&gt;0,(D205+N205-O205),0)),2)</f>
        <v>10978.92</v>
      </c>
      <c r="Q205" s="14" t="n">
        <f aca="false">ROUND(IF(E205=0,IF((D205+N205-O205)&lt;0,ABS(D205+N205-O205),0),IF((N205-E205-O205)&lt;0,ABS(N205-E205-O205),0)),2)</f>
        <v>0</v>
      </c>
    </row>
    <row r="206" customFormat="false" ht="15" hidden="false" customHeight="true" outlineLevel="0" collapsed="false">
      <c r="A206" s="12" t="s">
        <v>614</v>
      </c>
      <c r="B206" s="12" t="str">
        <f aca="false">березень!B206</f>
        <v>Криницький Л.С.</v>
      </c>
      <c r="C206" s="12" t="s">
        <v>616</v>
      </c>
      <c r="D206" s="14" t="n">
        <f aca="false">березень!P206</f>
        <v>554.4</v>
      </c>
      <c r="E206" s="14" t="n">
        <f aca="false">березень!Q206</f>
        <v>0</v>
      </c>
      <c r="F206" s="13" t="n">
        <f aca="false">березень!F206</f>
        <v>0</v>
      </c>
      <c r="G206" s="13" t="n">
        <f aca="false">березень!G206</f>
        <v>67.61</v>
      </c>
      <c r="H206" s="13" t="n">
        <f aca="false">березень!H206</f>
        <v>0</v>
      </c>
      <c r="I206" s="13" t="n">
        <f aca="false">березень!I206</f>
        <v>4.1</v>
      </c>
      <c r="J206" s="14" t="n">
        <f aca="false">ROUND(G206*I206,2)</f>
        <v>277.2</v>
      </c>
      <c r="K206" s="14"/>
      <c r="L206" s="14"/>
      <c r="M206" s="14"/>
      <c r="N206" s="14" t="n">
        <f aca="false">ROUND((G206*I206)-K206-L206-M206,2)</f>
        <v>277.2</v>
      </c>
      <c r="O206" s="14"/>
      <c r="P206" s="14" t="n">
        <f aca="false">ROUND(IF(D206=0,IF((N206-E206-O206)&gt;0,(N206-E206-O206),0),IF((D206+N206-O206)&gt;0,(D206+N206-O206),0)),2)</f>
        <v>831.6</v>
      </c>
      <c r="Q206" s="14" t="n">
        <f aca="false">ROUND(IF(E206=0,IF((D206+N206-O206)&lt;0,ABS(D206+N206-O206),0),IF((N206-E206-O206)&lt;0,ABS(N206-E206-O206),0)),2)</f>
        <v>0</v>
      </c>
    </row>
    <row r="207" customFormat="false" ht="15" hidden="false" customHeight="true" outlineLevel="0" collapsed="false">
      <c r="A207" s="12" t="s">
        <v>617</v>
      </c>
      <c r="B207" s="12" t="str">
        <f aca="false">березень!B207</f>
        <v>Сафонов В.В.</v>
      </c>
      <c r="C207" s="12" t="s">
        <v>619</v>
      </c>
      <c r="D207" s="14" t="n">
        <f aca="false">березень!P207</f>
        <v>13171.58</v>
      </c>
      <c r="E207" s="14" t="n">
        <f aca="false">березень!Q207</f>
        <v>0</v>
      </c>
      <c r="F207" s="13" t="n">
        <f aca="false">березень!F207</f>
        <v>0</v>
      </c>
      <c r="G207" s="13" t="n">
        <f aca="false">березень!G207</f>
        <v>70.38</v>
      </c>
      <c r="H207" s="13" t="n">
        <f aca="false">березень!H207</f>
        <v>0</v>
      </c>
      <c r="I207" s="13" t="n">
        <f aca="false">березень!I207</f>
        <v>4.1</v>
      </c>
      <c r="J207" s="14" t="n">
        <f aca="false">ROUND(G207*I207,2)</f>
        <v>288.56</v>
      </c>
      <c r="K207" s="14"/>
      <c r="L207" s="14"/>
      <c r="M207" s="14"/>
      <c r="N207" s="14" t="n">
        <f aca="false">ROUND((G207*I207)-K207-L207-M207,2)</f>
        <v>288.56</v>
      </c>
      <c r="O207" s="14"/>
      <c r="P207" s="14" t="n">
        <f aca="false">ROUND(IF(D207=0,IF((N207-E207-O207)&gt;0,(N207-E207-O207),0),IF((D207+N207-O207)&gt;0,(D207+N207-O207),0)),2)</f>
        <v>13460.14</v>
      </c>
      <c r="Q207" s="14" t="n">
        <f aca="false">ROUND(IF(E207=0,IF((D207+N207-O207)&lt;0,ABS(D207+N207-O207),0),IF((N207-E207-O207)&lt;0,ABS(N207-E207-O207),0)),2)</f>
        <v>0</v>
      </c>
    </row>
    <row r="208" customFormat="false" ht="15" hidden="false" customHeight="true" outlineLevel="0" collapsed="false">
      <c r="A208" s="12" t="s">
        <v>620</v>
      </c>
      <c r="B208" s="12" t="str">
        <f aca="false">березень!B208</f>
        <v>Мільковська Р.Г.</v>
      </c>
      <c r="C208" s="12" t="s">
        <v>622</v>
      </c>
      <c r="D208" s="14" t="n">
        <f aca="false">березень!P208</f>
        <v>9445.43</v>
      </c>
      <c r="E208" s="14" t="n">
        <f aca="false">березень!Q208</f>
        <v>0</v>
      </c>
      <c r="F208" s="13" t="n">
        <f aca="false">березень!F208</f>
        <v>0</v>
      </c>
      <c r="G208" s="13" t="n">
        <f aca="false">березень!G208</f>
        <v>49.88</v>
      </c>
      <c r="H208" s="13" t="n">
        <f aca="false">березень!H208</f>
        <v>0</v>
      </c>
      <c r="I208" s="13" t="n">
        <f aca="false">березень!I208</f>
        <v>4.1</v>
      </c>
      <c r="J208" s="14" t="n">
        <f aca="false">ROUND(G208*I208,2)</f>
        <v>204.51</v>
      </c>
      <c r="K208" s="14"/>
      <c r="L208" s="14"/>
      <c r="M208" s="14"/>
      <c r="N208" s="14" t="n">
        <f aca="false">ROUND((G208*I208)-K208-L208-M208,2)</f>
        <v>204.51</v>
      </c>
      <c r="O208" s="14"/>
      <c r="P208" s="14" t="n">
        <f aca="false">ROUND(IF(D208=0,IF((N208-E208-O208)&gt;0,(N208-E208-O208),0),IF((D208+N208-O208)&gt;0,(D208+N208-O208),0)),2)</f>
        <v>9649.94</v>
      </c>
      <c r="Q208" s="14" t="n">
        <f aca="false">ROUND(IF(E208=0,IF((D208+N208-O208)&lt;0,ABS(D208+N208-O208),0),IF((N208-E208-O208)&lt;0,ABS(N208-E208-O208),0)),2)</f>
        <v>0</v>
      </c>
    </row>
    <row r="209" customFormat="false" ht="15" hidden="false" customHeight="true" outlineLevel="0" collapsed="false">
      <c r="A209" s="12" t="s">
        <v>623</v>
      </c>
      <c r="B209" s="12" t="str">
        <f aca="false">березень!B209</f>
        <v>Заранкін С.М.</v>
      </c>
      <c r="C209" s="12" t="s">
        <v>625</v>
      </c>
      <c r="D209" s="14" t="n">
        <f aca="false">березень!P209</f>
        <v>10886.16</v>
      </c>
      <c r="E209" s="14" t="n">
        <f aca="false">березень!Q209</f>
        <v>0</v>
      </c>
      <c r="F209" s="13" t="n">
        <f aca="false">березень!F209</f>
        <v>0</v>
      </c>
      <c r="G209" s="13" t="n">
        <f aca="false">березень!G209</f>
        <v>62.02</v>
      </c>
      <c r="H209" s="13" t="n">
        <f aca="false">березень!H209</f>
        <v>0</v>
      </c>
      <c r="I209" s="13" t="n">
        <f aca="false">березень!I209</f>
        <v>4.1</v>
      </c>
      <c r="J209" s="14" t="n">
        <f aca="false">ROUND(G209*I209,2)</f>
        <v>254.28</v>
      </c>
      <c r="K209" s="14"/>
      <c r="L209" s="14"/>
      <c r="M209" s="14"/>
      <c r="N209" s="14" t="n">
        <f aca="false">ROUND((G209*I209)-K209-L209-M209,2)</f>
        <v>254.28</v>
      </c>
      <c r="O209" s="14"/>
      <c r="P209" s="14" t="n">
        <f aca="false">ROUND(IF(D209=0,IF((N209-E209-O209)&gt;0,(N209-E209-O209),0),IF((D209+N209-O209)&gt;0,(D209+N209-O209),0)),2)</f>
        <v>11140.44</v>
      </c>
      <c r="Q209" s="14" t="n">
        <f aca="false">ROUND(IF(E209=0,IF((D209+N209-O209)&lt;0,ABS(D209+N209-O209),0),IF((N209-E209-O209)&lt;0,ABS(N209-E209-O209),0)),2)</f>
        <v>0</v>
      </c>
    </row>
    <row r="210" customFormat="false" ht="15" hidden="false" customHeight="true" outlineLevel="0" collapsed="false">
      <c r="A210" s="12" t="s">
        <v>626</v>
      </c>
      <c r="B210" s="12" t="str">
        <f aca="false">березень!B210</f>
        <v>Сіянко О.М.</v>
      </c>
      <c r="C210" s="12" t="s">
        <v>628</v>
      </c>
      <c r="D210" s="14" t="n">
        <f aca="false">березень!P210</f>
        <v>3957.4</v>
      </c>
      <c r="E210" s="14" t="n">
        <f aca="false">березень!Q210</f>
        <v>0</v>
      </c>
      <c r="F210" s="13" t="n">
        <f aca="false">березень!F210</f>
        <v>0</v>
      </c>
      <c r="G210" s="13" t="n">
        <f aca="false">березень!G210</f>
        <v>67.6</v>
      </c>
      <c r="H210" s="13" t="n">
        <f aca="false">березень!H210</f>
        <v>0</v>
      </c>
      <c r="I210" s="13" t="n">
        <f aca="false">березень!I210</f>
        <v>4.1</v>
      </c>
      <c r="J210" s="14" t="n">
        <f aca="false">ROUND(G210*I210,2)</f>
        <v>277.16</v>
      </c>
      <c r="K210" s="14"/>
      <c r="L210" s="14"/>
      <c r="M210" s="14"/>
      <c r="N210" s="14" t="n">
        <f aca="false">ROUND((G210*I210)-K210-L210-M210,2)</f>
        <v>277.16</v>
      </c>
      <c r="O210" s="14"/>
      <c r="P210" s="14" t="n">
        <f aca="false">ROUND(IF(D210=0,IF((N210-E210-O210)&gt;0,(N210-E210-O210),0),IF((D210+N210-O210)&gt;0,(D210+N210-O210),0)),2)</f>
        <v>4234.56</v>
      </c>
      <c r="Q210" s="14" t="n">
        <f aca="false">ROUND(IF(E210=0,IF((D210+N210-O210)&lt;0,ABS(D210+N210-O210),0),IF((N210-E210-O210)&lt;0,ABS(N210-E210-O210),0)),2)</f>
        <v>0</v>
      </c>
    </row>
    <row r="211" customFormat="false" ht="15" hidden="false" customHeight="true" outlineLevel="0" collapsed="false">
      <c r="A211" s="12" t="s">
        <v>629</v>
      </c>
      <c r="B211" s="12" t="str">
        <f aca="false">березень!B211</f>
        <v>Осипов В.В.</v>
      </c>
      <c r="C211" s="12" t="s">
        <v>631</v>
      </c>
      <c r="D211" s="14" t="n">
        <f aca="false">березень!P211</f>
        <v>10724.72</v>
      </c>
      <c r="E211" s="14" t="n">
        <f aca="false">березень!Q211</f>
        <v>0</v>
      </c>
      <c r="F211" s="13" t="n">
        <f aca="false">березень!F211</f>
        <v>0</v>
      </c>
      <c r="G211" s="13" t="n">
        <f aca="false">березень!G211</f>
        <v>70.42</v>
      </c>
      <c r="H211" s="13" t="n">
        <f aca="false">березень!H211</f>
        <v>0</v>
      </c>
      <c r="I211" s="13" t="n">
        <f aca="false">березень!I211</f>
        <v>4.1</v>
      </c>
      <c r="J211" s="14" t="n">
        <f aca="false">ROUND(G211*I211,2)</f>
        <v>288.72</v>
      </c>
      <c r="K211" s="14"/>
      <c r="L211" s="14"/>
      <c r="M211" s="14"/>
      <c r="N211" s="14" t="n">
        <f aca="false">ROUND((G211*I211)-K211-L211-M211,2)</f>
        <v>288.72</v>
      </c>
      <c r="O211" s="14"/>
      <c r="P211" s="14" t="n">
        <f aca="false">ROUND(IF(D211=0,IF((N211-E211-O211)&gt;0,(N211-E211-O211),0),IF((D211+N211-O211)&gt;0,(D211+N211-O211),0)),2)</f>
        <v>11013.44</v>
      </c>
      <c r="Q211" s="14" t="n">
        <f aca="false">ROUND(IF(E211=0,IF((D211+N211-O211)&lt;0,ABS(D211+N211-O211),0),IF((N211-E211-O211)&lt;0,ABS(N211-E211-O211),0)),2)</f>
        <v>0</v>
      </c>
    </row>
    <row r="212" customFormat="false" ht="15" hidden="false" customHeight="true" outlineLevel="0" collapsed="false">
      <c r="A212" s="12" t="s">
        <v>632</v>
      </c>
      <c r="B212" s="12" t="str">
        <f aca="false">березень!B212</f>
        <v>Перепьолкін А.Л.</v>
      </c>
      <c r="C212" s="12" t="s">
        <v>634</v>
      </c>
      <c r="D212" s="14" t="n">
        <f aca="false">березень!P212</f>
        <v>612.54</v>
      </c>
      <c r="E212" s="14" t="n">
        <f aca="false">березень!Q212</f>
        <v>0</v>
      </c>
      <c r="F212" s="13" t="n">
        <f aca="false">березень!F212</f>
        <v>0</v>
      </c>
      <c r="G212" s="13" t="n">
        <f aca="false">березень!G212</f>
        <v>49.8</v>
      </c>
      <c r="H212" s="13" t="n">
        <f aca="false">березень!H212</f>
        <v>0</v>
      </c>
      <c r="I212" s="13" t="n">
        <f aca="false">березень!I212</f>
        <v>4.1</v>
      </c>
      <c r="J212" s="14" t="n">
        <f aca="false">ROUND(G212*I212,2)</f>
        <v>204.18</v>
      </c>
      <c r="K212" s="14"/>
      <c r="L212" s="14"/>
      <c r="M212" s="14"/>
      <c r="N212" s="14" t="n">
        <f aca="false">ROUND((G212*I212)-K212-L212-M212,2)</f>
        <v>204.18</v>
      </c>
      <c r="O212" s="14"/>
      <c r="P212" s="14" t="n">
        <f aca="false">ROUND(IF(D212=0,IF((N212-E212-O212)&gt;0,(N212-E212-O212),0),IF((D212+N212-O212)&gt;0,(D212+N212-O212),0)),2)</f>
        <v>816.72</v>
      </c>
      <c r="Q212" s="14" t="n">
        <f aca="false">ROUND(IF(E212=0,IF((D212+N212-O212)&lt;0,ABS(D212+N212-O212),0),IF((N212-E212-O212)&lt;0,ABS(N212-E212-O212),0)),2)</f>
        <v>0</v>
      </c>
    </row>
    <row r="213" customFormat="false" ht="15" hidden="false" customHeight="true" outlineLevel="0" collapsed="false">
      <c r="A213" s="12" t="s">
        <v>635</v>
      </c>
      <c r="B213" s="12" t="str">
        <f aca="false">березень!B213</f>
        <v>Синегрибова В.В.</v>
      </c>
      <c r="C213" s="12" t="s">
        <v>637</v>
      </c>
      <c r="D213" s="14" t="n">
        <f aca="false">березень!P213</f>
        <v>2001.33</v>
      </c>
      <c r="E213" s="14" t="n">
        <f aca="false">березень!Q213</f>
        <v>0</v>
      </c>
      <c r="F213" s="13" t="n">
        <f aca="false">березень!F213</f>
        <v>0</v>
      </c>
      <c r="G213" s="13" t="n">
        <f aca="false">березень!G213</f>
        <v>62.7</v>
      </c>
      <c r="H213" s="13" t="n">
        <f aca="false">березень!H213</f>
        <v>0</v>
      </c>
      <c r="I213" s="13" t="n">
        <f aca="false">березень!I213</f>
        <v>4.1</v>
      </c>
      <c r="J213" s="14" t="n">
        <f aca="false">ROUND(G213*I213,2)</f>
        <v>257.07</v>
      </c>
      <c r="K213" s="14"/>
      <c r="L213" s="14"/>
      <c r="M213" s="14"/>
      <c r="N213" s="14" t="n">
        <f aca="false">ROUND((G213*I213)-K213-L213-M213,2)</f>
        <v>257.07</v>
      </c>
      <c r="O213" s="14"/>
      <c r="P213" s="14" t="n">
        <f aca="false">ROUND(IF(D213=0,IF((N213-E213-O213)&gt;0,(N213-E213-O213),0),IF((D213+N213-O213)&gt;0,(D213+N213-O213),0)),2)</f>
        <v>2258.4</v>
      </c>
      <c r="Q213" s="14" t="n">
        <f aca="false">ROUND(IF(E213=0,IF((D213+N213-O213)&lt;0,ABS(D213+N213-O213),0),IF((N213-E213-O213)&lt;0,ABS(N213-E213-O213),0)),2)</f>
        <v>0</v>
      </c>
    </row>
    <row r="214" customFormat="false" ht="15" hidden="false" customHeight="true" outlineLevel="0" collapsed="false">
      <c r="A214" s="12" t="s">
        <v>638</v>
      </c>
      <c r="B214" s="12" t="str">
        <f aca="false">березень!B214</f>
        <v>Юдін М.В.</v>
      </c>
      <c r="C214" s="12" t="s">
        <v>640</v>
      </c>
      <c r="D214" s="14" t="n">
        <f aca="false">березень!P214</f>
        <v>836.4</v>
      </c>
      <c r="E214" s="14" t="n">
        <f aca="false">березень!Q214</f>
        <v>0</v>
      </c>
      <c r="F214" s="13" t="n">
        <f aca="false">березень!F214</f>
        <v>0</v>
      </c>
      <c r="G214" s="13" t="n">
        <f aca="false">березень!G214</f>
        <v>68</v>
      </c>
      <c r="H214" s="13" t="n">
        <f aca="false">березень!H214</f>
        <v>0</v>
      </c>
      <c r="I214" s="13" t="n">
        <f aca="false">березень!I214</f>
        <v>4.1</v>
      </c>
      <c r="J214" s="14" t="n">
        <f aca="false">ROUND(G214*I214,2)</f>
        <v>278.8</v>
      </c>
      <c r="K214" s="14"/>
      <c r="L214" s="14"/>
      <c r="M214" s="14"/>
      <c r="N214" s="14" t="n">
        <f aca="false">ROUND((G214*I214)-K214-L214-M214,2)</f>
        <v>278.8</v>
      </c>
      <c r="O214" s="14"/>
      <c r="P214" s="14" t="n">
        <f aca="false">ROUND(IF(D214=0,IF((N214-E214-O214)&gt;0,(N214-E214-O214),0),IF((D214+N214-O214)&gt;0,(D214+N214-O214),0)),2)</f>
        <v>1115.2</v>
      </c>
      <c r="Q214" s="14" t="n">
        <f aca="false">ROUND(IF(E214=0,IF((D214+N214-O214)&lt;0,ABS(D214+N214-O214),0),IF((N214-E214-O214)&lt;0,ABS(N214-E214-O214),0)),2)</f>
        <v>0</v>
      </c>
    </row>
    <row r="215" customFormat="false" ht="15" hidden="false" customHeight="true" outlineLevel="0" collapsed="false">
      <c r="A215" s="12" t="s">
        <v>641</v>
      </c>
      <c r="B215" s="12" t="str">
        <f aca="false">березень!B215</f>
        <v>Сергєєва Н.О.</v>
      </c>
      <c r="C215" s="12" t="s">
        <v>643</v>
      </c>
      <c r="D215" s="14" t="n">
        <f aca="false">березень!P215</f>
        <v>872.65</v>
      </c>
      <c r="E215" s="14" t="n">
        <f aca="false">березень!Q215</f>
        <v>0</v>
      </c>
      <c r="F215" s="13" t="n">
        <f aca="false">березень!F215</f>
        <v>0</v>
      </c>
      <c r="G215" s="13" t="n">
        <f aca="false">березень!G215</f>
        <v>72.1</v>
      </c>
      <c r="H215" s="13" t="n">
        <f aca="false">березень!H215</f>
        <v>0</v>
      </c>
      <c r="I215" s="13" t="n">
        <f aca="false">березень!I215</f>
        <v>4.1</v>
      </c>
      <c r="J215" s="14" t="n">
        <f aca="false">ROUND(G215*I215,2)</f>
        <v>295.61</v>
      </c>
      <c r="K215" s="14"/>
      <c r="L215" s="14"/>
      <c r="M215" s="14"/>
      <c r="N215" s="14" t="n">
        <f aca="false">ROUND((G215*I215)-K215-L215-M215,2)</f>
        <v>295.61</v>
      </c>
      <c r="O215" s="14"/>
      <c r="P215" s="14" t="n">
        <f aca="false">ROUND(IF(D215=0,IF((N215-E215-O215)&gt;0,(N215-E215-O215),0),IF((D215+N215-O215)&gt;0,(D215+N215-O215),0)),2)</f>
        <v>1168.26</v>
      </c>
      <c r="Q215" s="14" t="n">
        <f aca="false">ROUND(IF(E215=0,IF((D215+N215-O215)&lt;0,ABS(D215+N215-O215),0),IF((N215-E215-O215)&lt;0,ABS(N215-E215-O215),0)),2)</f>
        <v>0</v>
      </c>
    </row>
    <row r="216" customFormat="false" ht="15" hidden="false" customHeight="true" outlineLevel="0" collapsed="false">
      <c r="A216" s="12" t="s">
        <v>644</v>
      </c>
      <c r="B216" s="12" t="str">
        <f aca="false">березень!B216</f>
        <v>Рева І.П.</v>
      </c>
      <c r="C216" s="12" t="s">
        <v>646</v>
      </c>
      <c r="D216" s="14" t="n">
        <f aca="false">березень!P216</f>
        <v>611.55</v>
      </c>
      <c r="E216" s="14" t="n">
        <f aca="false">березень!Q216</f>
        <v>0</v>
      </c>
      <c r="F216" s="13" t="n">
        <f aca="false">березень!F216</f>
        <v>0</v>
      </c>
      <c r="G216" s="13" t="n">
        <f aca="false">березень!G216</f>
        <v>49.72</v>
      </c>
      <c r="H216" s="13" t="n">
        <f aca="false">березень!H216</f>
        <v>0</v>
      </c>
      <c r="I216" s="13" t="n">
        <f aca="false">березень!I216</f>
        <v>4.1</v>
      </c>
      <c r="J216" s="14" t="n">
        <f aca="false">ROUND(G216*I216,2)</f>
        <v>203.85</v>
      </c>
      <c r="K216" s="14"/>
      <c r="L216" s="14"/>
      <c r="M216" s="14"/>
      <c r="N216" s="14" t="n">
        <f aca="false">ROUND((G216*I216)-K216-L216-M216,2)</f>
        <v>203.85</v>
      </c>
      <c r="O216" s="14"/>
      <c r="P216" s="14" t="n">
        <f aca="false">ROUND(IF(D216=0,IF((N216-E216-O216)&gt;0,(N216-E216-O216),0),IF((D216+N216-O216)&gt;0,(D216+N216-O216),0)),2)</f>
        <v>815.4</v>
      </c>
      <c r="Q216" s="14" t="n">
        <f aca="false">ROUND(IF(E216=0,IF((D216+N216-O216)&lt;0,ABS(D216+N216-O216),0),IF((N216-E216-O216)&lt;0,ABS(N216-E216-O216),0)),2)</f>
        <v>0</v>
      </c>
    </row>
    <row r="217" customFormat="false" ht="15" hidden="false" customHeight="true" outlineLevel="0" collapsed="false">
      <c r="A217" s="12" t="s">
        <v>647</v>
      </c>
      <c r="B217" s="12" t="str">
        <f aca="false">березень!B217</f>
        <v>Почапський Ю.Т.</v>
      </c>
      <c r="C217" s="12" t="s">
        <v>649</v>
      </c>
      <c r="D217" s="14" t="n">
        <f aca="false">березень!P217</f>
        <v>226.45</v>
      </c>
      <c r="E217" s="14" t="n">
        <f aca="false">березень!Q217</f>
        <v>0</v>
      </c>
      <c r="F217" s="13" t="n">
        <f aca="false">березень!F217</f>
        <v>0</v>
      </c>
      <c r="G217" s="13" t="n">
        <f aca="false">березень!G217</f>
        <v>62.39</v>
      </c>
      <c r="H217" s="13" t="n">
        <f aca="false">березень!H217</f>
        <v>0</v>
      </c>
      <c r="I217" s="13" t="n">
        <f aca="false">березень!I217</f>
        <v>4.1</v>
      </c>
      <c r="J217" s="14" t="n">
        <f aca="false">ROUND(G217*I217,2)</f>
        <v>255.8</v>
      </c>
      <c r="K217" s="14"/>
      <c r="L217" s="14"/>
      <c r="M217" s="14"/>
      <c r="N217" s="14" t="n">
        <f aca="false">ROUND((G217*I217)-K217-L217-M217,2)</f>
        <v>255.8</v>
      </c>
      <c r="O217" s="14"/>
      <c r="P217" s="14" t="n">
        <f aca="false">ROUND(IF(D217=0,IF((N217-E217-O217)&gt;0,(N217-E217-O217),0),IF((D217+N217-O217)&gt;0,(D217+N217-O217),0)),2)</f>
        <v>482.25</v>
      </c>
      <c r="Q217" s="14" t="n">
        <f aca="false">ROUND(IF(E217=0,IF((D217+N217-O217)&lt;0,ABS(D217+N217-O217),0),IF((N217-E217-O217)&lt;0,ABS(N217-E217-O217),0)),2)</f>
        <v>0</v>
      </c>
    </row>
    <row r="218" customFormat="false" ht="15" hidden="false" customHeight="true" outlineLevel="0" collapsed="false">
      <c r="A218" s="12" t="s">
        <v>650</v>
      </c>
      <c r="B218" s="12" t="str">
        <f aca="false">березень!B218</f>
        <v>Васильченко М.П.</v>
      </c>
      <c r="C218" s="12" t="s">
        <v>652</v>
      </c>
      <c r="D218" s="14" t="n">
        <f aca="false">березень!P218</f>
        <v>13336.02</v>
      </c>
      <c r="E218" s="14" t="n">
        <f aca="false">березень!Q218</f>
        <v>0</v>
      </c>
      <c r="F218" s="13" t="n">
        <f aca="false">березень!F218</f>
        <v>0</v>
      </c>
      <c r="G218" s="13" t="n">
        <f aca="false">березень!G218</f>
        <v>67.47</v>
      </c>
      <c r="H218" s="13" t="n">
        <f aca="false">березень!H218</f>
        <v>0</v>
      </c>
      <c r="I218" s="13" t="n">
        <f aca="false">березень!I218</f>
        <v>4.1</v>
      </c>
      <c r="J218" s="14" t="n">
        <f aca="false">ROUND(G218*I218,2)</f>
        <v>276.63</v>
      </c>
      <c r="K218" s="14"/>
      <c r="L218" s="14"/>
      <c r="M218" s="14"/>
      <c r="N218" s="14" t="n">
        <f aca="false">ROUND((G218*I218)-K218-L218-M218,2)</f>
        <v>276.63</v>
      </c>
      <c r="O218" s="14"/>
      <c r="P218" s="14" t="n">
        <f aca="false">ROUND(IF(D218=0,IF((N218-E218-O218)&gt;0,(N218-E218-O218),0),IF((D218+N218-O218)&gt;0,(D218+N218-O218),0)),2)</f>
        <v>13612.65</v>
      </c>
      <c r="Q218" s="14" t="n">
        <f aca="false">ROUND(IF(E218=0,IF((D218+N218-O218)&lt;0,ABS(D218+N218-O218),0),IF((N218-E218-O218)&lt;0,ABS(N218-E218-O218),0)),2)</f>
        <v>0</v>
      </c>
    </row>
    <row r="219" customFormat="false" ht="15" hidden="false" customHeight="true" outlineLevel="0" collapsed="false">
      <c r="A219" s="12" t="s">
        <v>653</v>
      </c>
      <c r="B219" s="12" t="str">
        <f aca="false">березень!B219</f>
        <v>Черненко Т.А.</v>
      </c>
      <c r="C219" s="12" t="s">
        <v>655</v>
      </c>
      <c r="D219" s="14" t="n">
        <f aca="false">березень!P219</f>
        <v>866.04</v>
      </c>
      <c r="E219" s="14" t="n">
        <f aca="false">березень!Q219</f>
        <v>0</v>
      </c>
      <c r="F219" s="13" t="n">
        <f aca="false">березень!F219</f>
        <v>0</v>
      </c>
      <c r="G219" s="13" t="n">
        <f aca="false">березень!G219</f>
        <v>70.41</v>
      </c>
      <c r="H219" s="13" t="n">
        <f aca="false">березень!H219</f>
        <v>0</v>
      </c>
      <c r="I219" s="13" t="n">
        <f aca="false">березень!I219</f>
        <v>4.1</v>
      </c>
      <c r="J219" s="14" t="n">
        <f aca="false">ROUND(G219*I219,2)</f>
        <v>288.68</v>
      </c>
      <c r="K219" s="14"/>
      <c r="L219" s="14"/>
      <c r="M219" s="14"/>
      <c r="N219" s="14" t="n">
        <f aca="false">ROUND((G219*I219)-K219-L219-M219,2)</f>
        <v>288.68</v>
      </c>
      <c r="O219" s="14"/>
      <c r="P219" s="14" t="n">
        <f aca="false">ROUND(IF(D219=0,IF((N219-E219-O219)&gt;0,(N219-E219-O219),0),IF((D219+N219-O219)&gt;0,(D219+N219-O219),0)),2)</f>
        <v>1154.72</v>
      </c>
      <c r="Q219" s="14" t="n">
        <f aca="false">ROUND(IF(E219=0,IF((D219+N219-O219)&lt;0,ABS(D219+N219-O219),0),IF((N219-E219-O219)&lt;0,ABS(N219-E219-O219),0)),2)</f>
        <v>0</v>
      </c>
    </row>
    <row r="220" customFormat="false" ht="15" hidden="false" customHeight="true" outlineLevel="0" collapsed="false">
      <c r="A220" s="12" t="s">
        <v>656</v>
      </c>
      <c r="B220" s="12" t="str">
        <f aca="false">березень!B220</f>
        <v>Сиротенко Я.О.</v>
      </c>
      <c r="C220" s="12" t="s">
        <v>658</v>
      </c>
      <c r="D220" s="14" t="n">
        <f aca="false">березень!P220</f>
        <v>4656.13</v>
      </c>
      <c r="E220" s="14" t="n">
        <f aca="false">березень!Q220</f>
        <v>0</v>
      </c>
      <c r="F220" s="13" t="n">
        <f aca="false">березень!F220</f>
        <v>0</v>
      </c>
      <c r="G220" s="13" t="n">
        <f aca="false">березень!G220</f>
        <v>49.73</v>
      </c>
      <c r="H220" s="13" t="n">
        <f aca="false">березень!H220</f>
        <v>0</v>
      </c>
      <c r="I220" s="13" t="n">
        <f aca="false">березень!I220</f>
        <v>4.1</v>
      </c>
      <c r="J220" s="14" t="n">
        <f aca="false">ROUND(G220*I220,2)</f>
        <v>203.89</v>
      </c>
      <c r="K220" s="14"/>
      <c r="L220" s="14"/>
      <c r="M220" s="14"/>
      <c r="N220" s="14" t="n">
        <f aca="false">ROUND((G220*I220)-K220-L220-M220,2)</f>
        <v>203.89</v>
      </c>
      <c r="O220" s="14"/>
      <c r="P220" s="14" t="n">
        <f aca="false">ROUND(IF(D220=0,IF((N220-E220-O220)&gt;0,(N220-E220-O220),0),IF((D220+N220-O220)&gt;0,(D220+N220-O220),0)),2)</f>
        <v>4860.02</v>
      </c>
      <c r="Q220" s="14" t="n">
        <f aca="false">ROUND(IF(E220=0,IF((D220+N220-O220)&lt;0,ABS(D220+N220-O220),0),IF((N220-E220-O220)&lt;0,ABS(N220-E220-O220),0)),2)</f>
        <v>0</v>
      </c>
    </row>
    <row r="221" customFormat="false" ht="15.75" hidden="false" customHeight="true" outlineLevel="0" collapsed="false">
      <c r="A221" s="12" t="s">
        <v>659</v>
      </c>
      <c r="B221" s="12" t="str">
        <f aca="false">березень!B221</f>
        <v>Корнюшенко О.О.</v>
      </c>
      <c r="C221" s="12" t="s">
        <v>661</v>
      </c>
      <c r="D221" s="14" t="n">
        <f aca="false">березень!P221</f>
        <v>8287.4</v>
      </c>
      <c r="E221" s="14" t="n">
        <f aca="false">березень!Q221</f>
        <v>0</v>
      </c>
      <c r="F221" s="13" t="n">
        <f aca="false">березень!F221</f>
        <v>0</v>
      </c>
      <c r="G221" s="13" t="n">
        <f aca="false">березень!G221</f>
        <v>62</v>
      </c>
      <c r="H221" s="13" t="n">
        <f aca="false">березень!H221</f>
        <v>0</v>
      </c>
      <c r="I221" s="13" t="n">
        <f aca="false">березень!I221</f>
        <v>4.1</v>
      </c>
      <c r="J221" s="14" t="n">
        <f aca="false">ROUND(G221*I221,2)</f>
        <v>254.2</v>
      </c>
      <c r="K221" s="14"/>
      <c r="L221" s="14"/>
      <c r="M221" s="14"/>
      <c r="N221" s="14" t="n">
        <f aca="false">ROUND((G221*I221)-K221-L221-M221,2)</f>
        <v>254.2</v>
      </c>
      <c r="O221" s="14"/>
      <c r="P221" s="14" t="n">
        <f aca="false">ROUND(IF(D221=0,IF((N221-E221-O221)&gt;0,(N221-E221-O221),0),IF((D221+N221-O221)&gt;0,(D221+N221-O221),0)),2)</f>
        <v>8541.6</v>
      </c>
      <c r="Q221" s="14" t="n">
        <f aca="false">ROUND(IF(E221=0,IF((D221+N221-O221)&lt;0,ABS(D221+N221-O221),0),IF((N221-E221-O221)&lt;0,ABS(N221-E221-O221),0)),2)</f>
        <v>0</v>
      </c>
      <c r="V221" s="17"/>
    </row>
    <row r="222" customFormat="false" ht="15" hidden="false" customHeight="true" outlineLevel="0" collapsed="false">
      <c r="A222" s="15"/>
      <c r="B222" s="15"/>
      <c r="C222" s="15"/>
      <c r="D222" s="16" t="n">
        <f aca="false">SUM(D7:D221)</f>
        <v>905229.57</v>
      </c>
      <c r="E222" s="16" t="n">
        <f aca="false">SUM(E7:E221)</f>
        <v>2674.71</v>
      </c>
      <c r="F222" s="16"/>
      <c r="G222" s="20" t="n">
        <f aca="false">SUM(G7:G221)</f>
        <v>11652.42</v>
      </c>
      <c r="H222" s="16" t="n">
        <f aca="false">SUM(H7:H221)</f>
        <v>0</v>
      </c>
      <c r="I222" s="16"/>
      <c r="J222" s="16" t="n">
        <f aca="false">SUM(J7:J221)</f>
        <v>47774.99</v>
      </c>
      <c r="K222" s="16" t="n">
        <f aca="false">SUM(K7:K221)</f>
        <v>0</v>
      </c>
      <c r="L222" s="16" t="n">
        <f aca="false">SUM(L7:L221)</f>
        <v>0</v>
      </c>
      <c r="M222" s="16" t="n">
        <f aca="false">SUM(M7:M221)</f>
        <v>0</v>
      </c>
      <c r="N222" s="16" t="n">
        <f aca="false">SUM(N7:N221)</f>
        <v>47774.99</v>
      </c>
      <c r="O222" s="16" t="n">
        <f aca="false">SUM(O7:O221)</f>
        <v>0</v>
      </c>
      <c r="P222" s="16" t="n">
        <f aca="false">SUM(P7:P221)</f>
        <v>952455.69</v>
      </c>
      <c r="Q222" s="16" t="n">
        <f aca="false">SUM(Q7:Q221)</f>
        <v>2125.84</v>
      </c>
      <c r="V222" s="22"/>
    </row>
    <row r="223" customFormat="false" ht="15.75" hidden="false" customHeight="true" outlineLevel="0" collapsed="false">
      <c r="A223" s="15"/>
      <c r="B223" s="15"/>
      <c r="C223" s="15"/>
      <c r="D223" s="16" t="n">
        <f aca="false">D222-E222</f>
        <v>902554.86</v>
      </c>
      <c r="E223" s="16"/>
      <c r="F223" s="16"/>
      <c r="G223" s="20"/>
      <c r="H223" s="16"/>
      <c r="I223" s="16"/>
      <c r="J223" s="16"/>
      <c r="K223" s="16"/>
      <c r="L223" s="16"/>
      <c r="M223" s="16"/>
      <c r="N223" s="16"/>
      <c r="O223" s="16"/>
      <c r="P223" s="16" t="n">
        <f aca="false">P222-Q222</f>
        <v>950329.85</v>
      </c>
      <c r="Q223" s="16"/>
    </row>
    <row r="224" customFormat="false" ht="15" hidden="false" customHeight="false" outlineLevel="0" collapsed="false">
      <c r="V224" s="17" t="n">
        <v>29813.5</v>
      </c>
    </row>
    <row r="225" customFormat="false" ht="15" hidden="false" customHeight="false" outlineLevel="0" collapsed="false">
      <c r="V225" s="17" t="n">
        <f aca="false">O222-V224</f>
        <v>-29813.5</v>
      </c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printOptions headings="false" gridLines="false" gridLinesSet="true" horizontalCentered="true" verticalCentered="false"/>
  <pageMargins left="0" right="0" top="0.354166666666667" bottom="0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26"/>
  <sheetViews>
    <sheetView showFormulas="false" showGridLines="true" showRowColHeaders="true" showZeros="false" rightToLeft="false" tabSelected="false" showOutlineSymbols="true" defaultGridColor="true" view="normal" topLeftCell="A1" colorId="64" zoomScale="90" zoomScaleNormal="90" zoomScalePageLayoutView="100" workbookViewId="0">
      <selection pane="topLeft" activeCell="A92" activeCellId="0" sqref="A9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76"/>
    <col collapsed="false" customWidth="true" hidden="false" outlineLevel="0" max="2" min="2" style="1" width="23.25"/>
    <col collapsed="false" customWidth="true" hidden="false" outlineLevel="0" max="3" min="3" style="1" width="7"/>
    <col collapsed="false" customWidth="true" hidden="false" outlineLevel="0" max="4" min="4" style="1" width="9.26"/>
    <col collapsed="false" customWidth="true" hidden="false" outlineLevel="0" max="6" min="6" style="1" width="5.37"/>
    <col collapsed="false" customWidth="true" hidden="false" outlineLevel="0" max="7" min="7" style="1" width="6.88"/>
    <col collapsed="false" customWidth="true" hidden="false" outlineLevel="0" max="8" min="8" style="1" width="5.63"/>
    <col collapsed="false" customWidth="true" hidden="false" outlineLevel="0" max="9" min="9" style="1" width="6.25"/>
    <col collapsed="false" customWidth="true" hidden="false" outlineLevel="0" max="10" min="10" style="1" width="9.12"/>
    <col collapsed="false" customWidth="true" hidden="false" outlineLevel="0" max="11" min="11" style="1" width="6.63"/>
    <col collapsed="false" customWidth="true" hidden="false" outlineLevel="0" max="12" min="12" style="1" width="5.87"/>
    <col collapsed="false" customWidth="true" hidden="false" outlineLevel="0" max="13" min="13" style="1" width="6"/>
    <col collapsed="false" customWidth="true" hidden="false" outlineLevel="0" max="14" min="14" style="1" width="9.12"/>
    <col collapsed="false" customWidth="true" hidden="false" outlineLevel="0" max="15" min="15" style="1" width="9.63"/>
    <col collapsed="false" customWidth="true" hidden="false" outlineLevel="0" max="16" min="16" style="1" width="9.26"/>
    <col collapsed="false" customWidth="true" hidden="false" outlineLevel="0" max="17" min="17" style="1" width="9.12"/>
    <col collapsed="false" customWidth="true" hidden="false" outlineLevel="0" max="21" min="21" style="1" width="9.26"/>
  </cols>
  <sheetData>
    <row r="1" customFormat="false" ht="15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2" t="s">
        <v>1</v>
      </c>
      <c r="O1" s="2"/>
      <c r="P1" s="2"/>
      <c r="Q1" s="2"/>
    </row>
    <row r="2" customFormat="false" ht="18" hidden="false" customHeight="true" outlineLevel="0" collapsed="false">
      <c r="A2" s="3"/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8.75" hidden="false" customHeight="true" outlineLevel="0" collapsed="false">
      <c r="A3" s="3"/>
      <c r="B3" s="4" t="s">
        <v>665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true" outlineLevel="0" collapsed="false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60" hidden="false" customHeight="true" outlineLevel="0" collapsed="false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7</v>
      </c>
      <c r="Q6" s="19" t="s">
        <v>8</v>
      </c>
    </row>
    <row r="7" customFormat="false" ht="15" hidden="false" customHeight="true" outlineLevel="0" collapsed="false">
      <c r="A7" s="12" t="s">
        <v>19</v>
      </c>
      <c r="B7" s="12" t="str">
        <f aca="false">квітень!B7</f>
        <v>Бережний В.М.</v>
      </c>
      <c r="C7" s="12" t="s">
        <v>21</v>
      </c>
      <c r="D7" s="14" t="n">
        <f aca="false">квітень!P7</f>
        <v>1877.03</v>
      </c>
      <c r="E7" s="14" t="n">
        <f aca="false">квітень!Q7</f>
        <v>0</v>
      </c>
      <c r="F7" s="13" t="n">
        <f aca="false">квітень!F7</f>
        <v>0</v>
      </c>
      <c r="G7" s="13" t="n">
        <f aca="false">квітень!G7</f>
        <v>64.26</v>
      </c>
      <c r="H7" s="13" t="n">
        <f aca="false">квітень!H7</f>
        <v>0</v>
      </c>
      <c r="I7" s="13" t="n">
        <f aca="false">квітень!I7</f>
        <v>4.1</v>
      </c>
      <c r="J7" s="14" t="n">
        <f aca="false">ROUND(G7*I7,2)</f>
        <v>263.47</v>
      </c>
      <c r="K7" s="14"/>
      <c r="L7" s="14"/>
      <c r="M7" s="14"/>
      <c r="N7" s="14" t="n">
        <f aca="false">ROUND((G7*I7)-K7-L7-M7,2)</f>
        <v>263.47</v>
      </c>
      <c r="O7" s="14"/>
      <c r="P7" s="14" t="n">
        <f aca="false">ROUND(IF(D7=0,IF((N7-E7-O7)&gt;0,(N7-E7-O7),0),IF((D7+N7-O7)&gt;0,(D7+N7-O7),0)),2)</f>
        <v>2140.5</v>
      </c>
      <c r="Q7" s="14" t="n">
        <f aca="false">ROUND(IF(E7=0,IF((D7+N7-O7)&lt;0,ABS(D7+N7-O7),0),IF((N7-E7-O7)&lt;0,ABS(N7-E7-O7),0)),2)</f>
        <v>0</v>
      </c>
    </row>
    <row r="8" customFormat="false" ht="15" hidden="false" customHeight="true" outlineLevel="0" collapsed="false">
      <c r="A8" s="12" t="s">
        <v>22</v>
      </c>
      <c r="B8" s="12" t="str">
        <f aca="false">квітень!B8</f>
        <v>Старикова Т.О.</v>
      </c>
      <c r="C8" s="12" t="s">
        <v>24</v>
      </c>
      <c r="D8" s="14" t="n">
        <f aca="false">квітень!P8</f>
        <v>798.84</v>
      </c>
      <c r="E8" s="14" t="n">
        <f aca="false">квітень!Q8</f>
        <v>0</v>
      </c>
      <c r="F8" s="13" t="n">
        <f aca="false">квітень!F8</f>
        <v>0</v>
      </c>
      <c r="G8" s="13" t="n">
        <f aca="false">квітень!G8</f>
        <v>48.71</v>
      </c>
      <c r="H8" s="13" t="n">
        <f aca="false">квітень!H8</f>
        <v>0</v>
      </c>
      <c r="I8" s="13" t="n">
        <f aca="false">квітень!I8</f>
        <v>4.1</v>
      </c>
      <c r="J8" s="14" t="n">
        <f aca="false">ROUND(G8*I8,2)</f>
        <v>199.71</v>
      </c>
      <c r="K8" s="14"/>
      <c r="L8" s="14"/>
      <c r="M8" s="14"/>
      <c r="N8" s="14" t="n">
        <f aca="false">ROUND((G8*I8)-K8-L8-M8,2)</f>
        <v>199.71</v>
      </c>
      <c r="O8" s="14"/>
      <c r="P8" s="14" t="n">
        <f aca="false">ROUND(IF(D8=0,IF((N8-E8-O8)&gt;0,(N8-E8-O8),0),IF((D8+N8-O8)&gt;0,(D8+N8-O8),0)),2)</f>
        <v>998.55</v>
      </c>
      <c r="Q8" s="14" t="n">
        <f aca="false">ROUND(IF(E8=0,IF((D8+N8-O8)&lt;0,ABS(D8+N8-O8),0),IF((N8-E8-O8)&lt;0,ABS(N8-E8-O8),0)),2)</f>
        <v>0</v>
      </c>
    </row>
    <row r="9" customFormat="false" ht="15" hidden="false" customHeight="true" outlineLevel="0" collapsed="false">
      <c r="A9" s="12" t="s">
        <v>25</v>
      </c>
      <c r="B9" s="12" t="str">
        <f aca="false">квітень!B9</f>
        <v>Мазур Т.В.</v>
      </c>
      <c r="C9" s="12" t="s">
        <v>27</v>
      </c>
      <c r="D9" s="14" t="n">
        <f aca="false">квітень!P9</f>
        <v>717.5</v>
      </c>
      <c r="E9" s="14" t="n">
        <f aca="false">квітень!Q9</f>
        <v>0</v>
      </c>
      <c r="F9" s="13" t="n">
        <f aca="false">квітень!F9</f>
        <v>0</v>
      </c>
      <c r="G9" s="13" t="n">
        <f aca="false">квітень!G9</f>
        <v>35</v>
      </c>
      <c r="H9" s="13" t="n">
        <f aca="false">квітень!H9</f>
        <v>0</v>
      </c>
      <c r="I9" s="13" t="n">
        <f aca="false">квітень!I9</f>
        <v>4.1</v>
      </c>
      <c r="J9" s="14" t="n">
        <f aca="false">ROUND(G9*I9,2)</f>
        <v>143.5</v>
      </c>
      <c r="K9" s="14"/>
      <c r="L9" s="14"/>
      <c r="M9" s="14"/>
      <c r="N9" s="14" t="n">
        <f aca="false">ROUND((G9*I9)-K9-L9-M9,2)</f>
        <v>143.5</v>
      </c>
      <c r="O9" s="14"/>
      <c r="P9" s="14" t="n">
        <f aca="false">ROUND(IF(D9=0,IF((N9-E9-O9)&gt;0,(N9-E9-O9),0),IF((D9+N9-O9)&gt;0,(D9+N9-O9),0)),2)</f>
        <v>861</v>
      </c>
      <c r="Q9" s="14" t="n">
        <f aca="false">ROUND(IF(E9=0,IF((D9+N9-O9)&lt;0,ABS(D9+N9-O9),0),IF((N9-E9-O9)&lt;0,ABS(N9-E9-O9),0)),2)</f>
        <v>0</v>
      </c>
    </row>
    <row r="10" customFormat="false" ht="15" hidden="false" customHeight="true" outlineLevel="0" collapsed="false">
      <c r="A10" s="12" t="s">
        <v>28</v>
      </c>
      <c r="B10" s="12" t="str">
        <f aca="false">квітень!B10</f>
        <v>Сокол О.В.</v>
      </c>
      <c r="C10" s="12" t="s">
        <v>30</v>
      </c>
      <c r="D10" s="14" t="n">
        <f aca="false">квітень!P10</f>
        <v>757.68</v>
      </c>
      <c r="E10" s="14" t="n">
        <f aca="false">квітень!Q10</f>
        <v>0</v>
      </c>
      <c r="F10" s="13" t="n">
        <f aca="false">квітень!F10</f>
        <v>0</v>
      </c>
      <c r="G10" s="13" t="n">
        <f aca="false">квітень!G10</f>
        <v>61.6</v>
      </c>
      <c r="H10" s="13" t="n">
        <f aca="false">квітень!H10</f>
        <v>0</v>
      </c>
      <c r="I10" s="13" t="n">
        <f aca="false">квітень!I10</f>
        <v>4.1</v>
      </c>
      <c r="J10" s="14" t="n">
        <f aca="false">ROUND(G10*I10,2)</f>
        <v>252.56</v>
      </c>
      <c r="K10" s="14"/>
      <c r="L10" s="14"/>
      <c r="M10" s="14"/>
      <c r="N10" s="14" t="n">
        <f aca="false">ROUND((G10*I10)-K10-L10-M10,2)</f>
        <v>252.56</v>
      </c>
      <c r="O10" s="14"/>
      <c r="P10" s="14" t="n">
        <f aca="false">ROUND(IF(D10=0,IF((N10-E10-O10)&gt;0,(N10-E10-O10),0),IF((D10+N10-O10)&gt;0,(D10+N10-O10),0)),2)</f>
        <v>1010.24</v>
      </c>
      <c r="Q10" s="14" t="n">
        <f aca="false">ROUND(IF(E10=0,IF((D10+N10-O10)&lt;0,ABS(D10+N10-O10),0),IF((N10-E10-O10)&lt;0,ABS(N10-E10-O10),0)),2)</f>
        <v>0</v>
      </c>
    </row>
    <row r="11" customFormat="false" ht="15" hidden="false" customHeight="true" outlineLevel="0" collapsed="false">
      <c r="A11" s="12" t="s">
        <v>31</v>
      </c>
      <c r="B11" s="12" t="str">
        <f aca="false">квітень!B11</f>
        <v>Семко Л.І.</v>
      </c>
      <c r="C11" s="12" t="s">
        <v>33</v>
      </c>
      <c r="D11" s="14" t="n">
        <f aca="false">квітень!P11</f>
        <v>3108.63</v>
      </c>
      <c r="E11" s="14" t="n">
        <f aca="false">квітень!Q11</f>
        <v>0</v>
      </c>
      <c r="F11" s="13" t="n">
        <f aca="false">квітень!F11</f>
        <v>0</v>
      </c>
      <c r="G11" s="13" t="n">
        <f aca="false">квітень!G11</f>
        <v>28.34</v>
      </c>
      <c r="H11" s="13" t="n">
        <f aca="false">квітень!H11</f>
        <v>0</v>
      </c>
      <c r="I11" s="13" t="n">
        <f aca="false">квітень!I11</f>
        <v>4.1</v>
      </c>
      <c r="J11" s="14" t="n">
        <f aca="false">ROUND(G11*I11,2)</f>
        <v>116.19</v>
      </c>
      <c r="K11" s="14"/>
      <c r="L11" s="14"/>
      <c r="M11" s="14"/>
      <c r="N11" s="14" t="n">
        <f aca="false">ROUND((G11*I11)-K11-L11-M11,2)</f>
        <v>116.19</v>
      </c>
      <c r="O11" s="14"/>
      <c r="P11" s="14" t="n">
        <f aca="false">ROUND(IF(D11=0,IF((N11-E11-O11)&gt;0,(N11-E11-O11),0),IF((D11+N11-O11)&gt;0,(D11+N11-O11),0)),2)</f>
        <v>3224.82</v>
      </c>
      <c r="Q11" s="14" t="n">
        <f aca="false">ROUND(IF(E11=0,IF((D11+N11-O11)&lt;0,ABS(D11+N11-O11),0),IF((N11-E11-O11)&lt;0,ABS(N11-E11-O11),0)),2)</f>
        <v>0</v>
      </c>
    </row>
    <row r="12" customFormat="false" ht="15" hidden="false" customHeight="true" outlineLevel="0" collapsed="false">
      <c r="A12" s="12" t="s">
        <v>31</v>
      </c>
      <c r="B12" s="12" t="str">
        <f aca="false">квітень!B12</f>
        <v>Гаркуша Н.І.</v>
      </c>
      <c r="C12" s="12" t="s">
        <v>35</v>
      </c>
      <c r="D12" s="14" t="n">
        <f aca="false">квітень!P12</f>
        <v>1410.5</v>
      </c>
      <c r="E12" s="14" t="n">
        <f aca="false">квітень!Q12</f>
        <v>0</v>
      </c>
      <c r="F12" s="13" t="n">
        <f aca="false">квітень!F12</f>
        <v>0</v>
      </c>
      <c r="G12" s="13" t="n">
        <f aca="false">квітень!G12</f>
        <v>36.66</v>
      </c>
      <c r="H12" s="13" t="n">
        <f aca="false">квітень!H12</f>
        <v>0</v>
      </c>
      <c r="I12" s="13" t="n">
        <f aca="false">квітень!I12</f>
        <v>4.1</v>
      </c>
      <c r="J12" s="14" t="n">
        <f aca="false">ROUND(G12*I12,2)</f>
        <v>150.31</v>
      </c>
      <c r="K12" s="14"/>
      <c r="L12" s="14"/>
      <c r="M12" s="14"/>
      <c r="N12" s="14" t="n">
        <f aca="false">ROUND((G12*I12)-K12-L12-M12,2)</f>
        <v>150.31</v>
      </c>
      <c r="O12" s="14"/>
      <c r="P12" s="14" t="n">
        <f aca="false">ROUND(IF(D12=0,IF((N12-E12-O12)&gt;0,(N12-E12-O12),0),IF((D12+N12-O12)&gt;0,(D12+N12-O12),0)),2)</f>
        <v>1560.81</v>
      </c>
      <c r="Q12" s="14" t="n">
        <f aca="false">ROUND(IF(E12=0,IF((D12+N12-O12)&lt;0,ABS(D12+N12-O12),0),IF((N12-E12-O12)&lt;0,ABS(N12-E12-O12),0)),2)</f>
        <v>0</v>
      </c>
    </row>
    <row r="13" customFormat="false" ht="15" hidden="false" customHeight="true" outlineLevel="0" collapsed="false">
      <c r="A13" s="12" t="s">
        <v>36</v>
      </c>
      <c r="B13" s="12" t="str">
        <f aca="false">квітень!B13</f>
        <v>Андріяшев В.М</v>
      </c>
      <c r="C13" s="12" t="s">
        <v>38</v>
      </c>
      <c r="D13" s="14" t="n">
        <f aca="false">квітень!P13</f>
        <v>951.28</v>
      </c>
      <c r="E13" s="14" t="n">
        <f aca="false">квітень!Q13</f>
        <v>0</v>
      </c>
      <c r="F13" s="13" t="n">
        <f aca="false">квітень!F13</f>
        <v>0</v>
      </c>
      <c r="G13" s="13" t="n">
        <f aca="false">квітень!G13</f>
        <v>49.8</v>
      </c>
      <c r="H13" s="13" t="n">
        <f aca="false">квітень!H13</f>
        <v>0</v>
      </c>
      <c r="I13" s="13" t="n">
        <f aca="false">квітень!I13</f>
        <v>4.1</v>
      </c>
      <c r="J13" s="14" t="n">
        <f aca="false">ROUND(G13*I13,2)</f>
        <v>204.18</v>
      </c>
      <c r="K13" s="14"/>
      <c r="L13" s="14"/>
      <c r="M13" s="14"/>
      <c r="N13" s="14" t="n">
        <f aca="false">ROUND((G13*I13)-K13-L13-M13,2)</f>
        <v>204.18</v>
      </c>
      <c r="O13" s="14"/>
      <c r="P13" s="14" t="n">
        <f aca="false">ROUND(IF(D13=0,IF((N13-E13-O13)&gt;0,(N13-E13-O13),0),IF((D13+N13-O13)&gt;0,(D13+N13-O13),0)),2)</f>
        <v>1155.46</v>
      </c>
      <c r="Q13" s="14" t="n">
        <f aca="false">ROUND(IF(E13=0,IF((D13+N13-O13)&lt;0,ABS(D13+N13-O13),0),IF((N13-E13-O13)&lt;0,ABS(N13-E13-O13),0)),2)</f>
        <v>0</v>
      </c>
    </row>
    <row r="14" customFormat="false" ht="15" hidden="false" customHeight="true" outlineLevel="0" collapsed="false">
      <c r="A14" s="12" t="s">
        <v>39</v>
      </c>
      <c r="B14" s="12" t="str">
        <f aca="false">квітень!B14</f>
        <v>Старчикова О.М.</v>
      </c>
      <c r="C14" s="12" t="s">
        <v>41</v>
      </c>
      <c r="D14" s="14" t="n">
        <f aca="false">квітень!P14</f>
        <v>710.35</v>
      </c>
      <c r="E14" s="14" t="n">
        <f aca="false">квітень!Q14</f>
        <v>0</v>
      </c>
      <c r="F14" s="13" t="n">
        <f aca="false">квітень!F14</f>
        <v>0</v>
      </c>
      <c r="G14" s="13" t="n">
        <f aca="false">квітень!G14</f>
        <v>34.65</v>
      </c>
      <c r="H14" s="13" t="n">
        <f aca="false">квітень!H14</f>
        <v>0</v>
      </c>
      <c r="I14" s="13" t="n">
        <f aca="false">квітень!I14</f>
        <v>4.1</v>
      </c>
      <c r="J14" s="14" t="n">
        <f aca="false">ROUND(G14*I14,2)</f>
        <v>142.07</v>
      </c>
      <c r="K14" s="14"/>
      <c r="L14" s="14"/>
      <c r="M14" s="14"/>
      <c r="N14" s="14" t="n">
        <f aca="false">ROUND((G14*I14)-K14-L14-M14,2)</f>
        <v>142.07</v>
      </c>
      <c r="O14" s="14"/>
      <c r="P14" s="14" t="n">
        <f aca="false">ROUND(IF(D14=0,IF((N14-E14-O14)&gt;0,(N14-E14-O14),0),IF((D14+N14-O14)&gt;0,(D14+N14-O14),0)),2)</f>
        <v>852.42</v>
      </c>
      <c r="Q14" s="14" t="n">
        <f aca="false">ROUND(IF(E14=0,IF((D14+N14-O14)&lt;0,ABS(D14+N14-O14),0),IF((N14-E14-O14)&lt;0,ABS(N14-E14-O14),0)),2)</f>
        <v>0</v>
      </c>
    </row>
    <row r="15" customFormat="false" ht="15" hidden="false" customHeight="true" outlineLevel="0" collapsed="false">
      <c r="A15" s="12" t="s">
        <v>42</v>
      </c>
      <c r="B15" s="12" t="str">
        <f aca="false">квітень!B15</f>
        <v>Безер Т.М</v>
      </c>
      <c r="C15" s="12" t="s">
        <v>44</v>
      </c>
      <c r="D15" s="14" t="n">
        <f aca="false">квітень!P15</f>
        <v>1012.05</v>
      </c>
      <c r="E15" s="14" t="n">
        <f aca="false">квітень!Q15</f>
        <v>0</v>
      </c>
      <c r="F15" s="13" t="n">
        <f aca="false">квітень!F15</f>
        <v>0</v>
      </c>
      <c r="G15" s="13" t="n">
        <f aca="false">квітень!G15</f>
        <v>62.14</v>
      </c>
      <c r="H15" s="13" t="n">
        <f aca="false">квітень!H15</f>
        <v>0</v>
      </c>
      <c r="I15" s="13" t="n">
        <f aca="false">квітень!I15</f>
        <v>4.1</v>
      </c>
      <c r="J15" s="14" t="n">
        <f aca="false">ROUND(G15*I15,2)</f>
        <v>254.77</v>
      </c>
      <c r="K15" s="14"/>
      <c r="L15" s="14"/>
      <c r="M15" s="14"/>
      <c r="N15" s="14" t="n">
        <f aca="false">ROUND((G15*I15)-K15-L15-M15,2)</f>
        <v>254.77</v>
      </c>
      <c r="O15" s="14"/>
      <c r="P15" s="14" t="n">
        <f aca="false">ROUND(IF(D15=0,IF((N15-E15-O15)&gt;0,(N15-E15-O15),0),IF((D15+N15-O15)&gt;0,(D15+N15-O15),0)),2)</f>
        <v>1266.82</v>
      </c>
      <c r="Q15" s="14" t="n">
        <f aca="false">ROUND(IF(E15=0,IF((D15+N15-O15)&lt;0,ABS(D15+N15-O15),0),IF((N15-E15-O15)&lt;0,ABS(N15-E15-O15),0)),2)</f>
        <v>0</v>
      </c>
    </row>
    <row r="16" customFormat="false" ht="15" hidden="false" customHeight="true" outlineLevel="0" collapsed="false">
      <c r="A16" s="12" t="s">
        <v>45</v>
      </c>
      <c r="B16" s="12" t="str">
        <f aca="false">квітень!B16</f>
        <v>Решетило М.М</v>
      </c>
      <c r="C16" s="12" t="s">
        <v>47</v>
      </c>
      <c r="D16" s="14" t="n">
        <f aca="false">квітень!P16</f>
        <v>1870.36</v>
      </c>
      <c r="E16" s="14" t="n">
        <f aca="false">квітень!Q16</f>
        <v>0</v>
      </c>
      <c r="F16" s="13" t="n">
        <f aca="false">квітень!F16</f>
        <v>0</v>
      </c>
      <c r="G16" s="13" t="n">
        <f aca="false">квітень!G16</f>
        <v>65.16</v>
      </c>
      <c r="H16" s="13" t="n">
        <f aca="false">квітень!H16</f>
        <v>0</v>
      </c>
      <c r="I16" s="13" t="n">
        <f aca="false">квітень!I16</f>
        <v>4.1</v>
      </c>
      <c r="J16" s="14" t="n">
        <f aca="false">ROUND(G16*I16,2)</f>
        <v>267.16</v>
      </c>
      <c r="K16" s="14"/>
      <c r="L16" s="14"/>
      <c r="M16" s="14"/>
      <c r="N16" s="14" t="n">
        <f aca="false">ROUND((G16*I16)-K16-L16-M16,2)</f>
        <v>267.16</v>
      </c>
      <c r="O16" s="14"/>
      <c r="P16" s="14" t="n">
        <f aca="false">ROUND(IF(D16=0,IF((N16-E16-O16)&gt;0,(N16-E16-O16),0),IF((D16+N16-O16)&gt;0,(D16+N16-O16),0)),2)</f>
        <v>2137.52</v>
      </c>
      <c r="Q16" s="14" t="n">
        <f aca="false">ROUND(IF(E16=0,IF((D16+N16-O16)&lt;0,ABS(D16+N16-O16),0),IF((N16-E16-O16)&lt;0,ABS(N16-E16-O16),0)),2)</f>
        <v>0</v>
      </c>
    </row>
    <row r="17" customFormat="false" ht="15" hidden="false" customHeight="true" outlineLevel="0" collapsed="false">
      <c r="A17" s="12" t="s">
        <v>48</v>
      </c>
      <c r="B17" s="12" t="str">
        <f aca="false">квітень!B17</f>
        <v>Фесенко О.В.</v>
      </c>
      <c r="C17" s="12" t="s">
        <v>50</v>
      </c>
      <c r="D17" s="14" t="n">
        <f aca="false">квітень!P17</f>
        <v>5698.33</v>
      </c>
      <c r="E17" s="14" t="n">
        <f aca="false">квітень!Q17</f>
        <v>0</v>
      </c>
      <c r="F17" s="13" t="n">
        <f aca="false">квітень!F17</f>
        <v>0</v>
      </c>
      <c r="G17" s="13" t="n">
        <f aca="false">квітень!G17</f>
        <v>50.1</v>
      </c>
      <c r="H17" s="13" t="n">
        <f aca="false">квітень!H17</f>
        <v>0</v>
      </c>
      <c r="I17" s="13" t="n">
        <f aca="false">квітень!I17</f>
        <v>4.1</v>
      </c>
      <c r="J17" s="14" t="n">
        <f aca="false">ROUND(G17*I17,2)</f>
        <v>205.41</v>
      </c>
      <c r="K17" s="14"/>
      <c r="L17" s="14"/>
      <c r="M17" s="14"/>
      <c r="N17" s="14" t="n">
        <f aca="false">ROUND((G17*I17)-K17-L17-M17,2)</f>
        <v>205.41</v>
      </c>
      <c r="O17" s="14"/>
      <c r="P17" s="14" t="n">
        <f aca="false">ROUND(IF(D17=0,IF((N17-E17-O17)&gt;0,(N17-E17-O17),0),IF((D17+N17-O17)&gt;0,(D17+N17-O17),0)),2)</f>
        <v>5903.74</v>
      </c>
      <c r="Q17" s="14" t="n">
        <f aca="false">ROUND(IF(E17=0,IF((D17+N17-O17)&lt;0,ABS(D17+N17-O17),0),IF((N17-E17-O17)&lt;0,ABS(N17-E17-O17),0)),2)</f>
        <v>0</v>
      </c>
    </row>
    <row r="18" customFormat="false" ht="15" hidden="false" customHeight="true" outlineLevel="0" collapsed="false">
      <c r="A18" s="12" t="s">
        <v>51</v>
      </c>
      <c r="B18" s="12" t="str">
        <f aca="false">квітень!B18</f>
        <v>Петренко О.М.</v>
      </c>
      <c r="C18" s="12" t="s">
        <v>53</v>
      </c>
      <c r="D18" s="14" t="n">
        <f aca="false">квітень!P18</f>
        <v>2125.48</v>
      </c>
      <c r="E18" s="14" t="n">
        <f aca="false">квітень!Q18</f>
        <v>0</v>
      </c>
      <c r="F18" s="13" t="n">
        <f aca="false">квітень!F18</f>
        <v>0</v>
      </c>
      <c r="G18" s="13" t="n">
        <f aca="false">квітень!G18</f>
        <v>35.2</v>
      </c>
      <c r="H18" s="13" t="n">
        <f aca="false">квітень!H18</f>
        <v>0</v>
      </c>
      <c r="I18" s="13" t="n">
        <f aca="false">квітень!I18</f>
        <v>4.1</v>
      </c>
      <c r="J18" s="14" t="n">
        <f aca="false">ROUND(G18*I18,2)</f>
        <v>144.32</v>
      </c>
      <c r="K18" s="14"/>
      <c r="L18" s="14"/>
      <c r="M18" s="14"/>
      <c r="N18" s="14" t="n">
        <f aca="false">ROUND((G18*I18)-K18-L18-M18,2)</f>
        <v>144.32</v>
      </c>
      <c r="O18" s="14"/>
      <c r="P18" s="14" t="n">
        <f aca="false">ROUND(IF(D18=0,IF((N18-E18-O18)&gt;0,(N18-E18-O18),0),IF((D18+N18-O18)&gt;0,(D18+N18-O18),0)),2)</f>
        <v>2269.8</v>
      </c>
      <c r="Q18" s="14" t="n">
        <f aca="false">ROUND(IF(E18=0,IF((D18+N18-O18)&lt;0,ABS(D18+N18-O18),0),IF((N18-E18-O18)&lt;0,ABS(N18-E18-O18),0)),2)</f>
        <v>0</v>
      </c>
    </row>
    <row r="19" customFormat="false" ht="15" hidden="false" customHeight="true" outlineLevel="0" collapsed="false">
      <c r="A19" s="12" t="s">
        <v>54</v>
      </c>
      <c r="B19" s="12" t="str">
        <f aca="false">квітень!B19</f>
        <v>Зеленюк А.Д</v>
      </c>
      <c r="C19" s="12" t="s">
        <v>56</v>
      </c>
      <c r="D19" s="14" t="n">
        <f aca="false">квітень!P19</f>
        <v>13209.21</v>
      </c>
      <c r="E19" s="14" t="n">
        <f aca="false">квітень!Q19</f>
        <v>0</v>
      </c>
      <c r="F19" s="13" t="n">
        <f aca="false">квітень!F19</f>
        <v>0</v>
      </c>
      <c r="G19" s="13" t="n">
        <f aca="false">квітень!G19</f>
        <v>62.78</v>
      </c>
      <c r="H19" s="13" t="n">
        <f aca="false">квітень!H19</f>
        <v>0</v>
      </c>
      <c r="I19" s="13" t="n">
        <f aca="false">квітень!I19</f>
        <v>4.1</v>
      </c>
      <c r="J19" s="14" t="n">
        <f aca="false">ROUND(G19*I19,2)</f>
        <v>257.4</v>
      </c>
      <c r="K19" s="14"/>
      <c r="L19" s="14"/>
      <c r="M19" s="14"/>
      <c r="N19" s="14" t="n">
        <f aca="false">ROUND((G19*I19)-K19-L19-M19,2)</f>
        <v>257.4</v>
      </c>
      <c r="O19" s="14"/>
      <c r="P19" s="14" t="n">
        <f aca="false">ROUND(IF(D19=0,IF((N19-E19-O19)&gt;0,(N19-E19-O19),0),IF((D19+N19-O19)&gt;0,(D19+N19-O19),0)),2)</f>
        <v>13466.61</v>
      </c>
      <c r="Q19" s="14" t="n">
        <f aca="false">ROUND(IF(E19=0,IF((D19+N19-O19)&lt;0,ABS(D19+N19-O19),0),IF((N19-E19-O19)&lt;0,ABS(N19-E19-O19),0)),2)</f>
        <v>0</v>
      </c>
    </row>
    <row r="20" customFormat="false" ht="15" hidden="false" customHeight="true" outlineLevel="0" collapsed="false">
      <c r="A20" s="12" t="s">
        <v>57</v>
      </c>
      <c r="B20" s="12" t="str">
        <f aca="false">квітень!B20</f>
        <v>Вовк І.В</v>
      </c>
      <c r="C20" s="12" t="s">
        <v>59</v>
      </c>
      <c r="D20" s="14" t="n">
        <f aca="false">квітень!P20</f>
        <v>5662.02</v>
      </c>
      <c r="E20" s="14" t="n">
        <f aca="false">квітень!Q20</f>
        <v>0</v>
      </c>
      <c r="F20" s="13" t="n">
        <f aca="false">квітень!F20</f>
        <v>0</v>
      </c>
      <c r="G20" s="13" t="n">
        <f aca="false">квітень!G20</f>
        <v>28.23</v>
      </c>
      <c r="H20" s="13" t="n">
        <f aca="false">квітень!H20</f>
        <v>0</v>
      </c>
      <c r="I20" s="13" t="n">
        <f aca="false">квітень!I20</f>
        <v>4.1</v>
      </c>
      <c r="J20" s="14" t="n">
        <f aca="false">ROUND(G20*I20,2)</f>
        <v>115.74</v>
      </c>
      <c r="K20" s="14"/>
      <c r="L20" s="14"/>
      <c r="M20" s="14"/>
      <c r="N20" s="14" t="n">
        <f aca="false">ROUND((G20*I20)-K20-L20-M20,2)</f>
        <v>115.74</v>
      </c>
      <c r="O20" s="14"/>
      <c r="P20" s="14" t="n">
        <f aca="false">ROUND(IF(D20=0,IF((N20-E20-O20)&gt;0,(N20-E20-O20),0),IF((D20+N20-O20)&gt;0,(D20+N20-O20),0)),2)</f>
        <v>5777.76</v>
      </c>
      <c r="Q20" s="14" t="n">
        <f aca="false">ROUND(IF(E20=0,IF((D20+N20-O20)&lt;0,ABS(D20+N20-O20),0),IF((N20-E20-O20)&lt;0,ABS(N20-E20-O20),0)),2)</f>
        <v>0</v>
      </c>
    </row>
    <row r="21" customFormat="false" ht="15" hidden="false" customHeight="true" outlineLevel="0" collapsed="false">
      <c r="A21" s="12" t="s">
        <v>57</v>
      </c>
      <c r="B21" s="12" t="str">
        <f aca="false">квітень!B21</f>
        <v>Романовський В.М</v>
      </c>
      <c r="C21" s="12" t="s">
        <v>61</v>
      </c>
      <c r="D21" s="14" t="n">
        <f aca="false">квітень!P21</f>
        <v>6072.24</v>
      </c>
      <c r="E21" s="14" t="n">
        <f aca="false">квітень!Q21</f>
        <v>0</v>
      </c>
      <c r="F21" s="13" t="n">
        <f aca="false">квітень!F21</f>
        <v>0</v>
      </c>
      <c r="G21" s="13" t="n">
        <f aca="false">квітень!G21</f>
        <v>37.84</v>
      </c>
      <c r="H21" s="13" t="n">
        <f aca="false">квітень!H21</f>
        <v>0</v>
      </c>
      <c r="I21" s="13" t="n">
        <f aca="false">квітень!I21</f>
        <v>4.1</v>
      </c>
      <c r="J21" s="14" t="n">
        <f aca="false">ROUND(G21*I21,2)</f>
        <v>155.14</v>
      </c>
      <c r="K21" s="14"/>
      <c r="L21" s="14"/>
      <c r="M21" s="14"/>
      <c r="N21" s="14" t="n">
        <f aca="false">ROUND((G21*I21)-K21-L21-M21,2)</f>
        <v>155.14</v>
      </c>
      <c r="O21" s="14"/>
      <c r="P21" s="14" t="n">
        <f aca="false">ROUND(IF(D21=0,IF((N21-E21-O21)&gt;0,(N21-E21-O21),0),IF((D21+N21-O21)&gt;0,(D21+N21-O21),0)),2)</f>
        <v>6227.38</v>
      </c>
      <c r="Q21" s="14" t="n">
        <f aca="false">ROUND(IF(E21=0,IF((D21+N21-O21)&lt;0,ABS(D21+N21-O21),0),IF((N21-E21-O21)&lt;0,ABS(N21-E21-O21),0)),2)</f>
        <v>0</v>
      </c>
    </row>
    <row r="22" customFormat="false" ht="15" hidden="false" customHeight="true" outlineLevel="0" collapsed="false">
      <c r="A22" s="12" t="s">
        <v>62</v>
      </c>
      <c r="B22" s="12" t="str">
        <f aca="false">квітень!B22</f>
        <v>Ряба Л.І</v>
      </c>
      <c r="C22" s="12" t="s">
        <v>64</v>
      </c>
      <c r="D22" s="14" t="n">
        <f aca="false">квітень!P22</f>
        <v>874.08</v>
      </c>
      <c r="E22" s="14" t="n">
        <f aca="false">квітень!Q22</f>
        <v>0</v>
      </c>
      <c r="F22" s="13" t="n">
        <f aca="false">квітень!F22</f>
        <v>0</v>
      </c>
      <c r="G22" s="13" t="n">
        <f aca="false">квітень!G22</f>
        <v>49.24</v>
      </c>
      <c r="H22" s="13" t="n">
        <f aca="false">квітень!H22</f>
        <v>0</v>
      </c>
      <c r="I22" s="13" t="n">
        <f aca="false">квітень!I22</f>
        <v>4.1</v>
      </c>
      <c r="J22" s="14" t="n">
        <f aca="false">ROUND(G22*I22,2)</f>
        <v>201.88</v>
      </c>
      <c r="K22" s="14"/>
      <c r="L22" s="14"/>
      <c r="M22" s="14"/>
      <c r="N22" s="14" t="n">
        <f aca="false">ROUND((G22*I22)-K22-L22-M22,2)</f>
        <v>201.88</v>
      </c>
      <c r="O22" s="14"/>
      <c r="P22" s="14" t="n">
        <f aca="false">ROUND(IF(D22=0,IF((N22-E22-O22)&gt;0,(N22-E22-O22),0),IF((D22+N22-O22)&gt;0,(D22+N22-O22),0)),2)</f>
        <v>1075.96</v>
      </c>
      <c r="Q22" s="14" t="n">
        <f aca="false">ROUND(IF(E22=0,IF((D22+N22-O22)&lt;0,ABS(D22+N22-O22),0),IF((N22-E22-O22)&lt;0,ABS(N22-E22-O22),0)),2)</f>
        <v>0</v>
      </c>
    </row>
    <row r="23" customFormat="false" ht="15" hidden="false" customHeight="true" outlineLevel="0" collapsed="false">
      <c r="A23" s="12" t="s">
        <v>65</v>
      </c>
      <c r="B23" s="12" t="str">
        <f aca="false">квітень!B23</f>
        <v>Кас'янова О.А.</v>
      </c>
      <c r="C23" s="12" t="s">
        <v>67</v>
      </c>
      <c r="D23" s="14" t="n">
        <f aca="false">квітень!P23</f>
        <v>1011.44</v>
      </c>
      <c r="E23" s="14" t="n">
        <f aca="false">квітень!Q23</f>
        <v>0</v>
      </c>
      <c r="F23" s="13" t="n">
        <f aca="false">квітень!F23</f>
        <v>0</v>
      </c>
      <c r="G23" s="13" t="n">
        <f aca="false">квітень!G23</f>
        <v>35.1</v>
      </c>
      <c r="H23" s="13" t="n">
        <f aca="false">квітень!H23</f>
        <v>0</v>
      </c>
      <c r="I23" s="13" t="n">
        <f aca="false">квітень!I23</f>
        <v>4.1</v>
      </c>
      <c r="J23" s="14" t="n">
        <f aca="false">ROUND(G23*I23,2)</f>
        <v>143.91</v>
      </c>
      <c r="K23" s="14"/>
      <c r="L23" s="14"/>
      <c r="M23" s="14"/>
      <c r="N23" s="14" t="n">
        <f aca="false">ROUND((G23*I23)-K23-L23-M23,2)</f>
        <v>143.91</v>
      </c>
      <c r="O23" s="14"/>
      <c r="P23" s="14" t="n">
        <f aca="false">ROUND(IF(D23=0,IF((N23-E23-O23)&gt;0,(N23-E23-O23),0),IF((D23+N23-O23)&gt;0,(D23+N23-O23),0)),2)</f>
        <v>1155.35</v>
      </c>
      <c r="Q23" s="14" t="n">
        <f aca="false">ROUND(IF(E23=0,IF((D23+N23-O23)&lt;0,ABS(D23+N23-O23),0),IF((N23-E23-O23)&lt;0,ABS(N23-E23-O23),0)),2)</f>
        <v>0</v>
      </c>
    </row>
    <row r="24" customFormat="false" ht="15" hidden="false" customHeight="true" outlineLevel="0" collapsed="false">
      <c r="A24" s="12" t="s">
        <v>68</v>
      </c>
      <c r="B24" s="12" t="str">
        <f aca="false">квітень!B24</f>
        <v>Корякіна М.В.</v>
      </c>
      <c r="C24" s="12" t="s">
        <v>70</v>
      </c>
      <c r="D24" s="14" t="n">
        <f aca="false">квітень!P24</f>
        <v>5715.16</v>
      </c>
      <c r="E24" s="14" t="n">
        <f aca="false">квітень!Q24</f>
        <v>0</v>
      </c>
      <c r="F24" s="13" t="n">
        <f aca="false">квітень!F24</f>
        <v>0</v>
      </c>
      <c r="G24" s="13" t="n">
        <f aca="false">квітень!G24</f>
        <v>61.9</v>
      </c>
      <c r="H24" s="13" t="n">
        <f aca="false">квітень!H24</f>
        <v>0</v>
      </c>
      <c r="I24" s="13" t="n">
        <f aca="false">квітень!I24</f>
        <v>4.1</v>
      </c>
      <c r="J24" s="14" t="n">
        <f aca="false">ROUND(G24*I24,2)</f>
        <v>253.79</v>
      </c>
      <c r="K24" s="14"/>
      <c r="L24" s="14"/>
      <c r="M24" s="14"/>
      <c r="N24" s="14" t="n">
        <f aca="false">ROUND((G24*I24)-K24-L24-M24,2)</f>
        <v>253.79</v>
      </c>
      <c r="O24" s="14"/>
      <c r="P24" s="14" t="n">
        <f aca="false">ROUND(IF(D24=0,IF((N24-E24-O24)&gt;0,(N24-E24-O24),0),IF((D24+N24-O24)&gt;0,(D24+N24-O24),0)),2)</f>
        <v>5968.95</v>
      </c>
      <c r="Q24" s="14" t="n">
        <f aca="false">ROUND(IF(E24=0,IF((D24+N24-O24)&lt;0,ABS(D24+N24-O24),0),IF((N24-E24-O24)&lt;0,ABS(N24-E24-O24),0)),2)</f>
        <v>0</v>
      </c>
    </row>
    <row r="25" customFormat="false" ht="15" hidden="false" customHeight="true" outlineLevel="0" collapsed="false">
      <c r="A25" s="12" t="s">
        <v>71</v>
      </c>
      <c r="B25" s="12" t="str">
        <f aca="false">квітень!B25</f>
        <v>Сокерчак А.В.</v>
      </c>
      <c r="C25" s="12" t="s">
        <v>73</v>
      </c>
      <c r="D25" s="14" t="n">
        <f aca="false">квітень!P25</f>
        <v>1359.15</v>
      </c>
      <c r="E25" s="14" t="n">
        <f aca="false">квітень!Q25</f>
        <v>0</v>
      </c>
      <c r="F25" s="13" t="n">
        <f aca="false">квітень!F25</f>
        <v>0</v>
      </c>
      <c r="G25" s="13" t="n">
        <f aca="false">квітень!G25</f>
        <v>66.3</v>
      </c>
      <c r="H25" s="13" t="n">
        <f aca="false">квітень!H25</f>
        <v>0</v>
      </c>
      <c r="I25" s="13" t="n">
        <f aca="false">квітень!I25</f>
        <v>4.1</v>
      </c>
      <c r="J25" s="14" t="n">
        <f aca="false">ROUND(G25*I25,2)</f>
        <v>271.83</v>
      </c>
      <c r="K25" s="14"/>
      <c r="L25" s="14"/>
      <c r="M25" s="14"/>
      <c r="N25" s="14" t="n">
        <f aca="false">ROUND((G25*I25)-K25-L25-M25,2)</f>
        <v>271.83</v>
      </c>
      <c r="O25" s="14"/>
      <c r="P25" s="14" t="n">
        <f aca="false">ROUND(IF(D25=0,IF((N25-E25-O25)&gt;0,(N25-E25-O25),0),IF((D25+N25-O25)&gt;0,(D25+N25-O25),0)),2)</f>
        <v>1630.98</v>
      </c>
      <c r="Q25" s="14" t="n">
        <f aca="false">ROUND(IF(E25=0,IF((D25+N25-O25)&lt;0,ABS(D25+N25-O25),0),IF((N25-E25-O25)&lt;0,ABS(N25-E25-O25),0)),2)</f>
        <v>0</v>
      </c>
    </row>
    <row r="26" customFormat="false" ht="15" hidden="false" customHeight="true" outlineLevel="0" collapsed="false">
      <c r="A26" s="12" t="s">
        <v>74</v>
      </c>
      <c r="B26" s="12" t="str">
        <f aca="false">квітень!B26</f>
        <v>Кравченко В.А</v>
      </c>
      <c r="C26" s="12" t="s">
        <v>76</v>
      </c>
      <c r="D26" s="14" t="n">
        <f aca="false">квітень!P26</f>
        <v>844.28</v>
      </c>
      <c r="E26" s="14" t="n">
        <f aca="false">квітень!Q26</f>
        <v>0</v>
      </c>
      <c r="F26" s="13" t="n">
        <f aca="false">квітень!F26</f>
        <v>0</v>
      </c>
      <c r="G26" s="13" t="n">
        <f aca="false">квітень!G26</f>
        <v>51.48</v>
      </c>
      <c r="H26" s="13" t="n">
        <f aca="false">квітень!H26</f>
        <v>0</v>
      </c>
      <c r="I26" s="13" t="n">
        <f aca="false">квітень!I26</f>
        <v>4.1</v>
      </c>
      <c r="J26" s="14" t="n">
        <f aca="false">ROUND(G26*I26,2)</f>
        <v>211.07</v>
      </c>
      <c r="K26" s="14"/>
      <c r="L26" s="14"/>
      <c r="M26" s="14"/>
      <c r="N26" s="14" t="n">
        <f aca="false">ROUND((G26*I26)-K26-L26-M26,2)</f>
        <v>211.07</v>
      </c>
      <c r="O26" s="14"/>
      <c r="P26" s="14" t="n">
        <f aca="false">ROUND(IF(D26=0,IF((N26-E26-O26)&gt;0,(N26-E26-O26),0),IF((D26+N26-O26)&gt;0,(D26+N26-O26),0)),2)</f>
        <v>1055.35</v>
      </c>
      <c r="Q26" s="14" t="n">
        <f aca="false">ROUND(IF(E26=0,IF((D26+N26-O26)&lt;0,ABS(D26+N26-O26),0),IF((N26-E26-O26)&lt;0,ABS(N26-E26-O26),0)),2)</f>
        <v>0</v>
      </c>
    </row>
    <row r="27" customFormat="false" ht="15" hidden="false" customHeight="true" outlineLevel="0" collapsed="false">
      <c r="A27" s="12" t="s">
        <v>77</v>
      </c>
      <c r="B27" s="12" t="str">
        <f aca="false">квітень!B27</f>
        <v>Чичикало А.С</v>
      </c>
      <c r="C27" s="12" t="s">
        <v>79</v>
      </c>
      <c r="D27" s="14" t="n">
        <f aca="false">квітень!P27</f>
        <v>4.78</v>
      </c>
      <c r="E27" s="14" t="n">
        <f aca="false">квітень!Q27</f>
        <v>0</v>
      </c>
      <c r="F27" s="13" t="n">
        <f aca="false">квітень!F27</f>
        <v>0</v>
      </c>
      <c r="G27" s="13" t="n">
        <f aca="false">квітень!G27</f>
        <v>35.1</v>
      </c>
      <c r="H27" s="13" t="n">
        <f aca="false">квітень!H27</f>
        <v>0</v>
      </c>
      <c r="I27" s="13" t="n">
        <f aca="false">квітень!I27</f>
        <v>4.1</v>
      </c>
      <c r="J27" s="14" t="n">
        <f aca="false">ROUND(G27*I27,2)</f>
        <v>143.91</v>
      </c>
      <c r="K27" s="14"/>
      <c r="L27" s="14"/>
      <c r="M27" s="14"/>
      <c r="N27" s="14" t="n">
        <f aca="false">ROUND((G27*I27)-K27-L27-M27,2)</f>
        <v>143.91</v>
      </c>
      <c r="O27" s="14"/>
      <c r="P27" s="14" t="n">
        <f aca="false">ROUND(IF(D27=0,IF((N27-E27-O27)&gt;0,(N27-E27-O27),0),IF((D27+N27-O27)&gt;0,(D27+N27-O27),0)),2)</f>
        <v>148.69</v>
      </c>
      <c r="Q27" s="14" t="n">
        <f aca="false">ROUND(IF(E27=0,IF((D27+N27-O27)&lt;0,ABS(D27+N27-O27),0),IF((N27-E27-O27)&lt;0,ABS(N27-E27-O27),0)),2)</f>
        <v>0</v>
      </c>
    </row>
    <row r="28" customFormat="false" ht="15" hidden="false" customHeight="true" outlineLevel="0" collapsed="false">
      <c r="A28" s="12" t="s">
        <v>80</v>
      </c>
      <c r="B28" s="12" t="str">
        <f aca="false">квітень!B28</f>
        <v>Сільващук А.А</v>
      </c>
      <c r="C28" s="12" t="s">
        <v>82</v>
      </c>
      <c r="D28" s="14" t="n">
        <f aca="false">квітень!P28</f>
        <v>1028.28</v>
      </c>
      <c r="E28" s="14" t="n">
        <f aca="false">квітень!Q28</f>
        <v>0</v>
      </c>
      <c r="F28" s="13" t="n">
        <f aca="false">квітень!F28</f>
        <v>0</v>
      </c>
      <c r="G28" s="13" t="n">
        <f aca="false">квітень!G28</f>
        <v>62.7</v>
      </c>
      <c r="H28" s="13" t="n">
        <f aca="false">квітень!H28</f>
        <v>0</v>
      </c>
      <c r="I28" s="13" t="n">
        <f aca="false">квітень!I28</f>
        <v>4.1</v>
      </c>
      <c r="J28" s="14" t="n">
        <f aca="false">ROUND(G28*I28,2)</f>
        <v>257.07</v>
      </c>
      <c r="K28" s="14"/>
      <c r="L28" s="14"/>
      <c r="M28" s="14"/>
      <c r="N28" s="14" t="n">
        <f aca="false">ROUND((G28*I28)-K28-L28-M28,2)</f>
        <v>257.07</v>
      </c>
      <c r="O28" s="14"/>
      <c r="P28" s="14" t="n">
        <f aca="false">ROUND(IF(D28=0,IF((N28-E28-O28)&gt;0,(N28-E28-O28),0),IF((D28+N28-O28)&gt;0,(D28+N28-O28),0)),2)</f>
        <v>1285.35</v>
      </c>
      <c r="Q28" s="14" t="n">
        <f aca="false">ROUND(IF(E28=0,IF((D28+N28-O28)&lt;0,ABS(D28+N28-O28),0),IF((N28-E28-O28)&lt;0,ABS(N28-E28-O28),0)),2)</f>
        <v>0</v>
      </c>
    </row>
    <row r="29" customFormat="false" ht="15" hidden="false" customHeight="true" outlineLevel="0" collapsed="false">
      <c r="A29" s="12" t="s">
        <v>83</v>
      </c>
      <c r="B29" s="12" t="str">
        <f aca="false">квітень!B29</f>
        <v>Стеценко Г.М</v>
      </c>
      <c r="C29" s="12" t="s">
        <v>85</v>
      </c>
      <c r="D29" s="14" t="n">
        <f aca="false">квітень!P29</f>
        <v>1339.05</v>
      </c>
      <c r="E29" s="14" t="n">
        <f aca="false">квітень!Q29</f>
        <v>0</v>
      </c>
      <c r="F29" s="13" t="n">
        <f aca="false">квітень!F29</f>
        <v>0</v>
      </c>
      <c r="G29" s="13" t="n">
        <f aca="false">квітень!G29</f>
        <v>65.32</v>
      </c>
      <c r="H29" s="13" t="n">
        <f aca="false">квітень!H29</f>
        <v>0</v>
      </c>
      <c r="I29" s="13" t="n">
        <f aca="false">квітень!I29</f>
        <v>4.1</v>
      </c>
      <c r="J29" s="14" t="n">
        <f aca="false">ROUND(G29*I29,2)</f>
        <v>267.81</v>
      </c>
      <c r="K29" s="14"/>
      <c r="L29" s="14"/>
      <c r="M29" s="14"/>
      <c r="N29" s="14" t="n">
        <f aca="false">ROUND((G29*I29)-K29-L29-M29,2)</f>
        <v>267.81</v>
      </c>
      <c r="O29" s="14"/>
      <c r="P29" s="14" t="n">
        <f aca="false">ROUND(IF(D29=0,IF((N29-E29-O29)&gt;0,(N29-E29-O29),0),IF((D29+N29-O29)&gt;0,(D29+N29-O29),0)),2)</f>
        <v>1606.86</v>
      </c>
      <c r="Q29" s="14" t="n">
        <f aca="false">ROUND(IF(E29=0,IF((D29+N29-O29)&lt;0,ABS(D29+N29-O29),0),IF((N29-E29-O29)&lt;0,ABS(N29-E29-O29),0)),2)</f>
        <v>0</v>
      </c>
    </row>
    <row r="30" customFormat="false" ht="15" hidden="false" customHeight="true" outlineLevel="0" collapsed="false">
      <c r="A30" s="12" t="s">
        <v>86</v>
      </c>
      <c r="B30" s="12" t="str">
        <f aca="false">квітень!B30</f>
        <v>Кирдячкіна П.А</v>
      </c>
      <c r="C30" s="12" t="s">
        <v>88</v>
      </c>
      <c r="D30" s="14" t="n">
        <f aca="false">квітень!P30</f>
        <v>764.56</v>
      </c>
      <c r="E30" s="14" t="n">
        <f aca="false">квітень!Q30</f>
        <v>0</v>
      </c>
      <c r="F30" s="13" t="n">
        <f aca="false">квітень!F30</f>
        <v>0</v>
      </c>
      <c r="G30" s="13" t="n">
        <f aca="false">квітень!G30</f>
        <v>49.7</v>
      </c>
      <c r="H30" s="13" t="n">
        <f aca="false">квітень!H30</f>
        <v>0</v>
      </c>
      <c r="I30" s="13" t="n">
        <f aca="false">квітень!I30</f>
        <v>4.1</v>
      </c>
      <c r="J30" s="14" t="n">
        <f aca="false">ROUND(G30*I30,2)</f>
        <v>203.77</v>
      </c>
      <c r="K30" s="14"/>
      <c r="L30" s="14"/>
      <c r="M30" s="14"/>
      <c r="N30" s="14" t="n">
        <f aca="false">ROUND((G30*I30)-K30-L30-M30,2)</f>
        <v>203.77</v>
      </c>
      <c r="O30" s="14"/>
      <c r="P30" s="14" t="n">
        <f aca="false">ROUND(IF(D30=0,IF((N30-E30-O30)&gt;0,(N30-E30-O30),0),IF((D30+N30-O30)&gt;0,(D30+N30-O30),0)),2)</f>
        <v>968.33</v>
      </c>
      <c r="Q30" s="14" t="n">
        <f aca="false">ROUND(IF(E30=0,IF((D30+N30-O30)&lt;0,ABS(D30+N30-O30),0),IF((N30-E30-O30)&lt;0,ABS(N30-E30-O30),0)),2)</f>
        <v>0</v>
      </c>
    </row>
    <row r="31" customFormat="false" ht="15" hidden="false" customHeight="true" outlineLevel="0" collapsed="false">
      <c r="A31" s="12" t="s">
        <v>89</v>
      </c>
      <c r="B31" s="12" t="str">
        <f aca="false">квітень!B31</f>
        <v>Фоміченко Л.А</v>
      </c>
      <c r="C31" s="12" t="s">
        <v>91</v>
      </c>
      <c r="D31" s="14" t="n">
        <f aca="false">квітень!P31</f>
        <v>4256.4</v>
      </c>
      <c r="E31" s="14" t="n">
        <f aca="false">квітень!Q31</f>
        <v>0</v>
      </c>
      <c r="F31" s="13" t="n">
        <f aca="false">квітень!F31</f>
        <v>0</v>
      </c>
      <c r="G31" s="13" t="n">
        <f aca="false">квітень!G31</f>
        <v>35.1</v>
      </c>
      <c r="H31" s="13" t="n">
        <f aca="false">квітень!H31</f>
        <v>0</v>
      </c>
      <c r="I31" s="13" t="n">
        <f aca="false">квітень!I31</f>
        <v>4.1</v>
      </c>
      <c r="J31" s="14" t="n">
        <f aca="false">ROUND(G31*I31,2)</f>
        <v>143.91</v>
      </c>
      <c r="K31" s="14"/>
      <c r="L31" s="14"/>
      <c r="M31" s="14"/>
      <c r="N31" s="14" t="n">
        <f aca="false">ROUND((G31*I31)-K31-L31-M31,2)</f>
        <v>143.91</v>
      </c>
      <c r="O31" s="14"/>
      <c r="P31" s="14" t="n">
        <f aca="false">ROUND(IF(D31=0,IF((N31-E31-O31)&gt;0,(N31-E31-O31),0),IF((D31+N31-O31)&gt;0,(D31+N31-O31),0)),2)</f>
        <v>4400.31</v>
      </c>
      <c r="Q31" s="14" t="n">
        <f aca="false">ROUND(IF(E31=0,IF((D31+N31-O31)&lt;0,ABS(D31+N31-O31),0),IF((N31-E31-O31)&lt;0,ABS(N31-E31-O31),0)),2)</f>
        <v>0</v>
      </c>
    </row>
    <row r="32" customFormat="false" ht="15" hidden="false" customHeight="true" outlineLevel="0" collapsed="false">
      <c r="A32" s="12" t="s">
        <v>92</v>
      </c>
      <c r="B32" s="12" t="str">
        <f aca="false">квітень!B32</f>
        <v>Сердюк А.Г</v>
      </c>
      <c r="C32" s="12" t="s">
        <v>94</v>
      </c>
      <c r="D32" s="14" t="n">
        <f aca="false">квітень!P32</f>
        <v>1277.3</v>
      </c>
      <c r="E32" s="14" t="n">
        <f aca="false">квітень!Q32</f>
        <v>0</v>
      </c>
      <c r="F32" s="13" t="n">
        <f aca="false">квітень!F32</f>
        <v>0</v>
      </c>
      <c r="G32" s="13" t="n">
        <f aca="false">квітень!G32</f>
        <v>62.31</v>
      </c>
      <c r="H32" s="13" t="n">
        <f aca="false">квітень!H32</f>
        <v>0</v>
      </c>
      <c r="I32" s="13" t="n">
        <f aca="false">квітень!I32</f>
        <v>4.1</v>
      </c>
      <c r="J32" s="14" t="n">
        <f aca="false">ROUND(G32*I32,2)</f>
        <v>255.47</v>
      </c>
      <c r="K32" s="14"/>
      <c r="L32" s="14"/>
      <c r="M32" s="14"/>
      <c r="N32" s="14" t="n">
        <f aca="false">ROUND((G32*I32)-K32-L32-M32,2)</f>
        <v>255.47</v>
      </c>
      <c r="O32" s="14"/>
      <c r="P32" s="14" t="n">
        <f aca="false">ROUND(IF(D32=0,IF((N32-E32-O32)&gt;0,(N32-E32-O32),0),IF((D32+N32-O32)&gt;0,(D32+N32-O32),0)),2)</f>
        <v>1532.77</v>
      </c>
      <c r="Q32" s="14" t="n">
        <f aca="false">ROUND(IF(E32=0,IF((D32+N32-O32)&lt;0,ABS(D32+N32-O32),0),IF((N32-E32-O32)&lt;0,ABS(N32-E32-O32),0)),2)</f>
        <v>0</v>
      </c>
    </row>
    <row r="33" customFormat="false" ht="15" hidden="false" customHeight="true" outlineLevel="0" collapsed="false">
      <c r="A33" s="12" t="s">
        <v>95</v>
      </c>
      <c r="B33" s="12" t="str">
        <f aca="false">квітень!B33</f>
        <v>Михальченко Г.М</v>
      </c>
      <c r="C33" s="12" t="s">
        <v>97</v>
      </c>
      <c r="D33" s="14" t="n">
        <f aca="false">квітень!P33</f>
        <v>13453.88</v>
      </c>
      <c r="E33" s="14" t="n">
        <f aca="false">квітень!Q33</f>
        <v>0</v>
      </c>
      <c r="F33" s="13" t="n">
        <f aca="false">квітень!F33</f>
        <v>0</v>
      </c>
      <c r="G33" s="13" t="n">
        <f aca="false">квітень!G33</f>
        <v>65.04</v>
      </c>
      <c r="H33" s="13" t="n">
        <f aca="false">квітень!H33</f>
        <v>0</v>
      </c>
      <c r="I33" s="13" t="n">
        <f aca="false">квітень!I33</f>
        <v>4.1</v>
      </c>
      <c r="J33" s="14" t="n">
        <f aca="false">ROUND(G33*I33,2)</f>
        <v>266.66</v>
      </c>
      <c r="K33" s="14"/>
      <c r="L33" s="14"/>
      <c r="M33" s="14"/>
      <c r="N33" s="14" t="n">
        <f aca="false">ROUND((G33*I33)-K33-L33-M33,2)</f>
        <v>266.66</v>
      </c>
      <c r="O33" s="14"/>
      <c r="P33" s="14" t="n">
        <f aca="false">ROUND(IF(D33=0,IF((N33-E33-O33)&gt;0,(N33-E33-O33),0),IF((D33+N33-O33)&gt;0,(D33+N33-O33),0)),2)</f>
        <v>13720.54</v>
      </c>
      <c r="Q33" s="14" t="n">
        <f aca="false">ROUND(IF(E33=0,IF((D33+N33-O33)&lt;0,ABS(D33+N33-O33),0),IF((N33-E33-O33)&lt;0,ABS(N33-E33-O33),0)),2)</f>
        <v>0</v>
      </c>
    </row>
    <row r="34" customFormat="false" ht="15" hidden="false" customHeight="true" outlineLevel="0" collapsed="false">
      <c r="A34" s="12" t="s">
        <v>98</v>
      </c>
      <c r="B34" s="12" t="str">
        <f aca="false">квітень!B34</f>
        <v>Замуховська Я.С</v>
      </c>
      <c r="C34" s="12" t="s">
        <v>100</v>
      </c>
      <c r="D34" s="14" t="n">
        <f aca="false">квітень!P34</f>
        <v>1225.08</v>
      </c>
      <c r="E34" s="14" t="n">
        <f aca="false">квітень!Q34</f>
        <v>0</v>
      </c>
      <c r="F34" s="13" t="n">
        <f aca="false">квітень!F34</f>
        <v>0</v>
      </c>
      <c r="G34" s="13" t="n">
        <f aca="false">квітень!G34</f>
        <v>49.8</v>
      </c>
      <c r="H34" s="13" t="n">
        <f aca="false">квітень!H34</f>
        <v>0</v>
      </c>
      <c r="I34" s="13" t="n">
        <f aca="false">квітень!I34</f>
        <v>4.1</v>
      </c>
      <c r="J34" s="14" t="n">
        <f aca="false">ROUND(G34*I34,2)</f>
        <v>204.18</v>
      </c>
      <c r="K34" s="14"/>
      <c r="L34" s="14"/>
      <c r="M34" s="14"/>
      <c r="N34" s="14" t="n">
        <f aca="false">ROUND((G34*I34)-K34-L34-M34,2)</f>
        <v>204.18</v>
      </c>
      <c r="O34" s="14"/>
      <c r="P34" s="14" t="n">
        <f aca="false">ROUND(IF(D34=0,IF((N34-E34-O34)&gt;0,(N34-E34-O34),0),IF((D34+N34-O34)&gt;0,(D34+N34-O34),0)),2)</f>
        <v>1429.26</v>
      </c>
      <c r="Q34" s="14" t="n">
        <f aca="false">ROUND(IF(E34=0,IF((D34+N34-O34)&lt;0,ABS(D34+N34-O34),0),IF((N34-E34-O34)&lt;0,ABS(N34-E34-O34),0)),2)</f>
        <v>0</v>
      </c>
    </row>
    <row r="35" customFormat="false" ht="15" hidden="false" customHeight="true" outlineLevel="0" collapsed="false">
      <c r="A35" s="12" t="s">
        <v>101</v>
      </c>
      <c r="B35" s="12" t="str">
        <f aca="false">квітень!B35</f>
        <v>Мержиєвська Г.К</v>
      </c>
      <c r="C35" s="12" t="s">
        <v>103</v>
      </c>
      <c r="D35" s="14" t="n">
        <f aca="false">квітень!P35</f>
        <v>865.2</v>
      </c>
      <c r="E35" s="14" t="n">
        <f aca="false">квітень!Q35</f>
        <v>0</v>
      </c>
      <c r="F35" s="13" t="n">
        <f aca="false">квітень!F35</f>
        <v>0</v>
      </c>
      <c r="G35" s="13" t="n">
        <f aca="false">квітень!G35</f>
        <v>35.17</v>
      </c>
      <c r="H35" s="13" t="n">
        <f aca="false">квітень!H35</f>
        <v>0</v>
      </c>
      <c r="I35" s="13" t="n">
        <f aca="false">квітень!I35</f>
        <v>4.1</v>
      </c>
      <c r="J35" s="14" t="n">
        <f aca="false">ROUND(G35*I35,2)</f>
        <v>144.2</v>
      </c>
      <c r="K35" s="14"/>
      <c r="L35" s="14"/>
      <c r="M35" s="14"/>
      <c r="N35" s="14" t="n">
        <f aca="false">ROUND((G35*I35)-K35-L35-M35,2)</f>
        <v>144.2</v>
      </c>
      <c r="O35" s="14"/>
      <c r="P35" s="14" t="n">
        <f aca="false">ROUND(IF(D35=0,IF((N35-E35-O35)&gt;0,(N35-E35-O35),0),IF((D35+N35-O35)&gt;0,(D35+N35-O35),0)),2)</f>
        <v>1009.4</v>
      </c>
      <c r="Q35" s="14" t="n">
        <f aca="false">ROUND(IF(E35=0,IF((D35+N35-O35)&lt;0,ABS(D35+N35-O35),0),IF((N35-E35-O35)&lt;0,ABS(N35-E35-O35),0)),2)</f>
        <v>0</v>
      </c>
    </row>
    <row r="36" customFormat="false" ht="15" hidden="false" customHeight="true" outlineLevel="0" collapsed="false">
      <c r="A36" s="12" t="s">
        <v>104</v>
      </c>
      <c r="B36" s="12" t="str">
        <f aca="false">квітень!B36</f>
        <v>Кулакова Л.В.</v>
      </c>
      <c r="C36" s="12" t="s">
        <v>106</v>
      </c>
      <c r="D36" s="14" t="n">
        <f aca="false">квітень!P36</f>
        <v>1024.52</v>
      </c>
      <c r="E36" s="14" t="n">
        <f aca="false">квітень!Q36</f>
        <v>0</v>
      </c>
      <c r="F36" s="13" t="n">
        <f aca="false">квітень!F36</f>
        <v>0</v>
      </c>
      <c r="G36" s="13" t="n">
        <f aca="false">квітень!G36</f>
        <v>62.47</v>
      </c>
      <c r="H36" s="13" t="n">
        <f aca="false">квітень!H36</f>
        <v>0</v>
      </c>
      <c r="I36" s="13" t="n">
        <f aca="false">квітень!I36</f>
        <v>4.1</v>
      </c>
      <c r="J36" s="14" t="n">
        <f aca="false">ROUND(G36*I36,2)</f>
        <v>256.13</v>
      </c>
      <c r="K36" s="14"/>
      <c r="L36" s="14"/>
      <c r="M36" s="14"/>
      <c r="N36" s="14" t="n">
        <f aca="false">ROUND((G36*I36)-K36-L36-M36,2)</f>
        <v>256.13</v>
      </c>
      <c r="O36" s="14"/>
      <c r="P36" s="14" t="n">
        <f aca="false">ROUND(IF(D36=0,IF((N36-E36-O36)&gt;0,(N36-E36-O36),0),IF((D36+N36-O36)&gt;0,(D36+N36-O36),0)),2)</f>
        <v>1280.65</v>
      </c>
      <c r="Q36" s="14" t="n">
        <f aca="false">ROUND(IF(E36=0,IF((D36+N36-O36)&lt;0,ABS(D36+N36-O36),0),IF((N36-E36-O36)&lt;0,ABS(N36-E36-O36),0)),2)</f>
        <v>0</v>
      </c>
    </row>
    <row r="37" customFormat="false" ht="15" hidden="false" customHeight="true" outlineLevel="0" collapsed="false">
      <c r="A37" s="12" t="s">
        <v>107</v>
      </c>
      <c r="B37" s="12" t="str">
        <f aca="false">квітень!B37</f>
        <v>Бочаров В.Л.</v>
      </c>
      <c r="C37" s="12" t="s">
        <v>109</v>
      </c>
      <c r="D37" s="14" t="n">
        <f aca="false">квітень!P37</f>
        <v>8061.84</v>
      </c>
      <c r="E37" s="14" t="n">
        <f aca="false">квітень!Q37</f>
        <v>0</v>
      </c>
      <c r="F37" s="13" t="n">
        <f aca="false">квітень!F37</f>
        <v>0</v>
      </c>
      <c r="G37" s="13" t="n">
        <f aca="false">квітень!G37</f>
        <v>65.75</v>
      </c>
      <c r="H37" s="13" t="n">
        <f aca="false">квітень!H37</f>
        <v>0</v>
      </c>
      <c r="I37" s="13" t="n">
        <f aca="false">квітень!I37</f>
        <v>4.1</v>
      </c>
      <c r="J37" s="14" t="n">
        <f aca="false">ROUND(G37*I37,2)</f>
        <v>269.58</v>
      </c>
      <c r="K37" s="14"/>
      <c r="L37" s="14"/>
      <c r="M37" s="14"/>
      <c r="N37" s="14" t="n">
        <f aca="false">ROUND((G37*I37)-K37-L37-M37,2)</f>
        <v>269.58</v>
      </c>
      <c r="O37" s="14"/>
      <c r="P37" s="14" t="n">
        <f aca="false">ROUND(IF(D37=0,IF((N37-E37-O37)&gt;0,(N37-E37-O37),0),IF((D37+N37-O37)&gt;0,(D37+N37-O37),0)),2)</f>
        <v>8331.42</v>
      </c>
      <c r="Q37" s="14" t="n">
        <f aca="false">ROUND(IF(E37=0,IF((D37+N37-O37)&lt;0,ABS(D37+N37-O37),0),IF((N37-E37-O37)&lt;0,ABS(N37-E37-O37),0)),2)</f>
        <v>0</v>
      </c>
    </row>
    <row r="38" customFormat="false" ht="15" hidden="false" customHeight="true" outlineLevel="0" collapsed="false">
      <c r="A38" s="12" t="s">
        <v>110</v>
      </c>
      <c r="B38" s="12" t="str">
        <f aca="false">квітень!B38</f>
        <v>Лучков В.Л.</v>
      </c>
      <c r="C38" s="12" t="s">
        <v>112</v>
      </c>
      <c r="D38" s="14" t="n">
        <f aca="false">квітень!P38</f>
        <v>10383.63</v>
      </c>
      <c r="E38" s="14" t="n">
        <f aca="false">квітень!Q38</f>
        <v>0</v>
      </c>
      <c r="F38" s="13" t="n">
        <f aca="false">квітень!F38</f>
        <v>0</v>
      </c>
      <c r="G38" s="13" t="n">
        <f aca="false">квітень!G38</f>
        <v>49.7</v>
      </c>
      <c r="H38" s="13" t="n">
        <f aca="false">квітень!H38</f>
        <v>0</v>
      </c>
      <c r="I38" s="13" t="n">
        <f aca="false">квітень!I38</f>
        <v>4.1</v>
      </c>
      <c r="J38" s="14" t="n">
        <f aca="false">ROUND(G38*I38,2)</f>
        <v>203.77</v>
      </c>
      <c r="K38" s="14"/>
      <c r="L38" s="14"/>
      <c r="M38" s="14"/>
      <c r="N38" s="14" t="n">
        <f aca="false">ROUND((G38*I38)-K38-L38-M38,2)</f>
        <v>203.77</v>
      </c>
      <c r="O38" s="14"/>
      <c r="P38" s="14" t="n">
        <f aca="false">ROUND(IF(D38=0,IF((N38-E38-O38)&gt;0,(N38-E38-O38),0),IF((D38+N38-O38)&gt;0,(D38+N38-O38),0)),2)</f>
        <v>10587.4</v>
      </c>
      <c r="Q38" s="14" t="n">
        <f aca="false">ROUND(IF(E38=0,IF((D38+N38-O38)&lt;0,ABS(D38+N38-O38),0),IF((N38-E38-O38)&lt;0,ABS(N38-E38-O38),0)),2)</f>
        <v>0</v>
      </c>
    </row>
    <row r="39" customFormat="false" ht="15" hidden="false" customHeight="true" outlineLevel="0" collapsed="false">
      <c r="A39" s="12" t="s">
        <v>113</v>
      </c>
      <c r="B39" s="12" t="str">
        <f aca="false">квітень!B39</f>
        <v>Кашкар Т.М.</v>
      </c>
      <c r="C39" s="12" t="s">
        <v>115</v>
      </c>
      <c r="D39" s="14" t="n">
        <f aca="false">квітень!P39</f>
        <v>575.64</v>
      </c>
      <c r="E39" s="14" t="n">
        <f aca="false">квітень!Q39</f>
        <v>0</v>
      </c>
      <c r="F39" s="13" t="n">
        <f aca="false">квітень!F39</f>
        <v>0</v>
      </c>
      <c r="G39" s="13" t="n">
        <f aca="false">квітень!G39</f>
        <v>35.1</v>
      </c>
      <c r="H39" s="13" t="n">
        <f aca="false">квітень!H39</f>
        <v>0</v>
      </c>
      <c r="I39" s="13" t="n">
        <f aca="false">квітень!I39</f>
        <v>4.1</v>
      </c>
      <c r="J39" s="14" t="n">
        <f aca="false">ROUND(G39*I39,2)</f>
        <v>143.91</v>
      </c>
      <c r="K39" s="14"/>
      <c r="L39" s="14"/>
      <c r="M39" s="14"/>
      <c r="N39" s="14" t="n">
        <f aca="false">ROUND((G39*I39)-K39-L39-M39,2)</f>
        <v>143.91</v>
      </c>
      <c r="O39" s="14"/>
      <c r="P39" s="14" t="n">
        <f aca="false">ROUND(IF(D39=0,IF((N39-E39-O39)&gt;0,(N39-E39-O39),0),IF((D39+N39-O39)&gt;0,(D39+N39-O39),0)),2)</f>
        <v>719.55</v>
      </c>
      <c r="Q39" s="14" t="n">
        <f aca="false">ROUND(IF(E39=0,IF((D39+N39-O39)&lt;0,ABS(D39+N39-O39),0),IF((N39-E39-O39)&lt;0,ABS(N39-E39-O39),0)),2)</f>
        <v>0</v>
      </c>
    </row>
    <row r="40" customFormat="false" ht="15" hidden="false" customHeight="true" outlineLevel="0" collapsed="false">
      <c r="A40" s="12" t="s">
        <v>116</v>
      </c>
      <c r="B40" s="12" t="str">
        <f aca="false">квітень!B40</f>
        <v>Стецюк Н.П.</v>
      </c>
      <c r="C40" s="12" t="s">
        <v>118</v>
      </c>
      <c r="D40" s="14" t="n">
        <f aca="false">квітень!P40</f>
        <v>1933.27</v>
      </c>
      <c r="E40" s="14" t="n">
        <f aca="false">квітень!Q40</f>
        <v>0</v>
      </c>
      <c r="F40" s="13" t="n">
        <f aca="false">квітень!F40</f>
        <v>0</v>
      </c>
      <c r="G40" s="13" t="n">
        <f aca="false">квітень!G40</f>
        <v>61.9</v>
      </c>
      <c r="H40" s="13" t="n">
        <f aca="false">квітень!H40</f>
        <v>0</v>
      </c>
      <c r="I40" s="13" t="n">
        <f aca="false">квітень!I40</f>
        <v>4.1</v>
      </c>
      <c r="J40" s="14" t="n">
        <f aca="false">ROUND(G40*I40,2)</f>
        <v>253.79</v>
      </c>
      <c r="K40" s="14"/>
      <c r="L40" s="14"/>
      <c r="M40" s="14"/>
      <c r="N40" s="14" t="n">
        <f aca="false">ROUND((G40*I40)-K40-L40-M40,2)</f>
        <v>253.79</v>
      </c>
      <c r="O40" s="14"/>
      <c r="P40" s="14" t="n">
        <f aca="false">ROUND(IF(D40=0,IF((N40-E40-O40)&gt;0,(N40-E40-O40),0),IF((D40+N40-O40)&gt;0,(D40+N40-O40),0)),2)</f>
        <v>2187.06</v>
      </c>
      <c r="Q40" s="14" t="n">
        <f aca="false">ROUND(IF(E40=0,IF((D40+N40-O40)&lt;0,ABS(D40+N40-O40),0),IF((N40-E40-O40)&lt;0,ABS(N40-E40-O40),0)),2)</f>
        <v>0</v>
      </c>
    </row>
    <row r="41" customFormat="false" ht="15" hidden="false" customHeight="true" outlineLevel="0" collapsed="false">
      <c r="A41" s="12" t="s">
        <v>119</v>
      </c>
      <c r="B41" s="12" t="str">
        <f aca="false">квітень!B41</f>
        <v>Маханько В.О.</v>
      </c>
      <c r="C41" s="12" t="s">
        <v>121</v>
      </c>
      <c r="D41" s="14" t="n">
        <f aca="false">квітень!P41</f>
        <v>10636.09</v>
      </c>
      <c r="E41" s="14" t="n">
        <f aca="false">квітень!Q41</f>
        <v>0</v>
      </c>
      <c r="F41" s="13" t="n">
        <f aca="false">квітень!F41</f>
        <v>0</v>
      </c>
      <c r="G41" s="13" t="n">
        <f aca="false">квітень!G41</f>
        <v>65.53</v>
      </c>
      <c r="H41" s="13" t="n">
        <f aca="false">квітень!H41</f>
        <v>0</v>
      </c>
      <c r="I41" s="13" t="n">
        <f aca="false">квітень!I41</f>
        <v>4.1</v>
      </c>
      <c r="J41" s="14" t="n">
        <f aca="false">ROUND(G41*I41,2)</f>
        <v>268.67</v>
      </c>
      <c r="K41" s="14"/>
      <c r="L41" s="14"/>
      <c r="M41" s="14"/>
      <c r="N41" s="14" t="n">
        <f aca="false">ROUND((G41*I41)-K41-L41-M41,2)</f>
        <v>268.67</v>
      </c>
      <c r="O41" s="14"/>
      <c r="P41" s="14" t="n">
        <f aca="false">ROUND(IF(D41=0,IF((N41-E41-O41)&gt;0,(N41-E41-O41),0),IF((D41+N41-O41)&gt;0,(D41+N41-O41),0)),2)</f>
        <v>10904.76</v>
      </c>
      <c r="Q41" s="14" t="n">
        <f aca="false">ROUND(IF(E41=0,IF((D41+N41-O41)&lt;0,ABS(D41+N41-O41),0),IF((N41-E41-O41)&lt;0,ABS(N41-E41-O41),0)),2)</f>
        <v>0</v>
      </c>
    </row>
    <row r="42" customFormat="false" ht="15" hidden="false" customHeight="true" outlineLevel="0" collapsed="false">
      <c r="A42" s="12" t="s">
        <v>122</v>
      </c>
      <c r="B42" s="12" t="str">
        <f aca="false">квітень!B42</f>
        <v>Реуцька Р.С.</v>
      </c>
      <c r="C42" s="12" t="s">
        <v>124</v>
      </c>
      <c r="D42" s="14" t="n">
        <f aca="false">квітень!P42</f>
        <v>9076.54</v>
      </c>
      <c r="E42" s="14" t="n">
        <f aca="false">квітень!Q42</f>
        <v>0</v>
      </c>
      <c r="F42" s="13" t="n">
        <f aca="false">квітень!F42</f>
        <v>0</v>
      </c>
      <c r="G42" s="13" t="n">
        <f aca="false">квітень!G42</f>
        <v>49.7</v>
      </c>
      <c r="H42" s="13" t="n">
        <f aca="false">квітень!H42</f>
        <v>0</v>
      </c>
      <c r="I42" s="13" t="n">
        <f aca="false">квітень!I42</f>
        <v>4.1</v>
      </c>
      <c r="J42" s="14" t="n">
        <f aca="false">ROUND(G42*I42,2)</f>
        <v>203.77</v>
      </c>
      <c r="K42" s="14"/>
      <c r="L42" s="14"/>
      <c r="M42" s="14"/>
      <c r="N42" s="14" t="n">
        <f aca="false">ROUND((G42*I42)-K42-L42-M42,2)</f>
        <v>203.77</v>
      </c>
      <c r="O42" s="14"/>
      <c r="P42" s="14" t="n">
        <f aca="false">ROUND(IF(D42=0,IF((N42-E42-O42)&gt;0,(N42-E42-O42),0),IF((D42+N42-O42)&gt;0,(D42+N42-O42),0)),2)</f>
        <v>9280.31</v>
      </c>
      <c r="Q42" s="14" t="n">
        <f aca="false">ROUND(IF(E42=0,IF((D42+N42-O42)&lt;0,ABS(D42+N42-O42),0),IF((N42-E42-O42)&lt;0,ABS(N42-E42-O42),0)),2)</f>
        <v>0</v>
      </c>
    </row>
    <row r="43" customFormat="false" ht="15" hidden="false" customHeight="true" outlineLevel="0" collapsed="false">
      <c r="A43" s="12" t="s">
        <v>125</v>
      </c>
      <c r="B43" s="12" t="str">
        <f aca="false">квітень!B43</f>
        <v>Колесникова Р.Г.</v>
      </c>
      <c r="C43" s="12" t="s">
        <v>127</v>
      </c>
      <c r="D43" s="14" t="n">
        <f aca="false">квітень!P43</f>
        <v>2452.2</v>
      </c>
      <c r="E43" s="14" t="n">
        <f aca="false">квітень!Q43</f>
        <v>0</v>
      </c>
      <c r="F43" s="13" t="n">
        <f aca="false">квітень!F43</f>
        <v>0</v>
      </c>
      <c r="G43" s="13" t="n">
        <f aca="false">квітень!G43</f>
        <v>35.1</v>
      </c>
      <c r="H43" s="13" t="n">
        <f aca="false">квітень!H43</f>
        <v>0</v>
      </c>
      <c r="I43" s="13" t="n">
        <f aca="false">квітень!I43</f>
        <v>4.1</v>
      </c>
      <c r="J43" s="14" t="n">
        <f aca="false">ROUND(G43*I43,2)</f>
        <v>143.91</v>
      </c>
      <c r="K43" s="14"/>
      <c r="L43" s="14"/>
      <c r="M43" s="14"/>
      <c r="N43" s="14" t="n">
        <f aca="false">ROUND((G43*I43)-K43-L43-M43,2)</f>
        <v>143.91</v>
      </c>
      <c r="O43" s="14"/>
      <c r="P43" s="14" t="n">
        <f aca="false">ROUND(IF(D43=0,IF((N43-E43-O43)&gt;0,(N43-E43-O43),0),IF((D43+N43-O43)&gt;0,(D43+N43-O43),0)),2)</f>
        <v>2596.11</v>
      </c>
      <c r="Q43" s="14" t="n">
        <f aca="false">ROUND(IF(E43=0,IF((D43+N43-O43)&lt;0,ABS(D43+N43-O43),0),IF((N43-E43-O43)&lt;0,ABS(N43-E43-O43),0)),2)</f>
        <v>0</v>
      </c>
    </row>
    <row r="44" customFormat="false" ht="15" hidden="false" customHeight="true" outlineLevel="0" collapsed="false">
      <c r="A44" s="12" t="s">
        <v>128</v>
      </c>
      <c r="B44" s="12" t="str">
        <f aca="false">квітень!B44</f>
        <v>Кучеренко М.М.</v>
      </c>
      <c r="C44" s="12" t="s">
        <v>130</v>
      </c>
      <c r="D44" s="14" t="n">
        <f aca="false">квітень!P44</f>
        <v>12236.23</v>
      </c>
      <c r="E44" s="14" t="n">
        <f aca="false">квітень!Q44</f>
        <v>0</v>
      </c>
      <c r="F44" s="13" t="n">
        <f aca="false">квітень!F44</f>
        <v>0</v>
      </c>
      <c r="G44" s="13" t="n">
        <f aca="false">квітень!G44</f>
        <v>61.88</v>
      </c>
      <c r="H44" s="13" t="n">
        <f aca="false">квітень!H44</f>
        <v>0</v>
      </c>
      <c r="I44" s="13" t="n">
        <f aca="false">квітень!I44</f>
        <v>4.1</v>
      </c>
      <c r="J44" s="14" t="n">
        <f aca="false">ROUND(G44*I44,2)</f>
        <v>253.71</v>
      </c>
      <c r="K44" s="14"/>
      <c r="L44" s="14"/>
      <c r="M44" s="14"/>
      <c r="N44" s="14" t="n">
        <f aca="false">ROUND((G44*I44)-K44-L44-M44,2)</f>
        <v>253.71</v>
      </c>
      <c r="O44" s="14"/>
      <c r="P44" s="14" t="n">
        <f aca="false">ROUND(IF(D44=0,IF((N44-E44-O44)&gt;0,(N44-E44-O44),0),IF((D44+N44-O44)&gt;0,(D44+N44-O44),0)),2)</f>
        <v>12489.94</v>
      </c>
      <c r="Q44" s="14" t="n">
        <f aca="false">ROUND(IF(E44=0,IF((D44+N44-O44)&lt;0,ABS(D44+N44-O44),0),IF((N44-E44-O44)&lt;0,ABS(N44-E44-O44),0)),2)</f>
        <v>0</v>
      </c>
    </row>
    <row r="45" customFormat="false" ht="15" hidden="false" customHeight="true" outlineLevel="0" collapsed="false">
      <c r="A45" s="12" t="s">
        <v>131</v>
      </c>
      <c r="B45" s="12" t="str">
        <f aca="false">квітень!B45</f>
        <v>Гурова О.М.</v>
      </c>
      <c r="C45" s="12" t="s">
        <v>133</v>
      </c>
      <c r="D45" s="14" t="n">
        <f aca="false">квітень!P45</f>
        <v>703.71</v>
      </c>
      <c r="E45" s="14" t="n">
        <f aca="false">квітень!Q45</f>
        <v>0</v>
      </c>
      <c r="F45" s="13" t="n">
        <f aca="false">квітень!F45</f>
        <v>0</v>
      </c>
      <c r="G45" s="13" t="n">
        <f aca="false">квітень!G45</f>
        <v>62.2</v>
      </c>
      <c r="H45" s="13" t="n">
        <f aca="false">квітень!H45</f>
        <v>0</v>
      </c>
      <c r="I45" s="13" t="n">
        <f aca="false">квітень!I45</f>
        <v>4.1</v>
      </c>
      <c r="J45" s="14" t="n">
        <f aca="false">ROUND(G45*I45,2)</f>
        <v>255.02</v>
      </c>
      <c r="K45" s="14"/>
      <c r="L45" s="14"/>
      <c r="M45" s="14"/>
      <c r="N45" s="14" t="n">
        <f aca="false">ROUND((G45*I45)-K45-L45-M45,2)</f>
        <v>255.02</v>
      </c>
      <c r="O45" s="14"/>
      <c r="P45" s="14" t="n">
        <f aca="false">ROUND(IF(D45=0,IF((N45-E45-O45)&gt;0,(N45-E45-O45),0),IF((D45+N45-O45)&gt;0,(D45+N45-O45),0)),2)</f>
        <v>958.73</v>
      </c>
      <c r="Q45" s="14" t="n">
        <f aca="false">ROUND(IF(E45=0,IF((D45+N45-O45)&lt;0,ABS(D45+N45-O45),0),IF((N45-E45-O45)&lt;0,ABS(N45-E45-O45),0)),2)</f>
        <v>0</v>
      </c>
    </row>
    <row r="46" customFormat="false" ht="15" hidden="false" customHeight="true" outlineLevel="0" collapsed="false">
      <c r="A46" s="12" t="s">
        <v>134</v>
      </c>
      <c r="B46" s="12" t="str">
        <f aca="false">квітень!B46</f>
        <v>Федорова В.І.</v>
      </c>
      <c r="C46" s="12" t="s">
        <v>136</v>
      </c>
      <c r="D46" s="14" t="n">
        <f aca="false">квітень!P46</f>
        <v>215.45</v>
      </c>
      <c r="E46" s="14" t="n">
        <f aca="false">квітень!Q46</f>
        <v>0</v>
      </c>
      <c r="F46" s="13" t="n">
        <f aca="false">квітень!F46</f>
        <v>0</v>
      </c>
      <c r="G46" s="13" t="n">
        <f aca="false">квітень!G46</f>
        <v>34.9</v>
      </c>
      <c r="H46" s="13" t="n">
        <f aca="false">квітень!H46</f>
        <v>0</v>
      </c>
      <c r="I46" s="13" t="n">
        <f aca="false">квітень!I46</f>
        <v>4.1</v>
      </c>
      <c r="J46" s="14" t="n">
        <f aca="false">ROUND(G46*I46,2)</f>
        <v>143.09</v>
      </c>
      <c r="K46" s="14"/>
      <c r="L46" s="14"/>
      <c r="M46" s="14"/>
      <c r="N46" s="14" t="n">
        <f aca="false">ROUND((G46*I46)-K46-L46-M46,2)</f>
        <v>143.09</v>
      </c>
      <c r="O46" s="14"/>
      <c r="P46" s="14" t="n">
        <f aca="false">ROUND(IF(D46=0,IF((N46-E46-O46)&gt;0,(N46-E46-O46),0),IF((D46+N46-O46)&gt;0,(D46+N46-O46),0)),2)</f>
        <v>358.54</v>
      </c>
      <c r="Q46" s="14" t="n">
        <f aca="false">ROUND(IF(E46=0,IF((D46+N46-O46)&lt;0,ABS(D46+N46-O46),0),IF((N46-E46-O46)&lt;0,ABS(N46-E46-O46),0)),2)</f>
        <v>0</v>
      </c>
    </row>
    <row r="47" customFormat="false" ht="15" hidden="false" customHeight="true" outlineLevel="0" collapsed="false">
      <c r="A47" s="12" t="s">
        <v>137</v>
      </c>
      <c r="B47" s="12" t="str">
        <f aca="false">квітень!B47</f>
        <v>Лаптєв В.І.</v>
      </c>
      <c r="C47" s="12" t="s">
        <v>139</v>
      </c>
      <c r="D47" s="14" t="n">
        <f aca="false">квітень!P47</f>
        <v>800.32</v>
      </c>
      <c r="E47" s="14" t="n">
        <f aca="false">квітень!Q47</f>
        <v>0</v>
      </c>
      <c r="F47" s="13" t="n">
        <f aca="false">квітень!F47</f>
        <v>0</v>
      </c>
      <c r="G47" s="13" t="n">
        <f aca="false">квітень!G47</f>
        <v>48.8</v>
      </c>
      <c r="H47" s="13" t="n">
        <f aca="false">квітень!H47</f>
        <v>0</v>
      </c>
      <c r="I47" s="13" t="n">
        <f aca="false">квітень!I47</f>
        <v>4.1</v>
      </c>
      <c r="J47" s="14" t="n">
        <f aca="false">ROUND(G47*I47,2)</f>
        <v>200.08</v>
      </c>
      <c r="K47" s="14"/>
      <c r="L47" s="14"/>
      <c r="M47" s="14"/>
      <c r="N47" s="14" t="n">
        <f aca="false">ROUND((G47*I47)-K47-L47-M47,2)</f>
        <v>200.08</v>
      </c>
      <c r="O47" s="14"/>
      <c r="P47" s="14" t="n">
        <f aca="false">ROUND(IF(D47=0,IF((N47-E47-O47)&gt;0,(N47-E47-O47),0),IF((D47+N47-O47)&gt;0,(D47+N47-O47),0)),2)</f>
        <v>1000.4</v>
      </c>
      <c r="Q47" s="14" t="n">
        <f aca="false">ROUND(IF(E47=0,IF((D47+N47-O47)&lt;0,ABS(D47+N47-O47),0),IF((N47-E47-O47)&lt;0,ABS(N47-E47-O47),0)),2)</f>
        <v>0</v>
      </c>
    </row>
    <row r="48" customFormat="false" ht="15" hidden="false" customHeight="true" outlineLevel="0" collapsed="false">
      <c r="A48" s="12" t="s">
        <v>140</v>
      </c>
      <c r="B48" s="12" t="str">
        <f aca="false">квітень!B48</f>
        <v>Тимощук О.Є.</v>
      </c>
      <c r="C48" s="12" t="s">
        <v>142</v>
      </c>
      <c r="D48" s="14" t="n">
        <f aca="false">квітень!P48</f>
        <v>939.72</v>
      </c>
      <c r="E48" s="14" t="n">
        <f aca="false">квітень!Q48</f>
        <v>0</v>
      </c>
      <c r="F48" s="13" t="n">
        <f aca="false">квітень!F48</f>
        <v>0</v>
      </c>
      <c r="G48" s="13" t="n">
        <f aca="false">квітень!G48</f>
        <v>57.3</v>
      </c>
      <c r="H48" s="13" t="n">
        <f aca="false">квітень!H48</f>
        <v>0</v>
      </c>
      <c r="I48" s="13" t="n">
        <f aca="false">квітень!I48</f>
        <v>4.1</v>
      </c>
      <c r="J48" s="14" t="n">
        <f aca="false">ROUND(G48*I48,2)</f>
        <v>234.93</v>
      </c>
      <c r="K48" s="14"/>
      <c r="L48" s="14"/>
      <c r="M48" s="14"/>
      <c r="N48" s="14" t="n">
        <f aca="false">ROUND((G48*I48)-K48-L48-M48,2)</f>
        <v>234.93</v>
      </c>
      <c r="O48" s="14"/>
      <c r="P48" s="14" t="n">
        <f aca="false">ROUND(IF(D48=0,IF((N48-E48-O48)&gt;0,(N48-E48-O48),0),IF((D48+N48-O48)&gt;0,(D48+N48-O48),0)),2)</f>
        <v>1174.65</v>
      </c>
      <c r="Q48" s="14" t="n">
        <f aca="false">ROUND(IF(E48=0,IF((D48+N48-O48)&lt;0,ABS(D48+N48-O48),0),IF((N48-E48-O48)&lt;0,ABS(N48-E48-O48),0)),2)</f>
        <v>0</v>
      </c>
    </row>
    <row r="49" customFormat="false" ht="15" hidden="false" customHeight="true" outlineLevel="0" collapsed="false">
      <c r="A49" s="12" t="s">
        <v>143</v>
      </c>
      <c r="B49" s="12" t="str">
        <f aca="false">квітень!B49</f>
        <v>Котяш О.В.</v>
      </c>
      <c r="C49" s="12" t="s">
        <v>145</v>
      </c>
      <c r="D49" s="14" t="n">
        <f aca="false">квітень!P49</f>
        <v>4150.77</v>
      </c>
      <c r="E49" s="14" t="n">
        <f aca="false">квітень!Q49</f>
        <v>0</v>
      </c>
      <c r="F49" s="13" t="n">
        <f aca="false">квітень!F49</f>
        <v>0</v>
      </c>
      <c r="G49" s="13" t="n">
        <f aca="false">квітень!G49</f>
        <v>63.3</v>
      </c>
      <c r="H49" s="13" t="n">
        <f aca="false">квітень!H49</f>
        <v>0</v>
      </c>
      <c r="I49" s="13" t="n">
        <f aca="false">квітень!I49</f>
        <v>4.1</v>
      </c>
      <c r="J49" s="14" t="n">
        <f aca="false">ROUND(G49*I49,2)</f>
        <v>259.53</v>
      </c>
      <c r="K49" s="14"/>
      <c r="L49" s="14"/>
      <c r="M49" s="14"/>
      <c r="N49" s="14" t="n">
        <f aca="false">ROUND((G49*I49)-K49-L49-M49,2)</f>
        <v>259.53</v>
      </c>
      <c r="O49" s="14"/>
      <c r="P49" s="14" t="n">
        <f aca="false">ROUND(IF(D49=0,IF((N49-E49-O49)&gt;0,(N49-E49-O49),0),IF((D49+N49-O49)&gt;0,(D49+N49-O49),0)),2)</f>
        <v>4410.3</v>
      </c>
      <c r="Q49" s="14" t="n">
        <f aca="false">ROUND(IF(E49=0,IF((D49+N49-O49)&lt;0,ABS(D49+N49-O49),0),IF((N49-E49-O49)&lt;0,ABS(N49-E49-O49),0)),2)</f>
        <v>0</v>
      </c>
    </row>
    <row r="50" customFormat="false" ht="15" hidden="false" customHeight="true" outlineLevel="0" collapsed="false">
      <c r="A50" s="12" t="s">
        <v>146</v>
      </c>
      <c r="B50" s="12" t="str">
        <f aca="false">квітень!B50</f>
        <v>Токовило-Паращенко Л.П.</v>
      </c>
      <c r="C50" s="12" t="s">
        <v>148</v>
      </c>
      <c r="D50" s="14" t="n">
        <f aca="false">квітень!P50</f>
        <v>585.16</v>
      </c>
      <c r="E50" s="14" t="n">
        <f aca="false">квітень!Q50</f>
        <v>0</v>
      </c>
      <c r="F50" s="13" t="n">
        <f aca="false">квітень!F50</f>
        <v>0</v>
      </c>
      <c r="G50" s="13" t="n">
        <f aca="false">квітень!G50</f>
        <v>35.68</v>
      </c>
      <c r="H50" s="13" t="n">
        <f aca="false">квітень!H50</f>
        <v>0</v>
      </c>
      <c r="I50" s="13" t="n">
        <f aca="false">квітень!I50</f>
        <v>4.1</v>
      </c>
      <c r="J50" s="14" t="n">
        <f aca="false">ROUND(G50*I50,2)</f>
        <v>146.29</v>
      </c>
      <c r="K50" s="14"/>
      <c r="L50" s="14"/>
      <c r="M50" s="14"/>
      <c r="N50" s="14" t="n">
        <f aca="false">ROUND((G50*I50)-K50-L50-M50,2)</f>
        <v>146.29</v>
      </c>
      <c r="O50" s="14"/>
      <c r="P50" s="14" t="n">
        <f aca="false">ROUND(IF(D50=0,IF((N50-E50-O50)&gt;0,(N50-E50-O50),0),IF((D50+N50-O50)&gt;0,(D50+N50-O50),0)),2)</f>
        <v>731.45</v>
      </c>
      <c r="Q50" s="14" t="n">
        <f aca="false">ROUND(IF(E50=0,IF((D50+N50-O50)&lt;0,ABS(D50+N50-O50),0),IF((N50-E50-O50)&lt;0,ABS(N50-E50-O50),0)),2)</f>
        <v>0</v>
      </c>
    </row>
    <row r="51" customFormat="false" ht="15" hidden="false" customHeight="true" outlineLevel="0" collapsed="false">
      <c r="A51" s="12" t="s">
        <v>149</v>
      </c>
      <c r="B51" s="12" t="str">
        <f aca="false">квітень!B51</f>
        <v>Бєлая К.В.</v>
      </c>
      <c r="C51" s="12" t="s">
        <v>151</v>
      </c>
      <c r="D51" s="14" t="n">
        <f aca="false">квітень!P51</f>
        <v>3637.12</v>
      </c>
      <c r="E51" s="14" t="n">
        <f aca="false">квітень!Q51</f>
        <v>0</v>
      </c>
      <c r="F51" s="13" t="n">
        <f aca="false">квітень!F51</f>
        <v>0</v>
      </c>
      <c r="G51" s="13" t="n">
        <f aca="false">квітень!G51</f>
        <v>49.8</v>
      </c>
      <c r="H51" s="13" t="n">
        <f aca="false">квітень!H51</f>
        <v>0</v>
      </c>
      <c r="I51" s="13" t="n">
        <f aca="false">квітень!I51</f>
        <v>4.1</v>
      </c>
      <c r="J51" s="14" t="n">
        <f aca="false">ROUND(G51*I51,2)</f>
        <v>204.18</v>
      </c>
      <c r="K51" s="14"/>
      <c r="L51" s="14"/>
      <c r="M51" s="14"/>
      <c r="N51" s="14" t="n">
        <f aca="false">ROUND((G51*I51)-K51-L51-M51,2)</f>
        <v>204.18</v>
      </c>
      <c r="O51" s="14"/>
      <c r="P51" s="14" t="n">
        <f aca="false">ROUND(IF(D51=0,IF((N51-E51-O51)&gt;0,(N51-E51-O51),0),IF((D51+N51-O51)&gt;0,(D51+N51-O51),0)),2)</f>
        <v>3841.3</v>
      </c>
      <c r="Q51" s="14" t="n">
        <f aca="false">ROUND(IF(E51=0,IF((D51+N51-O51)&lt;0,ABS(D51+N51-O51),0),IF((N51-E51-O51)&lt;0,ABS(N51-E51-O51),0)),2)</f>
        <v>0</v>
      </c>
    </row>
    <row r="52" customFormat="false" ht="15" hidden="false" customHeight="true" outlineLevel="0" collapsed="false">
      <c r="A52" s="12" t="s">
        <v>152</v>
      </c>
      <c r="B52" s="12" t="str">
        <f aca="false">квітень!B52</f>
        <v>Стадник О.Ф.</v>
      </c>
      <c r="C52" s="12" t="s">
        <v>154</v>
      </c>
      <c r="D52" s="14" t="n">
        <f aca="false">квітень!P52</f>
        <v>6806.23</v>
      </c>
      <c r="E52" s="14" t="n">
        <f aca="false">квітень!Q52</f>
        <v>0</v>
      </c>
      <c r="F52" s="13" t="n">
        <f aca="false">квітень!F52</f>
        <v>0</v>
      </c>
      <c r="G52" s="13" t="n">
        <f aca="false">квітень!G52</f>
        <v>65.9</v>
      </c>
      <c r="H52" s="13" t="n">
        <f aca="false">квітень!H52</f>
        <v>0</v>
      </c>
      <c r="I52" s="13" t="n">
        <f aca="false">квітень!I52</f>
        <v>4.1</v>
      </c>
      <c r="J52" s="14" t="n">
        <f aca="false">ROUND(G52*I52,2)</f>
        <v>270.19</v>
      </c>
      <c r="K52" s="14"/>
      <c r="L52" s="14"/>
      <c r="M52" s="14"/>
      <c r="N52" s="14" t="n">
        <f aca="false">ROUND((G52*I52)-K52-L52-M52,2)</f>
        <v>270.19</v>
      </c>
      <c r="O52" s="14"/>
      <c r="P52" s="14" t="n">
        <f aca="false">ROUND(IF(D52=0,IF((N52-E52-O52)&gt;0,(N52-E52-O52),0),IF((D52+N52-O52)&gt;0,(D52+N52-O52),0)),2)</f>
        <v>7076.42</v>
      </c>
      <c r="Q52" s="14" t="n">
        <f aca="false">ROUND(IF(E52=0,IF((D52+N52-O52)&lt;0,ABS(D52+N52-O52),0),IF((N52-E52-O52)&lt;0,ABS(N52-E52-O52),0)),2)</f>
        <v>0</v>
      </c>
    </row>
    <row r="53" customFormat="false" ht="15" hidden="false" customHeight="true" outlineLevel="0" collapsed="false">
      <c r="A53" s="12" t="s">
        <v>155</v>
      </c>
      <c r="B53" s="12" t="str">
        <f aca="false">квітень!B53</f>
        <v>Ляшенко В.М.</v>
      </c>
      <c r="C53" s="12" t="s">
        <v>157</v>
      </c>
      <c r="D53" s="14" t="n">
        <f aca="false">квітень!P53</f>
        <v>1016.8</v>
      </c>
      <c r="E53" s="14" t="n">
        <f aca="false">квітень!Q53</f>
        <v>0</v>
      </c>
      <c r="F53" s="13" t="n">
        <f aca="false">квітень!F53</f>
        <v>0</v>
      </c>
      <c r="G53" s="13" t="n">
        <f aca="false">квітень!G53</f>
        <v>62</v>
      </c>
      <c r="H53" s="13" t="n">
        <f aca="false">квітень!H53</f>
        <v>0</v>
      </c>
      <c r="I53" s="13" t="n">
        <f aca="false">квітень!I53</f>
        <v>4.1</v>
      </c>
      <c r="J53" s="14" t="n">
        <f aca="false">ROUND(G53*I53,2)</f>
        <v>254.2</v>
      </c>
      <c r="K53" s="14"/>
      <c r="L53" s="14"/>
      <c r="M53" s="14"/>
      <c r="N53" s="14" t="n">
        <f aca="false">ROUND((G53*I53)-K53-L53-M53,2)</f>
        <v>254.2</v>
      </c>
      <c r="O53" s="14"/>
      <c r="P53" s="14" t="n">
        <f aca="false">ROUND(IF(D53=0,IF((N53-E53-O53)&gt;0,(N53-E53-O53),0),IF((D53+N53-O53)&gt;0,(D53+N53-O53),0)),2)</f>
        <v>1271</v>
      </c>
      <c r="Q53" s="14" t="n">
        <f aca="false">ROUND(IF(E53=0,IF((D53+N53-O53)&lt;0,ABS(D53+N53-O53),0),IF((N53-E53-O53)&lt;0,ABS(N53-E53-O53),0)),2)</f>
        <v>0</v>
      </c>
    </row>
    <row r="54" customFormat="false" ht="15" hidden="false" customHeight="true" outlineLevel="0" collapsed="false">
      <c r="A54" s="12" t="s">
        <v>158</v>
      </c>
      <c r="B54" s="12" t="str">
        <f aca="false">квітень!B54</f>
        <v>Смоленська Т.О.</v>
      </c>
      <c r="C54" s="12" t="s">
        <v>160</v>
      </c>
      <c r="D54" s="14" t="n">
        <f aca="false">квітень!P54</f>
        <v>575.64</v>
      </c>
      <c r="E54" s="14" t="n">
        <f aca="false">квітень!Q54</f>
        <v>0</v>
      </c>
      <c r="F54" s="13" t="n">
        <f aca="false">квітень!F54</f>
        <v>0</v>
      </c>
      <c r="G54" s="13" t="n">
        <f aca="false">квітень!G54</f>
        <v>35.1</v>
      </c>
      <c r="H54" s="13" t="n">
        <f aca="false">квітень!H54</f>
        <v>0</v>
      </c>
      <c r="I54" s="13" t="n">
        <f aca="false">квітень!I54</f>
        <v>4.1</v>
      </c>
      <c r="J54" s="14" t="n">
        <f aca="false">ROUND(G54*I54,2)</f>
        <v>143.91</v>
      </c>
      <c r="K54" s="14"/>
      <c r="L54" s="14"/>
      <c r="M54" s="14"/>
      <c r="N54" s="14" t="n">
        <f aca="false">ROUND((G54*I54)-K54-L54-M54,2)</f>
        <v>143.91</v>
      </c>
      <c r="O54" s="14"/>
      <c r="P54" s="14" t="n">
        <f aca="false">ROUND(IF(D54=0,IF((N54-E54-O54)&gt;0,(N54-E54-O54),0),IF((D54+N54-O54)&gt;0,(D54+N54-O54),0)),2)</f>
        <v>719.55</v>
      </c>
      <c r="Q54" s="14" t="n">
        <f aca="false">ROUND(IF(E54=0,IF((D54+N54-O54)&lt;0,ABS(D54+N54-O54),0),IF((N54-E54-O54)&lt;0,ABS(N54-E54-O54),0)),2)</f>
        <v>0</v>
      </c>
    </row>
    <row r="55" customFormat="false" ht="15" hidden="false" customHeight="true" outlineLevel="0" collapsed="false">
      <c r="A55" s="12" t="s">
        <v>161</v>
      </c>
      <c r="B55" s="12" t="str">
        <f aca="false">квітень!B55</f>
        <v>Дудка І.В.</v>
      </c>
      <c r="C55" s="12" t="s">
        <v>163</v>
      </c>
      <c r="D55" s="14" t="n">
        <f aca="false">квітень!P55</f>
        <v>813.44</v>
      </c>
      <c r="E55" s="14" t="n">
        <f aca="false">квітень!Q55</f>
        <v>0</v>
      </c>
      <c r="F55" s="13" t="n">
        <f aca="false">квітень!F55</f>
        <v>0</v>
      </c>
      <c r="G55" s="13" t="n">
        <f aca="false">квітень!G55</f>
        <v>49.6</v>
      </c>
      <c r="H55" s="13" t="n">
        <f aca="false">квітень!H55</f>
        <v>0</v>
      </c>
      <c r="I55" s="13" t="n">
        <f aca="false">квітень!I55</f>
        <v>4.1</v>
      </c>
      <c r="J55" s="14" t="n">
        <f aca="false">ROUND(G55*I55,2)</f>
        <v>203.36</v>
      </c>
      <c r="K55" s="14"/>
      <c r="L55" s="14"/>
      <c r="M55" s="14"/>
      <c r="N55" s="14" t="n">
        <f aca="false">ROUND((G55*I55)-K55-L55-M55,2)</f>
        <v>203.36</v>
      </c>
      <c r="O55" s="14"/>
      <c r="P55" s="14" t="n">
        <f aca="false">ROUND(IF(D55=0,IF((N55-E55-O55)&gt;0,(N55-E55-O55),0),IF((D55+N55-O55)&gt;0,(D55+N55-O55),0)),2)</f>
        <v>1016.8</v>
      </c>
      <c r="Q55" s="14" t="n">
        <f aca="false">ROUND(IF(E55=0,IF((D55+N55-O55)&lt;0,ABS(D55+N55-O55),0),IF((N55-E55-O55)&lt;0,ABS(N55-E55-O55),0)),2)</f>
        <v>0</v>
      </c>
    </row>
    <row r="56" customFormat="false" ht="15" hidden="false" customHeight="true" outlineLevel="0" collapsed="false">
      <c r="A56" s="12" t="s">
        <v>164</v>
      </c>
      <c r="B56" s="12" t="str">
        <f aca="false">квітень!B56</f>
        <v>Буланова Л.І.</v>
      </c>
      <c r="C56" s="12" t="s">
        <v>166</v>
      </c>
      <c r="D56" s="14" t="n">
        <f aca="false">квітень!P56</f>
        <v>1089.6</v>
      </c>
      <c r="E56" s="14" t="n">
        <f aca="false">квітень!Q56</f>
        <v>0</v>
      </c>
      <c r="F56" s="13" t="n">
        <f aca="false">квітень!F56</f>
        <v>0</v>
      </c>
      <c r="G56" s="13" t="n">
        <f aca="false">квітень!G56</f>
        <v>66.44</v>
      </c>
      <c r="H56" s="13" t="n">
        <f aca="false">квітень!H56</f>
        <v>0</v>
      </c>
      <c r="I56" s="13" t="n">
        <f aca="false">квітень!I56</f>
        <v>4.1</v>
      </c>
      <c r="J56" s="14" t="n">
        <f aca="false">ROUND(G56*I56,2)</f>
        <v>272.4</v>
      </c>
      <c r="K56" s="14"/>
      <c r="L56" s="14"/>
      <c r="M56" s="14"/>
      <c r="N56" s="14" t="n">
        <f aca="false">ROUND((G56*I56)-K56-L56-M56,2)</f>
        <v>272.4</v>
      </c>
      <c r="O56" s="14"/>
      <c r="P56" s="14" t="n">
        <f aca="false">ROUND(IF(D56=0,IF((N56-E56-O56)&gt;0,(N56-E56-O56),0),IF((D56+N56-O56)&gt;0,(D56+N56-O56),0)),2)</f>
        <v>1362</v>
      </c>
      <c r="Q56" s="14" t="n">
        <f aca="false">ROUND(IF(E56=0,IF((D56+N56-O56)&lt;0,ABS(D56+N56-O56),0),IF((N56-E56-O56)&lt;0,ABS(N56-E56-O56),0)),2)</f>
        <v>0</v>
      </c>
    </row>
    <row r="57" customFormat="false" ht="15" hidden="false" customHeight="true" outlineLevel="0" collapsed="false">
      <c r="A57" s="12" t="s">
        <v>167</v>
      </c>
      <c r="B57" s="12" t="str">
        <f aca="false">квітень!B57</f>
        <v>Шалімова О.О.</v>
      </c>
      <c r="C57" s="12" t="s">
        <v>169</v>
      </c>
      <c r="D57" s="14" t="n">
        <f aca="false">квітень!P57</f>
        <v>1444.67</v>
      </c>
      <c r="E57" s="14" t="n">
        <f aca="false">квітень!Q57</f>
        <v>0</v>
      </c>
      <c r="F57" s="13" t="n">
        <f aca="false">квітень!F57</f>
        <v>0</v>
      </c>
      <c r="G57" s="13" t="n">
        <f aca="false">квітень!G57</f>
        <v>62.1</v>
      </c>
      <c r="H57" s="13" t="n">
        <f aca="false">квітень!H57</f>
        <v>0</v>
      </c>
      <c r="I57" s="13" t="n">
        <f aca="false">квітень!I57</f>
        <v>4.1</v>
      </c>
      <c r="J57" s="14" t="n">
        <f aca="false">ROUND(G57*I57,2)</f>
        <v>254.61</v>
      </c>
      <c r="K57" s="14"/>
      <c r="L57" s="14"/>
      <c r="M57" s="14"/>
      <c r="N57" s="14" t="n">
        <f aca="false">ROUND((G57*I57)-K57-L57-M57,2)</f>
        <v>254.61</v>
      </c>
      <c r="O57" s="14"/>
      <c r="P57" s="14" t="n">
        <f aca="false">ROUND(IF(D57=0,IF((N57-E57-O57)&gt;0,(N57-E57-O57),0),IF((D57+N57-O57)&gt;0,(D57+N57-O57),0)),2)</f>
        <v>1699.28</v>
      </c>
      <c r="Q57" s="14" t="n">
        <f aca="false">ROUND(IF(E57=0,IF((D57+N57-O57)&lt;0,ABS(D57+N57-O57),0),IF((N57-E57-O57)&lt;0,ABS(N57-E57-O57),0)),2)</f>
        <v>0</v>
      </c>
    </row>
    <row r="58" customFormat="false" ht="15" hidden="false" customHeight="true" outlineLevel="0" collapsed="false">
      <c r="A58" s="12" t="s">
        <v>170</v>
      </c>
      <c r="B58" s="12" t="str">
        <f aca="false">квітень!B58</f>
        <v>Андросик О.О.</v>
      </c>
      <c r="C58" s="12" t="s">
        <v>172</v>
      </c>
      <c r="D58" s="14" t="n">
        <f aca="false">квітень!P58</f>
        <v>1785.36</v>
      </c>
      <c r="E58" s="14" t="n">
        <f aca="false">квітень!Q58</f>
        <v>0</v>
      </c>
      <c r="F58" s="13" t="n">
        <f aca="false">квітень!F58</f>
        <v>0</v>
      </c>
      <c r="G58" s="13" t="n">
        <f aca="false">квітень!G58</f>
        <v>34.9</v>
      </c>
      <c r="H58" s="13" t="n">
        <f aca="false">квітень!H58</f>
        <v>0</v>
      </c>
      <c r="I58" s="13" t="n">
        <f aca="false">квітень!I58</f>
        <v>4.1</v>
      </c>
      <c r="J58" s="14" t="n">
        <f aca="false">ROUND(G58*I58,2)</f>
        <v>143.09</v>
      </c>
      <c r="K58" s="14"/>
      <c r="L58" s="14"/>
      <c r="M58" s="14"/>
      <c r="N58" s="14" t="n">
        <f aca="false">ROUND((G58*I58)-K58-L58-M58,2)</f>
        <v>143.09</v>
      </c>
      <c r="O58" s="14"/>
      <c r="P58" s="14" t="n">
        <f aca="false">ROUND(IF(D58=0,IF((N58-E58-O58)&gt;0,(N58-E58-O58),0),IF((D58+N58-O58)&gt;0,(D58+N58-O58),0)),2)</f>
        <v>1928.45</v>
      </c>
      <c r="Q58" s="14" t="n">
        <f aca="false">ROUND(IF(E58=0,IF((D58+N58-O58)&lt;0,ABS(D58+N58-O58),0),IF((N58-E58-O58)&lt;0,ABS(N58-E58-O58),0)),2)</f>
        <v>0</v>
      </c>
    </row>
    <row r="59" customFormat="false" ht="15" hidden="false" customHeight="true" outlineLevel="0" collapsed="false">
      <c r="A59" s="12" t="s">
        <v>173</v>
      </c>
      <c r="B59" s="12" t="str">
        <f aca="false">квітень!B59</f>
        <v>Токар Є.А.</v>
      </c>
      <c r="C59" s="12" t="s">
        <v>175</v>
      </c>
      <c r="D59" s="14" t="n">
        <f aca="false">квітень!P59</f>
        <v>4146.95</v>
      </c>
      <c r="E59" s="14" t="n">
        <f aca="false">квітень!Q59</f>
        <v>0</v>
      </c>
      <c r="F59" s="13" t="n">
        <f aca="false">квітень!F59</f>
        <v>0</v>
      </c>
      <c r="G59" s="13" t="n">
        <f aca="false">квітень!G59</f>
        <v>49.22</v>
      </c>
      <c r="H59" s="13" t="n">
        <f aca="false">квітень!H59</f>
        <v>0</v>
      </c>
      <c r="I59" s="13" t="n">
        <f aca="false">квітень!I59</f>
        <v>4.1</v>
      </c>
      <c r="J59" s="14" t="n">
        <f aca="false">ROUND(G59*I59,2)</f>
        <v>201.8</v>
      </c>
      <c r="K59" s="14"/>
      <c r="L59" s="14"/>
      <c r="M59" s="14"/>
      <c r="N59" s="14" t="n">
        <f aca="false">ROUND((G59*I59)-K59-L59-M59,2)</f>
        <v>201.8</v>
      </c>
      <c r="O59" s="14"/>
      <c r="P59" s="14" t="n">
        <f aca="false">ROUND(IF(D59=0,IF((N59-E59-O59)&gt;0,(N59-E59-O59),0),IF((D59+N59-O59)&gt;0,(D59+N59-O59),0)),2)</f>
        <v>4348.75</v>
      </c>
      <c r="Q59" s="14" t="n">
        <f aca="false">ROUND(IF(E59=0,IF((D59+N59-O59)&lt;0,ABS(D59+N59-O59),0),IF((N59-E59-O59)&lt;0,ABS(N59-E59-O59),0)),2)</f>
        <v>0</v>
      </c>
    </row>
    <row r="60" customFormat="false" ht="15" hidden="false" customHeight="true" outlineLevel="0" collapsed="false">
      <c r="A60" s="12" t="s">
        <v>176</v>
      </c>
      <c r="B60" s="12" t="str">
        <f aca="false">квітень!B60</f>
        <v>Констанчук І.В.</v>
      </c>
      <c r="C60" s="12" t="s">
        <v>178</v>
      </c>
      <c r="D60" s="14" t="n">
        <f aca="false">квітень!P60</f>
        <v>9943.31</v>
      </c>
      <c r="E60" s="14" t="n">
        <f aca="false">квітень!Q60</f>
        <v>0</v>
      </c>
      <c r="F60" s="13" t="n">
        <f aca="false">квітень!F60</f>
        <v>0</v>
      </c>
      <c r="G60" s="13" t="n">
        <f aca="false">квітень!G60</f>
        <v>65.5</v>
      </c>
      <c r="H60" s="13" t="n">
        <f aca="false">квітень!H60</f>
        <v>0</v>
      </c>
      <c r="I60" s="13" t="n">
        <f aca="false">квітень!I60</f>
        <v>4.1</v>
      </c>
      <c r="J60" s="14" t="n">
        <f aca="false">ROUND(G60*I60,2)</f>
        <v>268.55</v>
      </c>
      <c r="K60" s="14"/>
      <c r="L60" s="14"/>
      <c r="M60" s="14"/>
      <c r="N60" s="14" t="n">
        <f aca="false">ROUND((G60*I60)-K60-L60-M60,2)</f>
        <v>268.55</v>
      </c>
      <c r="O60" s="14"/>
      <c r="P60" s="14" t="n">
        <f aca="false">ROUND(IF(D60=0,IF((N60-E60-O60)&gt;0,(N60-E60-O60),0),IF((D60+N60-O60)&gt;0,(D60+N60-O60),0)),2)</f>
        <v>10211.86</v>
      </c>
      <c r="Q60" s="14" t="n">
        <f aca="false">ROUND(IF(E60=0,IF((D60+N60-O60)&lt;0,ABS(D60+N60-O60),0),IF((N60-E60-O60)&lt;0,ABS(N60-E60-O60),0)),2)</f>
        <v>0</v>
      </c>
    </row>
    <row r="61" customFormat="false" ht="15" hidden="false" customHeight="true" outlineLevel="0" collapsed="false">
      <c r="A61" s="12" t="s">
        <v>179</v>
      </c>
      <c r="B61" s="12" t="str">
        <f aca="false">квітень!B61</f>
        <v>Гончаров В.В.</v>
      </c>
      <c r="C61" s="12" t="s">
        <v>181</v>
      </c>
      <c r="D61" s="14" t="n">
        <f aca="false">квітень!P61</f>
        <v>381.28</v>
      </c>
      <c r="E61" s="14" t="n">
        <f aca="false">квітень!Q61</f>
        <v>0</v>
      </c>
      <c r="F61" s="13" t="n">
        <f aca="false">квітень!F61</f>
        <v>0</v>
      </c>
      <c r="G61" s="13" t="n">
        <f aca="false">квітень!G61</f>
        <v>62.64</v>
      </c>
      <c r="H61" s="13" t="n">
        <f aca="false">квітень!H61</f>
        <v>0</v>
      </c>
      <c r="I61" s="13" t="n">
        <f aca="false">квітень!I61</f>
        <v>4.1</v>
      </c>
      <c r="J61" s="14" t="n">
        <f aca="false">ROUND(G61*I61,2)</f>
        <v>256.82</v>
      </c>
      <c r="K61" s="14"/>
      <c r="L61" s="14"/>
      <c r="M61" s="14"/>
      <c r="N61" s="14" t="n">
        <f aca="false">ROUND((G61*I61)-K61-L61-M61,2)</f>
        <v>256.82</v>
      </c>
      <c r="O61" s="14"/>
      <c r="P61" s="14" t="n">
        <f aca="false">ROUND(IF(D61=0,IF((N61-E61-O61)&gt;0,(N61-E61-O61),0),IF((D61+N61-O61)&gt;0,(D61+N61-O61),0)),2)</f>
        <v>638.1</v>
      </c>
      <c r="Q61" s="14" t="n">
        <f aca="false">ROUND(IF(E61=0,IF((D61+N61-O61)&lt;0,ABS(D61+N61-O61),0),IF((N61-E61-O61)&lt;0,ABS(N61-E61-O61),0)),2)</f>
        <v>0</v>
      </c>
    </row>
    <row r="62" customFormat="false" ht="15" hidden="false" customHeight="true" outlineLevel="0" collapsed="false">
      <c r="A62" s="12" t="s">
        <v>182</v>
      </c>
      <c r="B62" s="12" t="str">
        <f aca="false">квітень!B62</f>
        <v>Ляхомський В.О.</v>
      </c>
      <c r="C62" s="12" t="s">
        <v>184</v>
      </c>
      <c r="D62" s="14" t="n">
        <f aca="false">квітень!P62</f>
        <v>1584.99</v>
      </c>
      <c r="E62" s="14" t="n">
        <f aca="false">квітень!Q62</f>
        <v>0</v>
      </c>
      <c r="F62" s="13" t="n">
        <f aca="false">квітень!F62</f>
        <v>0</v>
      </c>
      <c r="G62" s="13" t="n">
        <f aca="false">квітень!G62</f>
        <v>34.9</v>
      </c>
      <c r="H62" s="13" t="n">
        <f aca="false">квітень!H62</f>
        <v>0</v>
      </c>
      <c r="I62" s="13" t="n">
        <f aca="false">квітень!I62</f>
        <v>4.1</v>
      </c>
      <c r="J62" s="14" t="n">
        <f aca="false">ROUND(G62*I62,2)</f>
        <v>143.09</v>
      </c>
      <c r="K62" s="14"/>
      <c r="L62" s="14"/>
      <c r="M62" s="14"/>
      <c r="N62" s="14" t="n">
        <f aca="false">ROUND((G62*I62)-K62-L62-M62,2)</f>
        <v>143.09</v>
      </c>
      <c r="O62" s="14"/>
      <c r="P62" s="14" t="n">
        <f aca="false">ROUND(IF(D62=0,IF((N62-E62-O62)&gt;0,(N62-E62-O62),0),IF((D62+N62-O62)&gt;0,(D62+N62-O62),0)),2)</f>
        <v>1728.08</v>
      </c>
      <c r="Q62" s="14" t="n">
        <f aca="false">ROUND(IF(E62=0,IF((D62+N62-O62)&lt;0,ABS(D62+N62-O62),0),IF((N62-E62-O62)&lt;0,ABS(N62-E62-O62),0)),2)</f>
        <v>0</v>
      </c>
    </row>
    <row r="63" customFormat="false" ht="15" hidden="false" customHeight="true" outlineLevel="0" collapsed="false">
      <c r="A63" s="12" t="s">
        <v>185</v>
      </c>
      <c r="B63" s="12" t="str">
        <f aca="false">квітень!B63</f>
        <v>Крамаренко В.П.</v>
      </c>
      <c r="C63" s="12" t="s">
        <v>187</v>
      </c>
      <c r="D63" s="14" t="n">
        <f aca="false">квітень!P63</f>
        <v>1633.12</v>
      </c>
      <c r="E63" s="14" t="n">
        <f aca="false">квітень!Q63</f>
        <v>0</v>
      </c>
      <c r="F63" s="13" t="n">
        <f aca="false">квітень!F63</f>
        <v>0</v>
      </c>
      <c r="G63" s="13" t="n">
        <f aca="false">квітень!G63</f>
        <v>49.79</v>
      </c>
      <c r="H63" s="13" t="n">
        <f aca="false">квітень!H63</f>
        <v>0</v>
      </c>
      <c r="I63" s="13" t="n">
        <f aca="false">квітень!I63</f>
        <v>4.1</v>
      </c>
      <c r="J63" s="14" t="n">
        <f aca="false">ROUND(G63*I63,2)</f>
        <v>204.14</v>
      </c>
      <c r="K63" s="14"/>
      <c r="L63" s="14"/>
      <c r="M63" s="14"/>
      <c r="N63" s="14" t="n">
        <f aca="false">ROUND((G63*I63)-K63-L63-M63,2)</f>
        <v>204.14</v>
      </c>
      <c r="O63" s="14"/>
      <c r="P63" s="14" t="n">
        <f aca="false">ROUND(IF(D63=0,IF((N63-E63-O63)&gt;0,(N63-E63-O63),0),IF((D63+N63-O63)&gt;0,(D63+N63-O63),0)),2)</f>
        <v>1837.26</v>
      </c>
      <c r="Q63" s="14" t="n">
        <f aca="false">ROUND(IF(E63=0,IF((D63+N63-O63)&lt;0,ABS(D63+N63-O63),0),IF((N63-E63-O63)&lt;0,ABS(N63-E63-O63),0)),2)</f>
        <v>0</v>
      </c>
    </row>
    <row r="64" customFormat="false" ht="15" hidden="false" customHeight="true" outlineLevel="0" collapsed="false">
      <c r="A64" s="12" t="s">
        <v>188</v>
      </c>
      <c r="B64" s="12" t="str">
        <f aca="false">квітень!B64</f>
        <v>Родзик С.Г.</v>
      </c>
      <c r="C64" s="12" t="s">
        <v>190</v>
      </c>
      <c r="D64" s="14" t="n">
        <f aca="false">квітень!P64</f>
        <v>4544.44</v>
      </c>
      <c r="E64" s="14" t="n">
        <f aca="false">квітень!Q64</f>
        <v>0</v>
      </c>
      <c r="F64" s="13" t="n">
        <f aca="false">квітень!F64</f>
        <v>0</v>
      </c>
      <c r="G64" s="13" t="n">
        <f aca="false">квітень!G64</f>
        <v>65.2</v>
      </c>
      <c r="H64" s="13" t="n">
        <f aca="false">квітень!H64</f>
        <v>0</v>
      </c>
      <c r="I64" s="13" t="n">
        <f aca="false">квітень!I64</f>
        <v>4.1</v>
      </c>
      <c r="J64" s="14" t="n">
        <f aca="false">ROUND(G64*I64,2)</f>
        <v>267.32</v>
      </c>
      <c r="K64" s="14"/>
      <c r="L64" s="14"/>
      <c r="M64" s="14"/>
      <c r="N64" s="14" t="n">
        <f aca="false">ROUND((G64*I64)-K64-L64-M64,2)</f>
        <v>267.32</v>
      </c>
      <c r="O64" s="14"/>
      <c r="P64" s="14" t="n">
        <f aca="false">ROUND(IF(D64=0,IF((N64-E64-O64)&gt;0,(N64-E64-O64),0),IF((D64+N64-O64)&gt;0,(D64+N64-O64),0)),2)</f>
        <v>4811.76</v>
      </c>
      <c r="Q64" s="14" t="n">
        <f aca="false">ROUND(IF(E64=0,IF((D64+N64-O64)&lt;0,ABS(D64+N64-O64),0),IF((N64-E64-O64)&lt;0,ABS(N64-E64-O64),0)),2)</f>
        <v>0</v>
      </c>
    </row>
    <row r="65" customFormat="false" ht="15" hidden="false" customHeight="true" outlineLevel="0" collapsed="false">
      <c r="A65" s="12" t="s">
        <v>191</v>
      </c>
      <c r="B65" s="12" t="str">
        <f aca="false">квітень!B65</f>
        <v>Никоненко Н.С.</v>
      </c>
      <c r="C65" s="12" t="s">
        <v>193</v>
      </c>
      <c r="D65" s="14" t="n">
        <f aca="false">квітень!P65</f>
        <v>11057.86</v>
      </c>
      <c r="E65" s="14" t="n">
        <f aca="false">квітень!Q65</f>
        <v>0</v>
      </c>
      <c r="F65" s="13" t="n">
        <f aca="false">квітень!F65</f>
        <v>0</v>
      </c>
      <c r="G65" s="13" t="n">
        <f aca="false">квітень!G65</f>
        <v>61.88</v>
      </c>
      <c r="H65" s="13" t="n">
        <f aca="false">квітень!H65</f>
        <v>0</v>
      </c>
      <c r="I65" s="13" t="n">
        <f aca="false">квітень!I65</f>
        <v>4.1</v>
      </c>
      <c r="J65" s="14" t="n">
        <f aca="false">ROUND(G65*I65,2)</f>
        <v>253.71</v>
      </c>
      <c r="K65" s="14"/>
      <c r="L65" s="14"/>
      <c r="M65" s="14"/>
      <c r="N65" s="14" t="n">
        <f aca="false">ROUND((G65*I65)-K65-L65-M65,2)</f>
        <v>253.71</v>
      </c>
      <c r="O65" s="14"/>
      <c r="P65" s="14" t="n">
        <f aca="false">ROUND(IF(D65=0,IF((N65-E65-O65)&gt;0,(N65-E65-O65),0),IF((D65+N65-O65)&gt;0,(D65+N65-O65),0)),2)</f>
        <v>11311.57</v>
      </c>
      <c r="Q65" s="14" t="n">
        <f aca="false">ROUND(IF(E65=0,IF((D65+N65-O65)&lt;0,ABS(D65+N65-O65),0),IF((N65-E65-O65)&lt;0,ABS(N65-E65-O65),0)),2)</f>
        <v>0</v>
      </c>
    </row>
    <row r="66" customFormat="false" ht="15" hidden="false" customHeight="true" outlineLevel="0" collapsed="false">
      <c r="A66" s="12" t="s">
        <v>194</v>
      </c>
      <c r="B66" s="12" t="str">
        <f aca="false">квітень!B66</f>
        <v>Чепок О.В.</v>
      </c>
      <c r="C66" s="12" t="s">
        <v>196</v>
      </c>
      <c r="D66" s="14" t="n">
        <f aca="false">квітень!P66</f>
        <v>6157.91</v>
      </c>
      <c r="E66" s="14" t="n">
        <f aca="false">квітень!Q66</f>
        <v>0</v>
      </c>
      <c r="F66" s="13" t="n">
        <f aca="false">квітень!F66</f>
        <v>0</v>
      </c>
      <c r="G66" s="13" t="n">
        <f aca="false">квітень!G66</f>
        <v>35</v>
      </c>
      <c r="H66" s="13" t="n">
        <f aca="false">квітень!H66</f>
        <v>0</v>
      </c>
      <c r="I66" s="13" t="n">
        <f aca="false">квітень!I66</f>
        <v>4.1</v>
      </c>
      <c r="J66" s="14" t="n">
        <f aca="false">ROUND(G66*I66,2)</f>
        <v>143.5</v>
      </c>
      <c r="K66" s="14"/>
      <c r="L66" s="14"/>
      <c r="M66" s="14"/>
      <c r="N66" s="14" t="n">
        <f aca="false">ROUND((G66*I66)-K66-L66-M66,2)</f>
        <v>143.5</v>
      </c>
      <c r="O66" s="14"/>
      <c r="P66" s="14" t="n">
        <f aca="false">ROUND(IF(D66=0,IF((N66-E66-O66)&gt;0,(N66-E66-O66),0),IF((D66+N66-O66)&gt;0,(D66+N66-O66),0)),2)</f>
        <v>6301.41</v>
      </c>
      <c r="Q66" s="14" t="n">
        <f aca="false">ROUND(IF(E66=0,IF((D66+N66-O66)&lt;0,ABS(D66+N66-O66),0),IF((N66-E66-O66)&lt;0,ABS(N66-E66-O66),0)),2)</f>
        <v>0</v>
      </c>
    </row>
    <row r="67" customFormat="false" ht="15" hidden="false" customHeight="true" outlineLevel="0" collapsed="false">
      <c r="A67" s="12" t="s">
        <v>197</v>
      </c>
      <c r="B67" s="12" t="str">
        <f aca="false">квітень!B67</f>
        <v>Горошенко Л.С.</v>
      </c>
      <c r="C67" s="12" t="s">
        <v>199</v>
      </c>
      <c r="D67" s="14" t="n">
        <f aca="false">квітень!P67</f>
        <v>2829.82</v>
      </c>
      <c r="E67" s="14" t="n">
        <f aca="false">квітень!Q67</f>
        <v>0</v>
      </c>
      <c r="F67" s="13" t="n">
        <f aca="false">квітень!F67</f>
        <v>0</v>
      </c>
      <c r="G67" s="13" t="n">
        <f aca="false">квітень!G67</f>
        <v>49.3</v>
      </c>
      <c r="H67" s="13" t="n">
        <f aca="false">квітень!H67</f>
        <v>0</v>
      </c>
      <c r="I67" s="13" t="n">
        <f aca="false">квітень!I67</f>
        <v>4.1</v>
      </c>
      <c r="J67" s="14" t="n">
        <f aca="false">ROUND(G67*I67,2)</f>
        <v>202.13</v>
      </c>
      <c r="K67" s="14"/>
      <c r="L67" s="14"/>
      <c r="M67" s="14"/>
      <c r="N67" s="14" t="n">
        <f aca="false">ROUND((G67*I67)-K67-L67-M67,2)</f>
        <v>202.13</v>
      </c>
      <c r="O67" s="14"/>
      <c r="P67" s="14" t="n">
        <f aca="false">ROUND(IF(D67=0,IF((N67-E67-O67)&gt;0,(N67-E67-O67),0),IF((D67+N67-O67)&gt;0,(D67+N67-O67),0)),2)</f>
        <v>3031.95</v>
      </c>
      <c r="Q67" s="14" t="n">
        <f aca="false">ROUND(IF(E67=0,IF((D67+N67-O67)&lt;0,ABS(D67+N67-O67),0),IF((N67-E67-O67)&lt;0,ABS(N67-E67-O67),0)),2)</f>
        <v>0</v>
      </c>
    </row>
    <row r="68" customFormat="false" ht="15" hidden="false" customHeight="true" outlineLevel="0" collapsed="false">
      <c r="A68" s="12" t="s">
        <v>200</v>
      </c>
      <c r="B68" s="12" t="str">
        <f aca="false">квітень!B68</f>
        <v>Неграчева Л.Г.</v>
      </c>
      <c r="C68" s="12" t="s">
        <v>202</v>
      </c>
      <c r="D68" s="14" t="n">
        <f aca="false">квітень!P68</f>
        <v>1092.24</v>
      </c>
      <c r="E68" s="14" t="n">
        <f aca="false">квітень!Q68</f>
        <v>0</v>
      </c>
      <c r="F68" s="13" t="n">
        <f aca="false">квітень!F68</f>
        <v>0</v>
      </c>
      <c r="G68" s="13" t="n">
        <f aca="false">квітень!G68</f>
        <v>66.6</v>
      </c>
      <c r="H68" s="13" t="n">
        <f aca="false">квітень!H68</f>
        <v>0</v>
      </c>
      <c r="I68" s="13" t="n">
        <f aca="false">квітень!I68</f>
        <v>4.1</v>
      </c>
      <c r="J68" s="14" t="n">
        <f aca="false">ROUND(G68*I68,2)</f>
        <v>273.06</v>
      </c>
      <c r="K68" s="14"/>
      <c r="L68" s="14"/>
      <c r="M68" s="14"/>
      <c r="N68" s="14" t="n">
        <f aca="false">ROUND((G68*I68)-K68-L68-M68,2)</f>
        <v>273.06</v>
      </c>
      <c r="O68" s="14"/>
      <c r="P68" s="14" t="n">
        <f aca="false">ROUND(IF(D68=0,IF((N68-E68-O68)&gt;0,(N68-E68-O68),0),IF((D68+N68-O68)&gt;0,(D68+N68-O68),0)),2)</f>
        <v>1365.3</v>
      </c>
      <c r="Q68" s="14" t="n">
        <f aca="false">ROUND(IF(E68=0,IF((D68+N68-O68)&lt;0,ABS(D68+N68-O68),0),IF((N68-E68-O68)&lt;0,ABS(N68-E68-O68),0)),2)</f>
        <v>0</v>
      </c>
    </row>
    <row r="69" customFormat="false" ht="15" hidden="false" customHeight="true" outlineLevel="0" collapsed="false">
      <c r="A69" s="12" t="s">
        <v>203</v>
      </c>
      <c r="B69" s="12" t="str">
        <f aca="false">квітень!B69</f>
        <v>Брежнєв О.В.</v>
      </c>
      <c r="C69" s="12" t="s">
        <v>205</v>
      </c>
      <c r="D69" s="14" t="n">
        <f aca="false">квітень!P69</f>
        <v>2429.08</v>
      </c>
      <c r="E69" s="14" t="n">
        <f aca="false">квітень!Q69</f>
        <v>0</v>
      </c>
      <c r="F69" s="13" t="n">
        <f aca="false">квітень!F69</f>
        <v>0</v>
      </c>
      <c r="G69" s="13" t="n">
        <f aca="false">квітень!G69</f>
        <v>61.88</v>
      </c>
      <c r="H69" s="13" t="n">
        <f aca="false">квітень!H69</f>
        <v>0</v>
      </c>
      <c r="I69" s="13" t="n">
        <f aca="false">квітень!I69</f>
        <v>4.1</v>
      </c>
      <c r="J69" s="14" t="n">
        <f aca="false">ROUND(G69*I69,2)</f>
        <v>253.71</v>
      </c>
      <c r="K69" s="14"/>
      <c r="L69" s="14"/>
      <c r="M69" s="14"/>
      <c r="N69" s="14" t="n">
        <f aca="false">ROUND((G69*I69)-K69-L69-M69,2)</f>
        <v>253.71</v>
      </c>
      <c r="O69" s="14"/>
      <c r="P69" s="14" t="n">
        <f aca="false">ROUND(IF(D69=0,IF((N69-E69-O69)&gt;0,(N69-E69-O69),0),IF((D69+N69-O69)&gt;0,(D69+N69-O69),0)),2)</f>
        <v>2682.79</v>
      </c>
      <c r="Q69" s="14" t="n">
        <f aca="false">ROUND(IF(E69=0,IF((D69+N69-O69)&lt;0,ABS(D69+N69-O69),0),IF((N69-E69-O69)&lt;0,ABS(N69-E69-O69),0)),2)</f>
        <v>0</v>
      </c>
    </row>
    <row r="70" customFormat="false" ht="15" hidden="false" customHeight="true" outlineLevel="0" collapsed="false">
      <c r="A70" s="12" t="s">
        <v>206</v>
      </c>
      <c r="B70" s="12" t="str">
        <f aca="false">квітень!B70</f>
        <v>Горбатюк К.О.</v>
      </c>
      <c r="C70" s="12" t="s">
        <v>208</v>
      </c>
      <c r="D70" s="14" t="n">
        <f aca="false">квітень!P70</f>
        <v>1576.74</v>
      </c>
      <c r="E70" s="14" t="n">
        <f aca="false">квітень!Q70</f>
        <v>0</v>
      </c>
      <c r="F70" s="13" t="n">
        <f aca="false">квітень!F70</f>
        <v>0</v>
      </c>
      <c r="G70" s="13" t="n">
        <f aca="false">квітень!G70</f>
        <v>34.96</v>
      </c>
      <c r="H70" s="13" t="n">
        <f aca="false">квітень!H70</f>
        <v>0</v>
      </c>
      <c r="I70" s="13" t="n">
        <f aca="false">квітень!I70</f>
        <v>4.1</v>
      </c>
      <c r="J70" s="14" t="n">
        <f aca="false">ROUND(G70*I70,2)</f>
        <v>143.34</v>
      </c>
      <c r="K70" s="14"/>
      <c r="L70" s="14"/>
      <c r="M70" s="14"/>
      <c r="N70" s="14" t="n">
        <f aca="false">ROUND((G70*I70)-K70-L70-M70,2)</f>
        <v>143.34</v>
      </c>
      <c r="O70" s="14"/>
      <c r="P70" s="14" t="n">
        <f aca="false">ROUND(IF(D70=0,IF((N70-E70-O70)&gt;0,(N70-E70-O70),0),IF((D70+N70-O70)&gt;0,(D70+N70-O70),0)),2)</f>
        <v>1720.08</v>
      </c>
      <c r="Q70" s="14" t="n">
        <f aca="false">ROUND(IF(E70=0,IF((D70+N70-O70)&lt;0,ABS(D70+N70-O70),0),IF((N70-E70-O70)&lt;0,ABS(N70-E70-O70),0)),2)</f>
        <v>0</v>
      </c>
    </row>
    <row r="71" customFormat="false" ht="15" hidden="false" customHeight="true" outlineLevel="0" collapsed="false">
      <c r="A71" s="12" t="s">
        <v>209</v>
      </c>
      <c r="B71" s="12" t="str">
        <f aca="false">квітень!B71</f>
        <v>Божик М.О.</v>
      </c>
      <c r="C71" s="12" t="s">
        <v>211</v>
      </c>
      <c r="D71" s="14" t="n">
        <f aca="false">квітень!P71</f>
        <v>615.36</v>
      </c>
      <c r="E71" s="14" t="n">
        <f aca="false">квітень!Q71</f>
        <v>0</v>
      </c>
      <c r="F71" s="13" t="n">
        <f aca="false">квітень!F71</f>
        <v>0</v>
      </c>
      <c r="G71" s="13" t="n">
        <f aca="false">квітень!G71</f>
        <v>50.03</v>
      </c>
      <c r="H71" s="13" t="n">
        <f aca="false">квітень!H71</f>
        <v>0</v>
      </c>
      <c r="I71" s="13" t="n">
        <f aca="false">квітень!I71</f>
        <v>4.1</v>
      </c>
      <c r="J71" s="14" t="n">
        <f aca="false">ROUND(G71*I71,2)</f>
        <v>205.12</v>
      </c>
      <c r="K71" s="14"/>
      <c r="L71" s="14"/>
      <c r="M71" s="14"/>
      <c r="N71" s="14" t="n">
        <f aca="false">ROUND((G71*I71)-K71-L71-M71,2)</f>
        <v>205.12</v>
      </c>
      <c r="O71" s="14"/>
      <c r="P71" s="14" t="n">
        <f aca="false">ROUND(IF(D71=0,IF((N71-E71-O71)&gt;0,(N71-E71-O71),0),IF((D71+N71-O71)&gt;0,(D71+N71-O71),0)),2)</f>
        <v>820.48</v>
      </c>
      <c r="Q71" s="14" t="n">
        <f aca="false">ROUND(IF(E71=0,IF((D71+N71-O71)&lt;0,ABS(D71+N71-O71),0),IF((N71-E71-O71)&lt;0,ABS(N71-E71-O71),0)),2)</f>
        <v>0</v>
      </c>
    </row>
    <row r="72" customFormat="false" ht="15" hidden="false" customHeight="true" outlineLevel="0" collapsed="false">
      <c r="A72" s="12" t="s">
        <v>212</v>
      </c>
      <c r="B72" s="12" t="str">
        <f aca="false">квітень!B72</f>
        <v>Зайченко С.Л</v>
      </c>
      <c r="C72" s="12" t="s">
        <v>214</v>
      </c>
      <c r="D72" s="14" t="n">
        <f aca="false">квітень!P72</f>
        <v>13593.45</v>
      </c>
      <c r="E72" s="14" t="n">
        <f aca="false">квітень!Q72</f>
        <v>0</v>
      </c>
      <c r="F72" s="13" t="n">
        <f aca="false">квітень!F72</f>
        <v>0</v>
      </c>
      <c r="G72" s="13" t="n">
        <f aca="false">квітень!G72</f>
        <v>65.15</v>
      </c>
      <c r="H72" s="13" t="n">
        <f aca="false">квітень!H72</f>
        <v>0</v>
      </c>
      <c r="I72" s="13" t="n">
        <f aca="false">квітень!I72</f>
        <v>4.1</v>
      </c>
      <c r="J72" s="14" t="n">
        <f aca="false">ROUND(G72*I72,2)</f>
        <v>267.12</v>
      </c>
      <c r="K72" s="14"/>
      <c r="L72" s="14"/>
      <c r="M72" s="14"/>
      <c r="N72" s="14" t="n">
        <f aca="false">ROUND((G72*I72)-K72-L72-M72,2)</f>
        <v>267.12</v>
      </c>
      <c r="O72" s="14"/>
      <c r="P72" s="14" t="n">
        <f aca="false">ROUND(IF(D72=0,IF((N72-E72-O72)&gt;0,(N72-E72-O72),0),IF((D72+N72-O72)&gt;0,(D72+N72-O72),0)),2)</f>
        <v>13860.57</v>
      </c>
      <c r="Q72" s="14" t="n">
        <f aca="false">ROUND(IF(E72=0,IF((D72+N72-O72)&lt;0,ABS(D72+N72-O72),0),IF((N72-E72-O72)&lt;0,ABS(N72-E72-O72),0)),2)</f>
        <v>0</v>
      </c>
    </row>
    <row r="73" customFormat="false" ht="15" hidden="false" customHeight="true" outlineLevel="0" collapsed="false">
      <c r="A73" s="12" t="s">
        <v>215</v>
      </c>
      <c r="B73" s="12" t="str">
        <f aca="false">квітень!B73</f>
        <v>Бессараб Н.Г.</v>
      </c>
      <c r="C73" s="12" t="s">
        <v>217</v>
      </c>
      <c r="D73" s="14" t="n">
        <f aca="false">квітень!P73</f>
        <v>2587.89</v>
      </c>
      <c r="E73" s="14" t="n">
        <f aca="false">квітень!Q73</f>
        <v>0</v>
      </c>
      <c r="F73" s="13" t="n">
        <f aca="false">квітень!F73</f>
        <v>0</v>
      </c>
      <c r="G73" s="13" t="n">
        <f aca="false">квітень!G73</f>
        <v>63.41</v>
      </c>
      <c r="H73" s="13" t="n">
        <f aca="false">квітень!H73</f>
        <v>0</v>
      </c>
      <c r="I73" s="13" t="n">
        <f aca="false">квітень!I73</f>
        <v>4.1</v>
      </c>
      <c r="J73" s="14" t="n">
        <f aca="false">ROUND(G73*I73,2)</f>
        <v>259.98</v>
      </c>
      <c r="K73" s="14"/>
      <c r="L73" s="14"/>
      <c r="M73" s="14"/>
      <c r="N73" s="14" t="n">
        <f aca="false">ROUND((G73*I73)-K73-L73-M73,2)</f>
        <v>259.98</v>
      </c>
      <c r="O73" s="14"/>
      <c r="P73" s="14" t="n">
        <f aca="false">ROUND(IF(D73=0,IF((N73-E73-O73)&gt;0,(N73-E73-O73),0),IF((D73+N73-O73)&gt;0,(D73+N73-O73),0)),2)</f>
        <v>2847.87</v>
      </c>
      <c r="Q73" s="14" t="n">
        <f aca="false">ROUND(IF(E73=0,IF((D73+N73-O73)&lt;0,ABS(D73+N73-O73),0),IF((N73-E73-O73)&lt;0,ABS(N73-E73-O73),0)),2)</f>
        <v>0</v>
      </c>
    </row>
    <row r="74" customFormat="false" ht="15" hidden="false" customHeight="true" outlineLevel="0" collapsed="false">
      <c r="A74" s="12" t="s">
        <v>218</v>
      </c>
      <c r="B74" s="12" t="str">
        <f aca="false">квітень!B74</f>
        <v>Прохорова С.І.</v>
      </c>
      <c r="C74" s="12" t="s">
        <v>220</v>
      </c>
      <c r="D74" s="14" t="n">
        <f aca="false">квітень!P74</f>
        <v>531.36</v>
      </c>
      <c r="E74" s="14" t="n">
        <f aca="false">квітень!Q74</f>
        <v>0</v>
      </c>
      <c r="F74" s="13" t="n">
        <f aca="false">квітень!F74</f>
        <v>0</v>
      </c>
      <c r="G74" s="13" t="n">
        <f aca="false">квітень!G74</f>
        <v>35.19</v>
      </c>
      <c r="H74" s="13" t="n">
        <f aca="false">квітень!H74</f>
        <v>0</v>
      </c>
      <c r="I74" s="13" t="n">
        <f aca="false">квітень!I74</f>
        <v>4.1</v>
      </c>
      <c r="J74" s="14" t="n">
        <f aca="false">ROUND(G74*I74,2)</f>
        <v>144.28</v>
      </c>
      <c r="K74" s="14"/>
      <c r="L74" s="14"/>
      <c r="M74" s="14"/>
      <c r="N74" s="14" t="n">
        <f aca="false">ROUND((G74*I74)-K74-L74-M74,2)</f>
        <v>144.28</v>
      </c>
      <c r="O74" s="14"/>
      <c r="P74" s="14" t="n">
        <f aca="false">ROUND(IF(D74=0,IF((N74-E74-O74)&gt;0,(N74-E74-O74),0),IF((D74+N74-O74)&gt;0,(D74+N74-O74),0)),2)</f>
        <v>675.64</v>
      </c>
      <c r="Q74" s="14" t="n">
        <f aca="false">ROUND(IF(E74=0,IF((D74+N74-O74)&lt;0,ABS(D74+N74-O74),0),IF((N74-E74-O74)&lt;0,ABS(N74-E74-O74),0)),2)</f>
        <v>0</v>
      </c>
    </row>
    <row r="75" customFormat="false" ht="15" hidden="false" customHeight="true" outlineLevel="0" collapsed="false">
      <c r="A75" s="12" t="s">
        <v>221</v>
      </c>
      <c r="B75" s="12" t="str">
        <f aca="false">квітень!B75</f>
        <v>Браташ А.Ф.</v>
      </c>
      <c r="C75" s="12" t="s">
        <v>223</v>
      </c>
      <c r="D75" s="14" t="n">
        <f aca="false">квітень!P75</f>
        <v>10699.27</v>
      </c>
      <c r="E75" s="14" t="n">
        <f aca="false">квітень!Q75</f>
        <v>0</v>
      </c>
      <c r="F75" s="13" t="n">
        <f aca="false">квітень!F75</f>
        <v>0</v>
      </c>
      <c r="G75" s="13" t="n">
        <f aca="false">квітень!G75</f>
        <v>49.89</v>
      </c>
      <c r="H75" s="13" t="n">
        <f aca="false">квітень!H75</f>
        <v>0</v>
      </c>
      <c r="I75" s="13" t="n">
        <f aca="false">квітень!I75</f>
        <v>4.1</v>
      </c>
      <c r="J75" s="14" t="n">
        <f aca="false">ROUND(G75*I75,2)</f>
        <v>204.55</v>
      </c>
      <c r="K75" s="14"/>
      <c r="L75" s="14"/>
      <c r="M75" s="14"/>
      <c r="N75" s="14" t="n">
        <f aca="false">ROUND((G75*I75)-K75-L75-M75,2)</f>
        <v>204.55</v>
      </c>
      <c r="O75" s="14"/>
      <c r="P75" s="14" t="n">
        <f aca="false">ROUND(IF(D75=0,IF((N75-E75-O75)&gt;0,(N75-E75-O75),0),IF((D75+N75-O75)&gt;0,(D75+N75-O75),0)),2)</f>
        <v>10903.82</v>
      </c>
      <c r="Q75" s="14" t="n">
        <f aca="false">ROUND(IF(E75=0,IF((D75+N75-O75)&lt;0,ABS(D75+N75-O75),0),IF((N75-E75-O75)&lt;0,ABS(N75-E75-O75),0)),2)</f>
        <v>0</v>
      </c>
    </row>
    <row r="76" customFormat="false" ht="15" hidden="false" customHeight="true" outlineLevel="0" collapsed="false">
      <c r="A76" s="12" t="s">
        <v>224</v>
      </c>
      <c r="B76" s="12" t="str">
        <f aca="false">квітень!B76</f>
        <v>Кудас Д.О.</v>
      </c>
      <c r="C76" s="12" t="s">
        <v>226</v>
      </c>
      <c r="D76" s="14" t="n">
        <f aca="false">квітень!P76</f>
        <v>2132.96</v>
      </c>
      <c r="E76" s="14" t="n">
        <f aca="false">квітень!Q76</f>
        <v>0</v>
      </c>
      <c r="F76" s="13" t="n">
        <f aca="false">квітень!F76</f>
        <v>0</v>
      </c>
      <c r="G76" s="13" t="n">
        <f aca="false">квітень!G76</f>
        <v>65.03</v>
      </c>
      <c r="H76" s="13" t="n">
        <f aca="false">квітень!H76</f>
        <v>0</v>
      </c>
      <c r="I76" s="13" t="n">
        <f aca="false">квітень!I76</f>
        <v>4.1</v>
      </c>
      <c r="J76" s="14" t="n">
        <f aca="false">ROUND(G76*I76,2)</f>
        <v>266.62</v>
      </c>
      <c r="K76" s="14"/>
      <c r="L76" s="14"/>
      <c r="M76" s="14"/>
      <c r="N76" s="14" t="n">
        <f aca="false">ROUND((G76*I76)-K76-L76-M76,2)</f>
        <v>266.62</v>
      </c>
      <c r="O76" s="14"/>
      <c r="P76" s="14" t="n">
        <f aca="false">ROUND(IF(D76=0,IF((N76-E76-O76)&gt;0,(N76-E76-O76),0),IF((D76+N76-O76)&gt;0,(D76+N76-O76),0)),2)</f>
        <v>2399.58</v>
      </c>
      <c r="Q76" s="14" t="n">
        <f aca="false">ROUND(IF(E76=0,IF((D76+N76-O76)&lt;0,ABS(D76+N76-O76),0),IF((N76-E76-O76)&lt;0,ABS(N76-E76-O76),0)),2)</f>
        <v>0</v>
      </c>
    </row>
    <row r="77" customFormat="false" ht="15" hidden="false" customHeight="true" outlineLevel="0" collapsed="false">
      <c r="A77" s="12" t="s">
        <v>227</v>
      </c>
      <c r="B77" s="12" t="str">
        <f aca="false">квітень!B77</f>
        <v>Шушлєбін Б.В.</v>
      </c>
      <c r="C77" s="12" t="s">
        <v>229</v>
      </c>
      <c r="D77" s="14" t="n">
        <f aca="false">квітень!P77</f>
        <v>847.9</v>
      </c>
      <c r="E77" s="14" t="n">
        <f aca="false">квітень!Q77</f>
        <v>0</v>
      </c>
      <c r="F77" s="13" t="n">
        <f aca="false">квітень!F77</f>
        <v>0</v>
      </c>
      <c r="G77" s="13" t="n">
        <f aca="false">квітень!G77</f>
        <v>62.11</v>
      </c>
      <c r="H77" s="13" t="n">
        <f aca="false">квітень!H77</f>
        <v>0</v>
      </c>
      <c r="I77" s="13" t="n">
        <f aca="false">квітень!I77</f>
        <v>4.1</v>
      </c>
      <c r="J77" s="14" t="n">
        <f aca="false">ROUND(G77*I77,2)</f>
        <v>254.65</v>
      </c>
      <c r="K77" s="14"/>
      <c r="L77" s="14"/>
      <c r="M77" s="14"/>
      <c r="N77" s="14" t="n">
        <f aca="false">ROUND((G77*I77)-K77-L77-M77,2)</f>
        <v>254.65</v>
      </c>
      <c r="O77" s="14"/>
      <c r="P77" s="14" t="n">
        <f aca="false">ROUND(IF(D77=0,IF((N77-E77-O77)&gt;0,(N77-E77-O77),0),IF((D77+N77-O77)&gt;0,(D77+N77-O77),0)),2)</f>
        <v>1102.55</v>
      </c>
      <c r="Q77" s="14" t="n">
        <f aca="false">ROUND(IF(E77=0,IF((D77+N77-O77)&lt;0,ABS(D77+N77-O77),0),IF((N77-E77-O77)&lt;0,ABS(N77-E77-O77),0)),2)</f>
        <v>0</v>
      </c>
    </row>
    <row r="78" customFormat="false" ht="15" hidden="false" customHeight="true" outlineLevel="0" collapsed="false">
      <c r="A78" s="12" t="s">
        <v>230</v>
      </c>
      <c r="B78" s="12" t="str">
        <f aca="false">квітень!B78</f>
        <v>Бородіна І.О.</v>
      </c>
      <c r="C78" s="12" t="s">
        <v>232</v>
      </c>
      <c r="D78" s="14" t="n">
        <f aca="false">квітень!P78</f>
        <v>6762.35</v>
      </c>
      <c r="E78" s="14" t="n">
        <f aca="false">квітень!Q78</f>
        <v>0</v>
      </c>
      <c r="F78" s="13" t="n">
        <f aca="false">квітень!F78</f>
        <v>0</v>
      </c>
      <c r="G78" s="13" t="n">
        <f aca="false">квітень!G78</f>
        <v>34.9</v>
      </c>
      <c r="H78" s="13" t="n">
        <f aca="false">квітень!H78</f>
        <v>0</v>
      </c>
      <c r="I78" s="13" t="n">
        <f aca="false">квітень!I78</f>
        <v>4.1</v>
      </c>
      <c r="J78" s="14" t="n">
        <f aca="false">ROUND(G78*I78,2)</f>
        <v>143.09</v>
      </c>
      <c r="K78" s="14"/>
      <c r="L78" s="14"/>
      <c r="M78" s="14"/>
      <c r="N78" s="14" t="n">
        <f aca="false">ROUND((G78*I78)-K78-L78-M78,2)</f>
        <v>143.09</v>
      </c>
      <c r="O78" s="14"/>
      <c r="P78" s="14" t="n">
        <f aca="false">ROUND(IF(D78=0,IF((N78-E78-O78)&gt;0,(N78-E78-O78),0),IF((D78+N78-O78)&gt;0,(D78+N78-O78),0)),2)</f>
        <v>6905.44</v>
      </c>
      <c r="Q78" s="14" t="n">
        <f aca="false">ROUND(IF(E78=0,IF((D78+N78-O78)&lt;0,ABS(D78+N78-O78),0),IF((N78-E78-O78)&lt;0,ABS(N78-E78-O78),0)),2)</f>
        <v>0</v>
      </c>
    </row>
    <row r="79" customFormat="false" ht="15" hidden="false" customHeight="true" outlineLevel="0" collapsed="false">
      <c r="A79" s="12" t="s">
        <v>233</v>
      </c>
      <c r="B79" s="12" t="str">
        <f aca="false">квітень!B79</f>
        <v>Котурга Л.Й.</v>
      </c>
      <c r="C79" s="12" t="s">
        <v>235</v>
      </c>
      <c r="D79" s="14" t="n">
        <f aca="false">квітень!P79</f>
        <v>806.88</v>
      </c>
      <c r="E79" s="14" t="n">
        <f aca="false">квітень!Q79</f>
        <v>0</v>
      </c>
      <c r="F79" s="13" t="n">
        <f aca="false">квітень!F79</f>
        <v>0</v>
      </c>
      <c r="G79" s="13" t="n">
        <f aca="false">квітень!G79</f>
        <v>49.2</v>
      </c>
      <c r="H79" s="13" t="n">
        <f aca="false">квітень!H79</f>
        <v>0</v>
      </c>
      <c r="I79" s="13" t="n">
        <f aca="false">квітень!I79</f>
        <v>4.1</v>
      </c>
      <c r="J79" s="14" t="n">
        <f aca="false">ROUND(G79*I79,2)</f>
        <v>201.72</v>
      </c>
      <c r="K79" s="14"/>
      <c r="L79" s="14"/>
      <c r="M79" s="14"/>
      <c r="N79" s="14" t="n">
        <f aca="false">ROUND((G79*I79)-K79-L79-M79,2)</f>
        <v>201.72</v>
      </c>
      <c r="O79" s="14"/>
      <c r="P79" s="14" t="n">
        <f aca="false">ROUND(IF(D79=0,IF((N79-E79-O79)&gt;0,(N79-E79-O79),0),IF((D79+N79-O79)&gt;0,(D79+N79-O79),0)),2)</f>
        <v>1008.6</v>
      </c>
      <c r="Q79" s="14" t="n">
        <f aca="false">ROUND(IF(E79=0,IF((D79+N79-O79)&lt;0,ABS(D79+N79-O79),0),IF((N79-E79-O79)&lt;0,ABS(N79-E79-O79),0)),2)</f>
        <v>0</v>
      </c>
    </row>
    <row r="80" customFormat="false" ht="15" hidden="false" customHeight="true" outlineLevel="0" collapsed="false">
      <c r="A80" s="12" t="s">
        <v>236</v>
      </c>
      <c r="B80" s="12" t="str">
        <f aca="false">квітень!B80</f>
        <v>Горова О.І.</v>
      </c>
      <c r="C80" s="12" t="s">
        <v>238</v>
      </c>
      <c r="D80" s="14" t="n">
        <f aca="false">квітень!P80</f>
        <v>1341.3</v>
      </c>
      <c r="E80" s="14" t="n">
        <f aca="false">квітень!Q80</f>
        <v>0</v>
      </c>
      <c r="F80" s="13" t="n">
        <f aca="false">квітень!F80</f>
        <v>0</v>
      </c>
      <c r="G80" s="13" t="n">
        <f aca="false">квітень!G80</f>
        <v>65.43</v>
      </c>
      <c r="H80" s="13" t="n">
        <f aca="false">квітень!H80</f>
        <v>0</v>
      </c>
      <c r="I80" s="13" t="n">
        <f aca="false">квітень!I80</f>
        <v>4.1</v>
      </c>
      <c r="J80" s="14" t="n">
        <f aca="false">ROUND(G80*I80,2)</f>
        <v>268.26</v>
      </c>
      <c r="K80" s="14"/>
      <c r="L80" s="14"/>
      <c r="M80" s="14"/>
      <c r="N80" s="14" t="n">
        <f aca="false">ROUND((G80*I80)-K80-L80-M80,2)</f>
        <v>268.26</v>
      </c>
      <c r="O80" s="14"/>
      <c r="P80" s="14" t="n">
        <f aca="false">ROUND(IF(D80=0,IF((N80-E80-O80)&gt;0,(N80-E80-O80),0),IF((D80+N80-O80)&gt;0,(D80+N80-O80),0)),2)</f>
        <v>1609.56</v>
      </c>
      <c r="Q80" s="14" t="n">
        <f aca="false">ROUND(IF(E80=0,IF((D80+N80-O80)&lt;0,ABS(D80+N80-O80),0),IF((N80-E80-O80)&lt;0,ABS(N80-E80-O80),0)),2)</f>
        <v>0</v>
      </c>
    </row>
    <row r="81" customFormat="false" ht="15" hidden="false" customHeight="true" outlineLevel="0" collapsed="false">
      <c r="A81" s="12" t="s">
        <v>239</v>
      </c>
      <c r="B81" s="12" t="str">
        <f aca="false">квітень!B81</f>
        <v>Рибакевич М.П.</v>
      </c>
      <c r="C81" s="12" t="s">
        <v>241</v>
      </c>
      <c r="D81" s="14" t="n">
        <f aca="false">квітень!P81</f>
        <v>2070.1</v>
      </c>
      <c r="E81" s="14" t="n">
        <f aca="false">квітень!Q81</f>
        <v>0</v>
      </c>
      <c r="F81" s="13" t="n">
        <f aca="false">квітень!F81</f>
        <v>0</v>
      </c>
      <c r="G81" s="13" t="n">
        <f aca="false">квітень!G81</f>
        <v>64.5</v>
      </c>
      <c r="H81" s="13" t="n">
        <f aca="false">квітень!H81</f>
        <v>0</v>
      </c>
      <c r="I81" s="13" t="n">
        <f aca="false">квітень!I81</f>
        <v>4.1</v>
      </c>
      <c r="J81" s="14" t="n">
        <f aca="false">ROUND(G81*I81,2)</f>
        <v>264.45</v>
      </c>
      <c r="K81" s="14"/>
      <c r="L81" s="14"/>
      <c r="M81" s="14"/>
      <c r="N81" s="14" t="n">
        <f aca="false">ROUND((G81*I81)-K81-L81-M81,2)</f>
        <v>264.45</v>
      </c>
      <c r="O81" s="14"/>
      <c r="P81" s="14" t="n">
        <f aca="false">ROUND(IF(D81=0,IF((N81-E81-O81)&gt;0,(N81-E81-O81),0),IF((D81+N81-O81)&gt;0,(D81+N81-O81),0)),2)</f>
        <v>2334.55</v>
      </c>
      <c r="Q81" s="14" t="n">
        <f aca="false">ROUND(IF(E81=0,IF((D81+N81-O81)&lt;0,ABS(D81+N81-O81),0),IF((N81-E81-O81)&lt;0,ABS(N81-E81-O81),0)),2)</f>
        <v>0</v>
      </c>
    </row>
    <row r="82" customFormat="false" ht="15" hidden="false" customHeight="true" outlineLevel="0" collapsed="false">
      <c r="A82" s="12" t="s">
        <v>242</v>
      </c>
      <c r="B82" s="12" t="str">
        <f aca="false">квітень!B82</f>
        <v>Башкалов В.В.</v>
      </c>
      <c r="C82" s="12" t="s">
        <v>244</v>
      </c>
      <c r="D82" s="14" t="n">
        <f aca="false">квітень!P82</f>
        <v>830.2</v>
      </c>
      <c r="E82" s="14" t="n">
        <f aca="false">квітень!Q82</f>
        <v>0</v>
      </c>
      <c r="F82" s="13" t="n">
        <f aca="false">квітень!F82</f>
        <v>0</v>
      </c>
      <c r="G82" s="13" t="n">
        <f aca="false">квітень!G82</f>
        <v>50.8</v>
      </c>
      <c r="H82" s="13" t="n">
        <f aca="false">квітень!H82</f>
        <v>0</v>
      </c>
      <c r="I82" s="13" t="n">
        <f aca="false">квітень!I82</f>
        <v>4.1</v>
      </c>
      <c r="J82" s="14" t="n">
        <f aca="false">ROUND(G82*I82,2)</f>
        <v>208.28</v>
      </c>
      <c r="K82" s="14"/>
      <c r="L82" s="14"/>
      <c r="M82" s="14"/>
      <c r="N82" s="14" t="n">
        <f aca="false">ROUND((G82*I82)-K82-L82-M82,2)</f>
        <v>208.28</v>
      </c>
      <c r="O82" s="14"/>
      <c r="P82" s="14" t="n">
        <f aca="false">ROUND(IF(D82=0,IF((N82-E82-O82)&gt;0,(N82-E82-O82),0),IF((D82+N82-O82)&gt;0,(D82+N82-O82),0)),2)</f>
        <v>1038.48</v>
      </c>
      <c r="Q82" s="14" t="n">
        <f aca="false">ROUND(IF(E82=0,IF((D82+N82-O82)&lt;0,ABS(D82+N82-O82),0),IF((N82-E82-O82)&lt;0,ABS(N82-E82-O82),0)),2)</f>
        <v>0</v>
      </c>
    </row>
    <row r="83" customFormat="false" ht="15" hidden="false" customHeight="true" outlineLevel="0" collapsed="false">
      <c r="A83" s="12" t="s">
        <v>245</v>
      </c>
      <c r="B83" s="12" t="str">
        <f aca="false">квітень!B83</f>
        <v>Тіхенко Г.Д.</v>
      </c>
      <c r="C83" s="12" t="s">
        <v>247</v>
      </c>
      <c r="D83" s="14" t="n">
        <f aca="false">квітень!P83</f>
        <v>4289.87</v>
      </c>
      <c r="E83" s="14" t="n">
        <f aca="false">квітень!Q83</f>
        <v>0</v>
      </c>
      <c r="F83" s="13" t="n">
        <f aca="false">квітень!F83</f>
        <v>0</v>
      </c>
      <c r="G83" s="13" t="n">
        <f aca="false">квітень!G83</f>
        <v>34.9</v>
      </c>
      <c r="H83" s="13" t="n">
        <f aca="false">квітень!H83</f>
        <v>0</v>
      </c>
      <c r="I83" s="13" t="n">
        <f aca="false">квітень!I83</f>
        <v>4.1</v>
      </c>
      <c r="J83" s="14" t="n">
        <f aca="false">ROUND(G83*I83,2)</f>
        <v>143.09</v>
      </c>
      <c r="K83" s="14"/>
      <c r="L83" s="14"/>
      <c r="M83" s="14"/>
      <c r="N83" s="14" t="n">
        <f aca="false">ROUND((G83*I83)-K83-L83-M83,2)</f>
        <v>143.09</v>
      </c>
      <c r="O83" s="14"/>
      <c r="P83" s="14" t="n">
        <f aca="false">ROUND(IF(D83=0,IF((N83-E83-O83)&gt;0,(N83-E83-O83),0),IF((D83+N83-O83)&gt;0,(D83+N83-O83),0)),2)</f>
        <v>4432.96</v>
      </c>
      <c r="Q83" s="14" t="n">
        <f aca="false">ROUND(IF(E83=0,IF((D83+N83-O83)&lt;0,ABS(D83+N83-O83),0),IF((N83-E83-O83)&lt;0,ABS(N83-E83-O83),0)),2)</f>
        <v>0</v>
      </c>
    </row>
    <row r="84" customFormat="false" ht="15" hidden="false" customHeight="true" outlineLevel="0" collapsed="false">
      <c r="A84" s="12" t="s">
        <v>248</v>
      </c>
      <c r="B84" s="12" t="str">
        <f aca="false">квітень!B84</f>
        <v>Головченко В.Г.</v>
      </c>
      <c r="C84" s="12" t="s">
        <v>250</v>
      </c>
      <c r="D84" s="14" t="n">
        <f aca="false">квітень!P84</f>
        <v>1000.5</v>
      </c>
      <c r="E84" s="14" t="n">
        <f aca="false">квітень!Q84</f>
        <v>0</v>
      </c>
      <c r="F84" s="13" t="n">
        <f aca="false">квітень!F84</f>
        <v>0</v>
      </c>
      <c r="G84" s="13" t="n">
        <f aca="false">квітень!G84</f>
        <v>61</v>
      </c>
      <c r="H84" s="13" t="n">
        <f aca="false">квітень!H84</f>
        <v>0</v>
      </c>
      <c r="I84" s="13" t="n">
        <f aca="false">квітень!I84</f>
        <v>4.1</v>
      </c>
      <c r="J84" s="14" t="n">
        <f aca="false">ROUND(G84*I84,2)</f>
        <v>250.1</v>
      </c>
      <c r="K84" s="14"/>
      <c r="L84" s="14"/>
      <c r="M84" s="14"/>
      <c r="N84" s="14" t="n">
        <f aca="false">ROUND((G84*I84)-K84-L84-M84,2)</f>
        <v>250.1</v>
      </c>
      <c r="O84" s="14"/>
      <c r="P84" s="14" t="n">
        <f aca="false">ROUND(IF(D84=0,IF((N84-E84-O84)&gt;0,(N84-E84-O84),0),IF((D84+N84-O84)&gt;0,(D84+N84-O84),0)),2)</f>
        <v>1250.6</v>
      </c>
      <c r="Q84" s="14" t="n">
        <f aca="false">ROUND(IF(E84=0,IF((D84+N84-O84)&lt;0,ABS(D84+N84-O84),0),IF((N84-E84-O84)&lt;0,ABS(N84-E84-O84),0)),2)</f>
        <v>0</v>
      </c>
    </row>
    <row r="85" customFormat="false" ht="15" hidden="false" customHeight="true" outlineLevel="0" collapsed="false">
      <c r="A85" s="12" t="s">
        <v>251</v>
      </c>
      <c r="B85" s="12" t="str">
        <f aca="false">квітень!B85</f>
        <v>Семанішина Є.С.</v>
      </c>
      <c r="C85" s="12" t="s">
        <v>253</v>
      </c>
      <c r="D85" s="14" t="n">
        <f aca="false">квітень!P85</f>
        <v>1458.95</v>
      </c>
      <c r="E85" s="14" t="n">
        <f aca="false">квітень!Q85</f>
        <v>0</v>
      </c>
      <c r="F85" s="13" t="n">
        <f aca="false">квітень!F85</f>
        <v>0</v>
      </c>
      <c r="G85" s="13" t="n">
        <f aca="false">квітень!G85</f>
        <v>64.5</v>
      </c>
      <c r="H85" s="13" t="n">
        <f aca="false">квітень!H85</f>
        <v>0</v>
      </c>
      <c r="I85" s="13" t="n">
        <f aca="false">квітень!I85</f>
        <v>4.1</v>
      </c>
      <c r="J85" s="14" t="n">
        <f aca="false">ROUND(G85*I85,2)</f>
        <v>264.45</v>
      </c>
      <c r="K85" s="14"/>
      <c r="L85" s="14"/>
      <c r="M85" s="14"/>
      <c r="N85" s="14" t="n">
        <f aca="false">ROUND((G85*I85)-K85-L85-M85,2)</f>
        <v>264.45</v>
      </c>
      <c r="O85" s="14"/>
      <c r="P85" s="14" t="n">
        <f aca="false">ROUND(IF(D85=0,IF((N85-E85-O85)&gt;0,(N85-E85-O85),0),IF((D85+N85-O85)&gt;0,(D85+N85-O85),0)),2)</f>
        <v>1723.4</v>
      </c>
      <c r="Q85" s="14" t="n">
        <f aca="false">ROUND(IF(E85=0,IF((D85+N85-O85)&lt;0,ABS(D85+N85-O85),0),IF((N85-E85-O85)&lt;0,ABS(N85-E85-O85),0)),2)</f>
        <v>0</v>
      </c>
    </row>
    <row r="86" customFormat="false" ht="15" hidden="false" customHeight="true" outlineLevel="0" collapsed="false">
      <c r="A86" s="12" t="s">
        <v>254</v>
      </c>
      <c r="B86" s="12" t="str">
        <f aca="false">квітень!B86</f>
        <v>Зінченко Ю.В.</v>
      </c>
      <c r="C86" s="12" t="s">
        <v>256</v>
      </c>
      <c r="D86" s="14" t="n">
        <f aca="false">квітень!P86</f>
        <v>792.78</v>
      </c>
      <c r="E86" s="14" t="n">
        <f aca="false">квітень!Q86</f>
        <v>0</v>
      </c>
      <c r="F86" s="13" t="n">
        <f aca="false">квітень!F86</f>
        <v>0</v>
      </c>
      <c r="G86" s="13" t="n">
        <f aca="false">квітень!G86</f>
        <v>49.3</v>
      </c>
      <c r="H86" s="13" t="n">
        <f aca="false">квітень!H86</f>
        <v>0</v>
      </c>
      <c r="I86" s="13" t="n">
        <f aca="false">квітень!I86</f>
        <v>4.1</v>
      </c>
      <c r="J86" s="14" t="n">
        <f aca="false">ROUND(G86*I86,2)</f>
        <v>202.13</v>
      </c>
      <c r="K86" s="14"/>
      <c r="L86" s="14"/>
      <c r="M86" s="14"/>
      <c r="N86" s="14" t="n">
        <f aca="false">ROUND((G86*I86)-K86-L86-M86,2)</f>
        <v>202.13</v>
      </c>
      <c r="O86" s="14"/>
      <c r="P86" s="14" t="n">
        <f aca="false">ROUND(IF(D86=0,IF((N86-E86-O86)&gt;0,(N86-E86-O86),0),IF((D86+N86-O86)&gt;0,(D86+N86-O86),0)),2)</f>
        <v>994.91</v>
      </c>
      <c r="Q86" s="14" t="n">
        <f aca="false">ROUND(IF(E86=0,IF((D86+N86-O86)&lt;0,ABS(D86+N86-O86),0),IF((N86-E86-O86)&lt;0,ABS(N86-E86-O86),0)),2)</f>
        <v>0</v>
      </c>
    </row>
    <row r="87" customFormat="false" ht="15" hidden="false" customHeight="true" outlineLevel="0" collapsed="false">
      <c r="A87" s="12" t="s">
        <v>257</v>
      </c>
      <c r="B87" s="12" t="str">
        <f aca="false">квітень!B87</f>
        <v>Рилова Г.П.</v>
      </c>
      <c r="C87" s="12" t="s">
        <v>259</v>
      </c>
      <c r="D87" s="14" t="n">
        <f aca="false">квітень!P87</f>
        <v>717.5</v>
      </c>
      <c r="E87" s="14" t="n">
        <f aca="false">квітень!Q87</f>
        <v>0</v>
      </c>
      <c r="F87" s="13" t="n">
        <f aca="false">квітень!F87</f>
        <v>0</v>
      </c>
      <c r="G87" s="13" t="n">
        <f aca="false">квітень!G87</f>
        <v>35</v>
      </c>
      <c r="H87" s="13" t="n">
        <f aca="false">квітень!H87</f>
        <v>0</v>
      </c>
      <c r="I87" s="13" t="n">
        <f aca="false">квітень!I87</f>
        <v>4.1</v>
      </c>
      <c r="J87" s="14" t="n">
        <f aca="false">ROUND(G87*I87,2)</f>
        <v>143.5</v>
      </c>
      <c r="K87" s="14"/>
      <c r="L87" s="14"/>
      <c r="M87" s="14"/>
      <c r="N87" s="14" t="n">
        <f aca="false">ROUND((G87*I87)-K87-L87-M87,2)</f>
        <v>143.5</v>
      </c>
      <c r="O87" s="14"/>
      <c r="P87" s="14" t="n">
        <f aca="false">ROUND(IF(D87=0,IF((N87-E87-O87)&gt;0,(N87-E87-O87),0),IF((D87+N87-O87)&gt;0,(D87+N87-O87),0)),2)</f>
        <v>861</v>
      </c>
      <c r="Q87" s="14" t="n">
        <f aca="false">ROUND(IF(E87=0,IF((D87+N87-O87)&lt;0,ABS(D87+N87-O87),0),IF((N87-E87-O87)&lt;0,ABS(N87-E87-O87),0)),2)</f>
        <v>0</v>
      </c>
    </row>
    <row r="88" customFormat="false" ht="15" hidden="false" customHeight="true" outlineLevel="0" collapsed="false">
      <c r="A88" s="12" t="s">
        <v>260</v>
      </c>
      <c r="B88" s="12" t="str">
        <f aca="false">квітень!B88</f>
        <v>Ленський І.О.</v>
      </c>
      <c r="C88" s="12" t="s">
        <v>262</v>
      </c>
      <c r="D88" s="14" t="n">
        <f aca="false">квітень!P88</f>
        <v>1266.9</v>
      </c>
      <c r="E88" s="14" t="n">
        <f aca="false">квітень!Q88</f>
        <v>0</v>
      </c>
      <c r="F88" s="13" t="n">
        <f aca="false">квітень!F88</f>
        <v>0</v>
      </c>
      <c r="G88" s="13" t="n">
        <f aca="false">квітень!G88</f>
        <v>61.8</v>
      </c>
      <c r="H88" s="13" t="n">
        <f aca="false">квітень!H88</f>
        <v>0</v>
      </c>
      <c r="I88" s="13" t="n">
        <f aca="false">квітень!I88</f>
        <v>4.1</v>
      </c>
      <c r="J88" s="14" t="n">
        <f aca="false">ROUND(G88*I88,2)</f>
        <v>253.38</v>
      </c>
      <c r="K88" s="14"/>
      <c r="L88" s="14"/>
      <c r="M88" s="14"/>
      <c r="N88" s="14" t="n">
        <f aca="false">ROUND((G88*I88)-K88-L88-M88,2)</f>
        <v>253.38</v>
      </c>
      <c r="O88" s="14"/>
      <c r="P88" s="14" t="n">
        <f aca="false">ROUND(IF(D88=0,IF((N88-E88-O88)&gt;0,(N88-E88-O88),0),IF((D88+N88-O88)&gt;0,(D88+N88-O88),0)),2)</f>
        <v>1520.28</v>
      </c>
      <c r="Q88" s="14" t="n">
        <f aca="false">ROUND(IF(E88=0,IF((D88+N88-O88)&lt;0,ABS(D88+N88-O88),0),IF((N88-E88-O88)&lt;0,ABS(N88-E88-O88),0)),2)</f>
        <v>0</v>
      </c>
    </row>
    <row r="89" customFormat="false" ht="15" hidden="false" customHeight="true" outlineLevel="0" collapsed="false">
      <c r="A89" s="12" t="s">
        <v>263</v>
      </c>
      <c r="B89" s="12" t="str">
        <f aca="false">квітень!B89</f>
        <v>Слюсар О.О.</v>
      </c>
      <c r="C89" s="12" t="s">
        <v>265</v>
      </c>
      <c r="D89" s="14" t="n">
        <f aca="false">квітень!P89</f>
        <v>13626.35</v>
      </c>
      <c r="E89" s="14" t="n">
        <f aca="false">квітень!Q89</f>
        <v>0</v>
      </c>
      <c r="F89" s="13" t="n">
        <f aca="false">квітень!F89</f>
        <v>0</v>
      </c>
      <c r="G89" s="13" t="n">
        <f aca="false">квітень!G89</f>
        <v>65.81</v>
      </c>
      <c r="H89" s="13" t="n">
        <f aca="false">квітень!H89</f>
        <v>0</v>
      </c>
      <c r="I89" s="13" t="n">
        <f aca="false">квітень!I89</f>
        <v>4.1</v>
      </c>
      <c r="J89" s="14" t="n">
        <f aca="false">ROUND(G89*I89,2)</f>
        <v>269.82</v>
      </c>
      <c r="K89" s="14"/>
      <c r="L89" s="14"/>
      <c r="M89" s="14"/>
      <c r="N89" s="14" t="n">
        <f aca="false">ROUND((G89*I89)-K89-L89-M89,2)</f>
        <v>269.82</v>
      </c>
      <c r="O89" s="14"/>
      <c r="P89" s="14" t="n">
        <f aca="false">ROUND(IF(D89=0,IF((N89-E89-O89)&gt;0,(N89-E89-O89),0),IF((D89+N89-O89)&gt;0,(D89+N89-O89),0)),2)</f>
        <v>13896.17</v>
      </c>
      <c r="Q89" s="14" t="n">
        <f aca="false">ROUND(IF(E89=0,IF((D89+N89-O89)&lt;0,ABS(D89+N89-O89),0),IF((N89-E89-O89)&lt;0,ABS(N89-E89-O89),0)),2)</f>
        <v>0</v>
      </c>
    </row>
    <row r="90" customFormat="false" ht="15" hidden="false" customHeight="true" outlineLevel="0" collapsed="false">
      <c r="A90" s="12" t="s">
        <v>266</v>
      </c>
      <c r="B90" s="12" t="str">
        <f aca="false">квітень!B90</f>
        <v>Кісельов Г.О.</v>
      </c>
      <c r="C90" s="12" t="s">
        <v>268</v>
      </c>
      <c r="D90" s="14" t="n">
        <f aca="false">квітень!P90</f>
        <v>202.39</v>
      </c>
      <c r="E90" s="14" t="n">
        <f aca="false">квітень!Q90</f>
        <v>0</v>
      </c>
      <c r="F90" s="13" t="n">
        <f aca="false">квітень!F90</f>
        <v>0</v>
      </c>
      <c r="G90" s="13" t="n">
        <f aca="false">квітень!G90</f>
        <v>49.7</v>
      </c>
      <c r="H90" s="13" t="n">
        <f aca="false">квітень!H90</f>
        <v>0</v>
      </c>
      <c r="I90" s="13" t="n">
        <f aca="false">квітень!I90</f>
        <v>4.1</v>
      </c>
      <c r="J90" s="14" t="n">
        <f aca="false">ROUND(G90*I90,2)</f>
        <v>203.77</v>
      </c>
      <c r="K90" s="14"/>
      <c r="L90" s="14"/>
      <c r="M90" s="14"/>
      <c r="N90" s="14" t="n">
        <f aca="false">ROUND((G90*I90)-K90-L90-M90,2)</f>
        <v>203.77</v>
      </c>
      <c r="O90" s="14"/>
      <c r="P90" s="14" t="n">
        <f aca="false">ROUND(IF(D90=0,IF((N90-E90-O90)&gt;0,(N90-E90-O90),0),IF((D90+N90-O90)&gt;0,(D90+N90-O90),0)),2)</f>
        <v>406.16</v>
      </c>
      <c r="Q90" s="14" t="n">
        <f aca="false">ROUND(IF(E90=0,IF((D90+N90-O90)&lt;0,ABS(D90+N90-O90),0),IF((N90-E90-O90)&lt;0,ABS(N90-E90-O90),0)),2)</f>
        <v>0</v>
      </c>
    </row>
    <row r="91" customFormat="false" ht="15" hidden="false" customHeight="true" outlineLevel="0" collapsed="false">
      <c r="A91" s="12" t="s">
        <v>269</v>
      </c>
      <c r="B91" s="12" t="str">
        <f aca="false">квітень!B91</f>
        <v>Губанова Н.С.</v>
      </c>
      <c r="C91" s="12" t="s">
        <v>271</v>
      </c>
      <c r="D91" s="14" t="n">
        <f aca="false">квітень!P91</f>
        <v>6365.25</v>
      </c>
      <c r="E91" s="14" t="n">
        <f aca="false">квітень!Q91</f>
        <v>0</v>
      </c>
      <c r="F91" s="13" t="n">
        <f aca="false">квітень!F91</f>
        <v>0</v>
      </c>
      <c r="G91" s="13" t="n">
        <f aca="false">квітень!G91</f>
        <v>34.5</v>
      </c>
      <c r="H91" s="13" t="n">
        <f aca="false">квітень!H91</f>
        <v>0</v>
      </c>
      <c r="I91" s="13" t="n">
        <f aca="false">квітень!I91</f>
        <v>4.1</v>
      </c>
      <c r="J91" s="14" t="n">
        <f aca="false">ROUND(G91*I91,2)</f>
        <v>141.45</v>
      </c>
      <c r="K91" s="14"/>
      <c r="L91" s="14"/>
      <c r="M91" s="14"/>
      <c r="N91" s="14" t="n">
        <f aca="false">ROUND((G91*I91)-K91-L91-M91,2)</f>
        <v>141.45</v>
      </c>
      <c r="O91" s="14"/>
      <c r="P91" s="14" t="n">
        <f aca="false">ROUND(IF(D91=0,IF((N91-E91-O91)&gt;0,(N91-E91-O91),0),IF((D91+N91-O91)&gt;0,(D91+N91-O91),0)),2)</f>
        <v>6506.7</v>
      </c>
      <c r="Q91" s="14" t="n">
        <f aca="false">ROUND(IF(E91=0,IF((D91+N91-O91)&lt;0,ABS(D91+N91-O91),0),IF((N91-E91-O91)&lt;0,ABS(N91-E91-O91),0)),2)</f>
        <v>0</v>
      </c>
    </row>
    <row r="92" customFormat="false" ht="15" hidden="false" customHeight="true" outlineLevel="0" collapsed="false">
      <c r="A92" s="12" t="s">
        <v>272</v>
      </c>
      <c r="B92" s="12" t="str">
        <f aca="false">квітень!B92</f>
        <v>Попова А.В.</v>
      </c>
      <c r="C92" s="12" t="s">
        <v>274</v>
      </c>
      <c r="D92" s="14" t="n">
        <f aca="false">квітень!P92</f>
        <v>4779.79</v>
      </c>
      <c r="E92" s="14" t="n">
        <f aca="false">квітень!Q92</f>
        <v>0</v>
      </c>
      <c r="F92" s="13" t="n">
        <f aca="false">квітень!F92</f>
        <v>0</v>
      </c>
      <c r="G92" s="13" t="n">
        <f aca="false">квітень!G92</f>
        <v>62.4</v>
      </c>
      <c r="H92" s="13" t="n">
        <f aca="false">квітень!H92</f>
        <v>0</v>
      </c>
      <c r="I92" s="13" t="n">
        <f aca="false">квітень!I92</f>
        <v>4.1</v>
      </c>
      <c r="J92" s="14" t="n">
        <f aca="false">ROUND(G92*I92,2)</f>
        <v>255.84</v>
      </c>
      <c r="K92" s="14"/>
      <c r="L92" s="14"/>
      <c r="M92" s="14"/>
      <c r="N92" s="14" t="n">
        <f aca="false">ROUND((G92*I92)-K92-L92-M92,2)</f>
        <v>255.84</v>
      </c>
      <c r="O92" s="14"/>
      <c r="P92" s="14" t="n">
        <f aca="false">ROUND(IF(D92=0,IF((N92-E92-O92)&gt;0,(N92-E92-O92),0),IF((D92+N92-O92)&gt;0,(D92+N92-O92),0)),2)</f>
        <v>5035.63</v>
      </c>
      <c r="Q92" s="14" t="n">
        <f aca="false">ROUND(IF(E92=0,IF((D92+N92-O92)&lt;0,ABS(D92+N92-O92),0),IF((N92-E92-O92)&lt;0,ABS(N92-E92-O92),0)),2)</f>
        <v>0</v>
      </c>
    </row>
    <row r="93" customFormat="false" ht="15" hidden="false" customHeight="true" outlineLevel="0" collapsed="false">
      <c r="A93" s="12" t="s">
        <v>275</v>
      </c>
      <c r="B93" s="12" t="str">
        <f aca="false">квітень!B93</f>
        <v>Стародубець О.К.</v>
      </c>
      <c r="C93" s="12" t="s">
        <v>277</v>
      </c>
      <c r="D93" s="14" t="n">
        <f aca="false">квітень!P93</f>
        <v>1362.45</v>
      </c>
      <c r="E93" s="14" t="n">
        <f aca="false">квітень!Q93</f>
        <v>0</v>
      </c>
      <c r="F93" s="13" t="n">
        <f aca="false">квітень!F93</f>
        <v>0</v>
      </c>
      <c r="G93" s="13" t="n">
        <f aca="false">квітень!G93</f>
        <v>66.46</v>
      </c>
      <c r="H93" s="13" t="n">
        <f aca="false">квітень!H93</f>
        <v>0</v>
      </c>
      <c r="I93" s="13" t="n">
        <f aca="false">квітень!I93</f>
        <v>4.1</v>
      </c>
      <c r="J93" s="14" t="n">
        <f aca="false">ROUND(G93*I93,2)</f>
        <v>272.49</v>
      </c>
      <c r="K93" s="14"/>
      <c r="L93" s="14"/>
      <c r="M93" s="14"/>
      <c r="N93" s="14" t="n">
        <f aca="false">ROUND((G93*I93)-K93-L93-M93,2)</f>
        <v>272.49</v>
      </c>
      <c r="O93" s="14"/>
      <c r="P93" s="14" t="n">
        <f aca="false">ROUND(IF(D93=0,IF((N93-E93-O93)&gt;0,(N93-E93-O93),0),IF((D93+N93-O93)&gt;0,(D93+N93-O93),0)),2)</f>
        <v>1634.94</v>
      </c>
      <c r="Q93" s="14" t="n">
        <f aca="false">ROUND(IF(E93=0,IF((D93+N93-O93)&lt;0,ABS(D93+N93-O93),0),IF((N93-E93-O93)&lt;0,ABS(N93-E93-O93),0)),2)</f>
        <v>0</v>
      </c>
    </row>
    <row r="94" customFormat="false" ht="15" hidden="false" customHeight="true" outlineLevel="0" collapsed="false">
      <c r="A94" s="12" t="s">
        <v>278</v>
      </c>
      <c r="B94" s="12" t="str">
        <f aca="false">квітень!B94</f>
        <v>Сакун Т.А.</v>
      </c>
      <c r="C94" s="12" t="s">
        <v>280</v>
      </c>
      <c r="D94" s="14" t="n">
        <f aca="false">квітень!P94</f>
        <v>8602.18</v>
      </c>
      <c r="E94" s="14" t="n">
        <f aca="false">квітень!Q94</f>
        <v>0</v>
      </c>
      <c r="F94" s="13" t="n">
        <f aca="false">квітень!F94</f>
        <v>0</v>
      </c>
      <c r="G94" s="13" t="n">
        <f aca="false">квітень!G94</f>
        <v>49.73</v>
      </c>
      <c r="H94" s="13" t="n">
        <f aca="false">квітень!H94</f>
        <v>0</v>
      </c>
      <c r="I94" s="13" t="n">
        <f aca="false">квітень!I94</f>
        <v>4.1</v>
      </c>
      <c r="J94" s="14" t="n">
        <f aca="false">ROUND(G94*I94,2)</f>
        <v>203.89</v>
      </c>
      <c r="K94" s="14"/>
      <c r="L94" s="14"/>
      <c r="M94" s="14"/>
      <c r="N94" s="14" t="n">
        <f aca="false">ROUND((G94*I94)-K94-L94-M94,2)</f>
        <v>203.89</v>
      </c>
      <c r="O94" s="14"/>
      <c r="P94" s="14" t="n">
        <f aca="false">ROUND(IF(D94=0,IF((N94-E94-O94)&gt;0,(N94-E94-O94),0),IF((D94+N94-O94)&gt;0,(D94+N94-O94),0)),2)</f>
        <v>8806.07</v>
      </c>
      <c r="Q94" s="14" t="n">
        <f aca="false">ROUND(IF(E94=0,IF((D94+N94-O94)&lt;0,ABS(D94+N94-O94),0),IF((N94-E94-O94)&lt;0,ABS(N94-E94-O94),0)),2)</f>
        <v>0</v>
      </c>
    </row>
    <row r="95" customFormat="false" ht="15" hidden="false" customHeight="true" outlineLevel="0" collapsed="false">
      <c r="A95" s="12" t="s">
        <v>281</v>
      </c>
      <c r="B95" s="12" t="str">
        <f aca="false">квітень!B95</f>
        <v>Фатєєв Ю.О.</v>
      </c>
      <c r="C95" s="12" t="s">
        <v>283</v>
      </c>
      <c r="D95" s="14" t="n">
        <f aca="false">квітень!P95</f>
        <v>9516.05</v>
      </c>
      <c r="E95" s="14" t="n">
        <f aca="false">квітень!Q95</f>
        <v>0</v>
      </c>
      <c r="F95" s="13" t="n">
        <f aca="false">квітень!F95</f>
        <v>0</v>
      </c>
      <c r="G95" s="13" t="n">
        <f aca="false">квітень!G95</f>
        <v>34.9</v>
      </c>
      <c r="H95" s="13" t="n">
        <f aca="false">квітень!H95</f>
        <v>0</v>
      </c>
      <c r="I95" s="13" t="n">
        <f aca="false">квітень!I95</f>
        <v>4.1</v>
      </c>
      <c r="J95" s="14" t="n">
        <f aca="false">ROUND(G95*I95,2)</f>
        <v>143.09</v>
      </c>
      <c r="K95" s="14"/>
      <c r="L95" s="14"/>
      <c r="M95" s="14"/>
      <c r="N95" s="14" t="n">
        <f aca="false">ROUND((G95*I95)-K95-L95-M95,2)</f>
        <v>143.09</v>
      </c>
      <c r="O95" s="14"/>
      <c r="P95" s="14" t="n">
        <f aca="false">ROUND(IF(D95=0,IF((N95-E95-O95)&gt;0,(N95-E95-O95),0),IF((D95+N95-O95)&gt;0,(D95+N95-O95),0)),2)</f>
        <v>9659.14</v>
      </c>
      <c r="Q95" s="14" t="n">
        <f aca="false">ROUND(IF(E95=0,IF((D95+N95-O95)&lt;0,ABS(D95+N95-O95),0),IF((N95-E95-O95)&lt;0,ABS(N95-E95-O95),0)),2)</f>
        <v>0</v>
      </c>
    </row>
    <row r="96" customFormat="false" ht="15" hidden="false" customHeight="true" outlineLevel="0" collapsed="false">
      <c r="A96" s="12" t="s">
        <v>284</v>
      </c>
      <c r="B96" s="12" t="str">
        <f aca="false">квітень!B96</f>
        <v>Лукашов Є.В.</v>
      </c>
      <c r="C96" s="12" t="s">
        <v>286</v>
      </c>
      <c r="D96" s="14" t="n">
        <f aca="false">квітень!P96</f>
        <v>14392.55</v>
      </c>
      <c r="E96" s="14" t="n">
        <f aca="false">квітень!Q96</f>
        <v>0</v>
      </c>
      <c r="F96" s="13" t="n">
        <f aca="false">квітень!F96</f>
        <v>0</v>
      </c>
      <c r="G96" s="13" t="n">
        <f aca="false">квітень!G96</f>
        <v>61.9</v>
      </c>
      <c r="H96" s="13" t="n">
        <f aca="false">квітень!H96</f>
        <v>0</v>
      </c>
      <c r="I96" s="13" t="n">
        <f aca="false">квітень!I96</f>
        <v>4.1</v>
      </c>
      <c r="J96" s="14" t="n">
        <f aca="false">ROUND(G96*I96,2)</f>
        <v>253.79</v>
      </c>
      <c r="K96" s="14"/>
      <c r="L96" s="14"/>
      <c r="M96" s="14"/>
      <c r="N96" s="14" t="n">
        <f aca="false">ROUND((G96*I96)-K96-L96-M96,2)</f>
        <v>253.79</v>
      </c>
      <c r="O96" s="14"/>
      <c r="P96" s="14" t="n">
        <f aca="false">ROUND(IF(D96=0,IF((N96-E96-O96)&gt;0,(N96-E96-O96),0),IF((D96+N96-O96)&gt;0,(D96+N96-O96),0)),2)</f>
        <v>14646.34</v>
      </c>
      <c r="Q96" s="14" t="n">
        <f aca="false">ROUND(IF(E96=0,IF((D96+N96-O96)&lt;0,ABS(D96+N96-O96),0),IF((N96-E96-O96)&lt;0,ABS(N96-E96-O96),0)),2)</f>
        <v>0</v>
      </c>
    </row>
    <row r="97" customFormat="false" ht="15" hidden="false" customHeight="true" outlineLevel="0" collapsed="false">
      <c r="A97" s="12" t="s">
        <v>287</v>
      </c>
      <c r="B97" s="12" t="str">
        <f aca="false">квітень!B97</f>
        <v>Довбета В.М.</v>
      </c>
      <c r="C97" s="12" t="s">
        <v>289</v>
      </c>
      <c r="D97" s="14" t="n">
        <f aca="false">квітень!P97</f>
        <v>798.68</v>
      </c>
      <c r="E97" s="14" t="n">
        <f aca="false">квітень!Q97</f>
        <v>0</v>
      </c>
      <c r="F97" s="13" t="n">
        <f aca="false">квітень!F97</f>
        <v>0</v>
      </c>
      <c r="G97" s="13" t="n">
        <f aca="false">квітень!G97</f>
        <v>65.3</v>
      </c>
      <c r="H97" s="13" t="n">
        <f aca="false">квітень!H97</f>
        <v>0</v>
      </c>
      <c r="I97" s="13" t="n">
        <f aca="false">квітень!I97</f>
        <v>4.1</v>
      </c>
      <c r="J97" s="14" t="n">
        <f aca="false">ROUND(G97*I97,2)</f>
        <v>267.73</v>
      </c>
      <c r="K97" s="14"/>
      <c r="L97" s="14"/>
      <c r="M97" s="14"/>
      <c r="N97" s="14" t="n">
        <f aca="false">ROUND((G97*I97)-K97-L97-M97,2)</f>
        <v>267.73</v>
      </c>
      <c r="O97" s="14"/>
      <c r="P97" s="14" t="n">
        <f aca="false">ROUND(IF(D97=0,IF((N97-E97-O97)&gt;0,(N97-E97-O97),0),IF((D97+N97-O97)&gt;0,(D97+N97-O97),0)),2)</f>
        <v>1066.41</v>
      </c>
      <c r="Q97" s="14" t="n">
        <f aca="false">ROUND(IF(E97=0,IF((D97+N97-O97)&lt;0,ABS(D97+N97-O97),0),IF((N97-E97-O97)&lt;0,ABS(N97-E97-O97),0)),2)</f>
        <v>0</v>
      </c>
    </row>
    <row r="98" customFormat="false" ht="15" hidden="false" customHeight="true" outlineLevel="0" collapsed="false">
      <c r="A98" s="12" t="s">
        <v>290</v>
      </c>
      <c r="B98" s="12" t="str">
        <f aca="false">квітень!B98</f>
        <v>Черняк К.В.</v>
      </c>
      <c r="C98" s="12" t="s">
        <v>292</v>
      </c>
      <c r="D98" s="14" t="n">
        <f aca="false">квітень!P98</f>
        <v>583.17</v>
      </c>
      <c r="E98" s="14" t="n">
        <f aca="false">квітень!Q98</f>
        <v>0</v>
      </c>
      <c r="F98" s="13" t="n">
        <f aca="false">квітень!F98</f>
        <v>0</v>
      </c>
      <c r="G98" s="13" t="n">
        <f aca="false">квітень!G98</f>
        <v>49.48</v>
      </c>
      <c r="H98" s="13" t="n">
        <f aca="false">квітень!H98</f>
        <v>0</v>
      </c>
      <c r="I98" s="13" t="n">
        <f aca="false">квітень!I98</f>
        <v>4.1</v>
      </c>
      <c r="J98" s="14" t="n">
        <f aca="false">ROUND(G98*I98,2)</f>
        <v>202.87</v>
      </c>
      <c r="K98" s="14"/>
      <c r="L98" s="14"/>
      <c r="M98" s="14"/>
      <c r="N98" s="14" t="n">
        <f aca="false">ROUND((G98*I98)-K98-L98-M98,2)</f>
        <v>202.87</v>
      </c>
      <c r="O98" s="14"/>
      <c r="P98" s="14" t="n">
        <f aca="false">ROUND(IF(D98=0,IF((N98-E98-O98)&gt;0,(N98-E98-O98),0),IF((D98+N98-O98)&gt;0,(D98+N98-O98),0)),2)</f>
        <v>786.04</v>
      </c>
      <c r="Q98" s="14" t="n">
        <f aca="false">ROUND(IF(E98=0,IF((D98+N98-O98)&lt;0,ABS(D98+N98-O98),0),IF((N98-E98-O98)&lt;0,ABS(N98-E98-O98),0)),2)</f>
        <v>0</v>
      </c>
    </row>
    <row r="99" customFormat="false" ht="15" hidden="false" customHeight="true" outlineLevel="0" collapsed="false">
      <c r="A99" s="12" t="s">
        <v>293</v>
      </c>
      <c r="B99" s="12" t="str">
        <f aca="false">квітень!B99</f>
        <v>Довбета С.П.</v>
      </c>
      <c r="C99" s="12" t="s">
        <v>295</v>
      </c>
      <c r="D99" s="14" t="n">
        <f aca="false">квітень!P99</f>
        <v>572.5</v>
      </c>
      <c r="E99" s="14" t="n">
        <f aca="false">квітень!Q99</f>
        <v>0</v>
      </c>
      <c r="F99" s="13" t="n">
        <f aca="false">квітень!F99</f>
        <v>0</v>
      </c>
      <c r="G99" s="13" t="n">
        <f aca="false">квітень!G99</f>
        <v>35.1</v>
      </c>
      <c r="H99" s="13" t="n">
        <f aca="false">квітень!H99</f>
        <v>0</v>
      </c>
      <c r="I99" s="13" t="n">
        <f aca="false">квітень!I99</f>
        <v>4.1</v>
      </c>
      <c r="J99" s="14" t="n">
        <f aca="false">ROUND(G99*I99,2)</f>
        <v>143.91</v>
      </c>
      <c r="K99" s="14"/>
      <c r="L99" s="14"/>
      <c r="M99" s="14"/>
      <c r="N99" s="14" t="n">
        <f aca="false">ROUND((G99*I99)-K99-L99-M99,2)</f>
        <v>143.91</v>
      </c>
      <c r="O99" s="14"/>
      <c r="P99" s="14" t="n">
        <f aca="false">ROUND(IF(D99=0,IF((N99-E99-O99)&gt;0,(N99-E99-O99),0),IF((D99+N99-O99)&gt;0,(D99+N99-O99),0)),2)</f>
        <v>716.41</v>
      </c>
      <c r="Q99" s="14" t="n">
        <f aca="false">ROUND(IF(E99=0,IF((D99+N99-O99)&lt;0,ABS(D99+N99-O99),0),IF((N99-E99-O99)&lt;0,ABS(N99-E99-O99),0)),2)</f>
        <v>0</v>
      </c>
    </row>
    <row r="100" customFormat="false" ht="15" hidden="false" customHeight="true" outlineLevel="0" collapsed="false">
      <c r="A100" s="12" t="s">
        <v>296</v>
      </c>
      <c r="B100" s="12" t="str">
        <f aca="false">квітень!B100</f>
        <v>Липка Г.Ю.</v>
      </c>
      <c r="C100" s="12" t="s">
        <v>298</v>
      </c>
      <c r="D100" s="14" t="n">
        <f aca="false">квітень!P100</f>
        <v>13992.48</v>
      </c>
      <c r="E100" s="14" t="n">
        <f aca="false">квітень!Q100</f>
        <v>0</v>
      </c>
      <c r="F100" s="13" t="n">
        <f aca="false">квітень!F100</f>
        <v>0</v>
      </c>
      <c r="G100" s="13" t="n">
        <f aca="false">квітень!G100</f>
        <v>63.2</v>
      </c>
      <c r="H100" s="13" t="n">
        <f aca="false">квітень!H100</f>
        <v>0</v>
      </c>
      <c r="I100" s="13" t="n">
        <f aca="false">квітень!I100</f>
        <v>4.1</v>
      </c>
      <c r="J100" s="14" t="n">
        <f aca="false">ROUND(G100*I100,2)</f>
        <v>259.12</v>
      </c>
      <c r="K100" s="14"/>
      <c r="L100" s="14"/>
      <c r="M100" s="14"/>
      <c r="N100" s="14" t="n">
        <f aca="false">ROUND((G100*I100)-K100-L100-M100,2)</f>
        <v>259.12</v>
      </c>
      <c r="O100" s="14"/>
      <c r="P100" s="14" t="n">
        <f aca="false">ROUND(IF(D100=0,IF((N100-E100-O100)&gt;0,(N100-E100-O100),0),IF((D100+N100-O100)&gt;0,(D100+N100-O100),0)),2)</f>
        <v>14251.6</v>
      </c>
      <c r="Q100" s="14" t="n">
        <f aca="false">ROUND(IF(E100=0,IF((D100+N100-O100)&lt;0,ABS(D100+N100-O100),0),IF((N100-E100-O100)&lt;0,ABS(N100-E100-O100),0)),2)</f>
        <v>0</v>
      </c>
    </row>
    <row r="101" customFormat="false" ht="15" hidden="false" customHeight="true" outlineLevel="0" collapsed="false">
      <c r="A101" s="12" t="s">
        <v>299</v>
      </c>
      <c r="B101" s="12" t="str">
        <f aca="false">квітень!B101</f>
        <v>Утьосов Д.М.</v>
      </c>
      <c r="C101" s="12" t="s">
        <v>301</v>
      </c>
      <c r="D101" s="14" t="n">
        <f aca="false">квітень!P101</f>
        <v>8478.88</v>
      </c>
      <c r="E101" s="14" t="n">
        <f aca="false">квітень!Q101</f>
        <v>0</v>
      </c>
      <c r="F101" s="13" t="n">
        <f aca="false">квітень!F101</f>
        <v>0</v>
      </c>
      <c r="G101" s="13" t="n">
        <f aca="false">квітень!G101</f>
        <v>66.1</v>
      </c>
      <c r="H101" s="13" t="n">
        <f aca="false">квітень!H101</f>
        <v>0</v>
      </c>
      <c r="I101" s="13" t="n">
        <f aca="false">квітень!I101</f>
        <v>4.1</v>
      </c>
      <c r="J101" s="14" t="n">
        <f aca="false">ROUND(G101*I101,2)</f>
        <v>271.01</v>
      </c>
      <c r="K101" s="14"/>
      <c r="L101" s="14"/>
      <c r="M101" s="14"/>
      <c r="N101" s="14" t="n">
        <f aca="false">ROUND((G101*I101)-K101-L101-M101,2)</f>
        <v>271.01</v>
      </c>
      <c r="O101" s="14"/>
      <c r="P101" s="14" t="n">
        <f aca="false">ROUND(IF(D101=0,IF((N101-E101-O101)&gt;0,(N101-E101-O101),0),IF((D101+N101-O101)&gt;0,(D101+N101-O101),0)),2)</f>
        <v>8749.89</v>
      </c>
      <c r="Q101" s="14" t="n">
        <f aca="false">ROUND(IF(E101=0,IF((D101+N101-O101)&lt;0,ABS(D101+N101-O101),0),IF((N101-E101-O101)&lt;0,ABS(N101-E101-O101),0)),2)</f>
        <v>0</v>
      </c>
    </row>
    <row r="102" customFormat="false" ht="15" hidden="false" customHeight="true" outlineLevel="0" collapsed="false">
      <c r="A102" s="12" t="s">
        <v>302</v>
      </c>
      <c r="B102" s="12" t="str">
        <f aca="false">квітень!B102</f>
        <v>Стеценко Д.М.</v>
      </c>
      <c r="C102" s="12" t="s">
        <v>304</v>
      </c>
      <c r="D102" s="14" t="n">
        <f aca="false">квітень!P102</f>
        <v>8167.27</v>
      </c>
      <c r="E102" s="14" t="n">
        <f aca="false">квітень!Q102</f>
        <v>0</v>
      </c>
      <c r="F102" s="13" t="n">
        <f aca="false">квітень!F102</f>
        <v>0</v>
      </c>
      <c r="G102" s="13" t="n">
        <f aca="false">квітень!G102</f>
        <v>49.8</v>
      </c>
      <c r="H102" s="13" t="n">
        <f aca="false">квітень!H102</f>
        <v>0</v>
      </c>
      <c r="I102" s="13" t="n">
        <f aca="false">квітень!I102</f>
        <v>4.1</v>
      </c>
      <c r="J102" s="14" t="n">
        <f aca="false">ROUND(G102*I102,2)</f>
        <v>204.18</v>
      </c>
      <c r="K102" s="14"/>
      <c r="L102" s="14"/>
      <c r="M102" s="14"/>
      <c r="N102" s="14" t="n">
        <f aca="false">ROUND((G102*I102)-K102-L102-M102,2)</f>
        <v>204.18</v>
      </c>
      <c r="O102" s="14"/>
      <c r="P102" s="14" t="n">
        <f aca="false">ROUND(IF(D102=0,IF((N102-E102-O102)&gt;0,(N102-E102-O102),0),IF((D102+N102-O102)&gt;0,(D102+N102-O102),0)),2)</f>
        <v>8371.45</v>
      </c>
      <c r="Q102" s="14" t="n">
        <f aca="false">ROUND(IF(E102=0,IF((D102+N102-O102)&lt;0,ABS(D102+N102-O102),0),IF((N102-E102-O102)&lt;0,ABS(N102-E102-O102),0)),2)</f>
        <v>0</v>
      </c>
    </row>
    <row r="103" customFormat="false" ht="15" hidden="false" customHeight="true" outlineLevel="0" collapsed="false">
      <c r="A103" s="12" t="s">
        <v>305</v>
      </c>
      <c r="B103" s="12" t="str">
        <f aca="false">квітень!B103</f>
        <v>Задніпряна О.М.</v>
      </c>
      <c r="C103" s="12" t="s">
        <v>307</v>
      </c>
      <c r="D103" s="14" t="n">
        <f aca="false">квітень!P103</f>
        <v>6810.88</v>
      </c>
      <c r="E103" s="14" t="n">
        <f aca="false">квітень!Q103</f>
        <v>0</v>
      </c>
      <c r="F103" s="13" t="n">
        <f aca="false">квітень!F103</f>
        <v>0</v>
      </c>
      <c r="G103" s="13" t="n">
        <f aca="false">квітень!G103</f>
        <v>34.6</v>
      </c>
      <c r="H103" s="13" t="n">
        <f aca="false">квітень!H103</f>
        <v>0</v>
      </c>
      <c r="I103" s="13" t="n">
        <f aca="false">квітень!I103</f>
        <v>4.1</v>
      </c>
      <c r="J103" s="14" t="n">
        <f aca="false">ROUND(G103*I103,2)</f>
        <v>141.86</v>
      </c>
      <c r="K103" s="14"/>
      <c r="L103" s="14"/>
      <c r="M103" s="14"/>
      <c r="N103" s="14" t="n">
        <f aca="false">ROUND((G103*I103)-K103-L103-M103,2)</f>
        <v>141.86</v>
      </c>
      <c r="O103" s="14"/>
      <c r="P103" s="14" t="n">
        <f aca="false">ROUND(IF(D103=0,IF((N103-E103-O103)&gt;0,(N103-E103-O103),0),IF((D103+N103-O103)&gt;0,(D103+N103-O103),0)),2)</f>
        <v>6952.74</v>
      </c>
      <c r="Q103" s="14" t="n">
        <f aca="false">ROUND(IF(E103=0,IF((D103+N103-O103)&lt;0,ABS(D103+N103-O103),0),IF((N103-E103-O103)&lt;0,ABS(N103-E103-O103),0)),2)</f>
        <v>0</v>
      </c>
    </row>
    <row r="104" customFormat="false" ht="15" hidden="false" customHeight="true" outlineLevel="0" collapsed="false">
      <c r="A104" s="12" t="s">
        <v>308</v>
      </c>
      <c r="B104" s="12" t="str">
        <f aca="false">квітень!B104</f>
        <v>Геращенко М.Д.</v>
      </c>
      <c r="C104" s="12" t="s">
        <v>310</v>
      </c>
      <c r="D104" s="14" t="n">
        <f aca="false">квітень!P104</f>
        <v>1026.64</v>
      </c>
      <c r="E104" s="14" t="n">
        <f aca="false">квітень!Q104</f>
        <v>0</v>
      </c>
      <c r="F104" s="13" t="n">
        <f aca="false">квітень!F104</f>
        <v>0</v>
      </c>
      <c r="G104" s="13" t="n">
        <f aca="false">квітень!G104</f>
        <v>62.6</v>
      </c>
      <c r="H104" s="13" t="n">
        <f aca="false">квітень!H104</f>
        <v>0</v>
      </c>
      <c r="I104" s="13" t="n">
        <f aca="false">квітень!I104</f>
        <v>4.1</v>
      </c>
      <c r="J104" s="14" t="n">
        <f aca="false">ROUND(G104*I104,2)</f>
        <v>256.66</v>
      </c>
      <c r="K104" s="14"/>
      <c r="L104" s="14"/>
      <c r="M104" s="14"/>
      <c r="N104" s="14" t="n">
        <f aca="false">ROUND((G104*I104)-K104-L104-M104,2)</f>
        <v>256.66</v>
      </c>
      <c r="O104" s="14"/>
      <c r="P104" s="14" t="n">
        <f aca="false">ROUND(IF(D104=0,IF((N104-E104-O104)&gt;0,(N104-E104-O104),0),IF((D104+N104-O104)&gt;0,(D104+N104-O104),0)),2)</f>
        <v>1283.3</v>
      </c>
      <c r="Q104" s="14" t="n">
        <f aca="false">ROUND(IF(E104=0,IF((D104+N104-O104)&lt;0,ABS(D104+N104-O104),0),IF((N104-E104-O104)&lt;0,ABS(N104-E104-O104),0)),2)</f>
        <v>0</v>
      </c>
    </row>
    <row r="105" customFormat="false" ht="15" hidden="false" customHeight="true" outlineLevel="0" collapsed="false">
      <c r="A105" s="12" t="s">
        <v>311</v>
      </c>
      <c r="B105" s="12" t="str">
        <f aca="false">квітень!B105</f>
        <v>Горб В.М.</v>
      </c>
      <c r="C105" s="12" t="s">
        <v>313</v>
      </c>
      <c r="D105" s="14" t="n">
        <f aca="false">квітень!P105</f>
        <v>12363.95</v>
      </c>
      <c r="E105" s="14" t="n">
        <f aca="false">квітень!Q105</f>
        <v>0</v>
      </c>
      <c r="F105" s="13" t="n">
        <f aca="false">квітень!F105</f>
        <v>0</v>
      </c>
      <c r="G105" s="13" t="n">
        <f aca="false">квітень!G105</f>
        <v>65.57</v>
      </c>
      <c r="H105" s="13" t="n">
        <f aca="false">квітень!H105</f>
        <v>0</v>
      </c>
      <c r="I105" s="13" t="n">
        <f aca="false">квітень!I105</f>
        <v>4.1</v>
      </c>
      <c r="J105" s="14" t="n">
        <f aca="false">ROUND(G105*I105,2)</f>
        <v>268.84</v>
      </c>
      <c r="K105" s="14"/>
      <c r="L105" s="14"/>
      <c r="M105" s="14"/>
      <c r="N105" s="14" t="n">
        <f aca="false">ROUND((G105*I105)-K105-L105-M105,2)</f>
        <v>268.84</v>
      </c>
      <c r="O105" s="14"/>
      <c r="P105" s="14" t="n">
        <f aca="false">ROUND(IF(D105=0,IF((N105-E105-O105)&gt;0,(N105-E105-O105),0),IF((D105+N105-O105)&gt;0,(D105+N105-O105),0)),2)</f>
        <v>12632.79</v>
      </c>
      <c r="Q105" s="14" t="n">
        <f aca="false">ROUND(IF(E105=0,IF((D105+N105-O105)&lt;0,ABS(D105+N105-O105),0),IF((N105-E105-O105)&lt;0,ABS(N105-E105-O105),0)),2)</f>
        <v>0</v>
      </c>
    </row>
    <row r="106" customFormat="false" ht="15" hidden="false" customHeight="true" outlineLevel="0" collapsed="false">
      <c r="A106" s="12" t="s">
        <v>314</v>
      </c>
      <c r="B106" s="12" t="str">
        <f aca="false">квітень!B106</f>
        <v>Нойок Г.К.</v>
      </c>
      <c r="C106" s="12" t="s">
        <v>316</v>
      </c>
      <c r="D106" s="14" t="n">
        <f aca="false">квітень!P106</f>
        <v>8180.87</v>
      </c>
      <c r="E106" s="14" t="n">
        <f aca="false">квітень!Q106</f>
        <v>0</v>
      </c>
      <c r="F106" s="13" t="n">
        <f aca="false">квітень!F106</f>
        <v>0</v>
      </c>
      <c r="G106" s="13" t="n">
        <f aca="false">квітень!G106</f>
        <v>49.8</v>
      </c>
      <c r="H106" s="13" t="n">
        <f aca="false">квітень!H106</f>
        <v>0</v>
      </c>
      <c r="I106" s="13" t="n">
        <f aca="false">квітень!I106</f>
        <v>4.1</v>
      </c>
      <c r="J106" s="14" t="n">
        <f aca="false">ROUND(G106*I106,2)</f>
        <v>204.18</v>
      </c>
      <c r="K106" s="14"/>
      <c r="L106" s="14"/>
      <c r="M106" s="14"/>
      <c r="N106" s="14" t="n">
        <f aca="false">ROUND((G106*I106)-K106-L106-M106,2)</f>
        <v>204.18</v>
      </c>
      <c r="O106" s="14"/>
      <c r="P106" s="14" t="n">
        <f aca="false">ROUND(IF(D106=0,IF((N106-E106-O106)&gt;0,(N106-E106-O106),0),IF((D106+N106-O106)&gt;0,(D106+N106-O106),0)),2)</f>
        <v>8385.05</v>
      </c>
      <c r="Q106" s="14" t="n">
        <f aca="false">ROUND(IF(E106=0,IF((D106+N106-O106)&lt;0,ABS(D106+N106-O106),0),IF((N106-E106-O106)&lt;0,ABS(N106-E106-O106),0)),2)</f>
        <v>0</v>
      </c>
    </row>
    <row r="107" customFormat="false" ht="15" hidden="false" customHeight="true" outlineLevel="0" collapsed="false">
      <c r="A107" s="12" t="s">
        <v>317</v>
      </c>
      <c r="B107" s="12" t="str">
        <f aca="false">квітень!B107</f>
        <v>Сафонова О.В.</v>
      </c>
      <c r="C107" s="12" t="s">
        <v>319</v>
      </c>
      <c r="D107" s="14" t="n">
        <f aca="false">квітень!P107</f>
        <v>6536.32</v>
      </c>
      <c r="E107" s="14" t="n">
        <f aca="false">квітень!Q107</f>
        <v>0</v>
      </c>
      <c r="F107" s="13" t="n">
        <f aca="false">квітень!F107</f>
        <v>0</v>
      </c>
      <c r="G107" s="13" t="n">
        <f aca="false">квітень!G107</f>
        <v>34.9</v>
      </c>
      <c r="H107" s="13" t="n">
        <f aca="false">квітень!H107</f>
        <v>0</v>
      </c>
      <c r="I107" s="13" t="n">
        <f aca="false">квітень!I107</f>
        <v>4.1</v>
      </c>
      <c r="J107" s="14" t="n">
        <f aca="false">ROUND(G107*I107,2)</f>
        <v>143.09</v>
      </c>
      <c r="K107" s="14"/>
      <c r="L107" s="14"/>
      <c r="M107" s="14"/>
      <c r="N107" s="14" t="n">
        <f aca="false">ROUND((G107*I107)-K107-L107-M107,2)</f>
        <v>143.09</v>
      </c>
      <c r="O107" s="14"/>
      <c r="P107" s="14" t="n">
        <f aca="false">ROUND(IF(D107=0,IF((N107-E107-O107)&gt;0,(N107-E107-O107),0),IF((D107+N107-O107)&gt;0,(D107+N107-O107),0)),2)</f>
        <v>6679.41</v>
      </c>
      <c r="Q107" s="14" t="n">
        <f aca="false">ROUND(IF(E107=0,IF((D107+N107-O107)&lt;0,ABS(D107+N107-O107),0),IF((N107-E107-O107)&lt;0,ABS(N107-E107-O107),0)),2)</f>
        <v>0</v>
      </c>
    </row>
    <row r="108" customFormat="false" ht="15" hidden="false" customHeight="true" outlineLevel="0" collapsed="false">
      <c r="A108" s="12" t="s">
        <v>320</v>
      </c>
      <c r="B108" s="12" t="str">
        <f aca="false">квітень!B108</f>
        <v>Вінарська Н.П.</v>
      </c>
      <c r="C108" s="12" t="s">
        <v>322</v>
      </c>
      <c r="D108" s="14" t="n">
        <f aca="false">квітень!P108</f>
        <v>13126.64</v>
      </c>
      <c r="E108" s="14" t="n">
        <f aca="false">квітень!Q108</f>
        <v>0</v>
      </c>
      <c r="F108" s="13" t="n">
        <f aca="false">квітень!F108</f>
        <v>0</v>
      </c>
      <c r="G108" s="13" t="n">
        <f aca="false">квітень!G108</f>
        <v>62.78</v>
      </c>
      <c r="H108" s="13" t="n">
        <f aca="false">квітень!H108</f>
        <v>0</v>
      </c>
      <c r="I108" s="13" t="n">
        <f aca="false">квітень!I108</f>
        <v>4.1</v>
      </c>
      <c r="J108" s="14" t="n">
        <f aca="false">ROUND(G108*I108,2)</f>
        <v>257.4</v>
      </c>
      <c r="K108" s="14"/>
      <c r="L108" s="14"/>
      <c r="M108" s="14"/>
      <c r="N108" s="14" t="n">
        <f aca="false">ROUND((G108*I108)-K108-L108-M108,2)</f>
        <v>257.4</v>
      </c>
      <c r="O108" s="14"/>
      <c r="P108" s="14" t="n">
        <f aca="false">ROUND(IF(D108=0,IF((N108-E108-O108)&gt;0,(N108-E108-O108),0),IF((D108+N108-O108)&gt;0,(D108+N108-O108),0)),2)</f>
        <v>13384.04</v>
      </c>
      <c r="Q108" s="14" t="n">
        <f aca="false">ROUND(IF(E108=0,IF((D108+N108-O108)&lt;0,ABS(D108+N108-O108),0),IF((N108-E108-O108)&lt;0,ABS(N108-E108-O108),0)),2)</f>
        <v>0</v>
      </c>
    </row>
    <row r="109" customFormat="false" ht="15" hidden="false" customHeight="true" outlineLevel="0" collapsed="false">
      <c r="A109" s="12" t="s">
        <v>323</v>
      </c>
      <c r="B109" s="12" t="str">
        <f aca="false">квітень!B109</f>
        <v>Чернова Н.І.</v>
      </c>
      <c r="C109" s="12" t="s">
        <v>325</v>
      </c>
      <c r="D109" s="14" t="n">
        <f aca="false">квітень!P109</f>
        <v>13780.36</v>
      </c>
      <c r="E109" s="14" t="n">
        <f aca="false">квітень!Q109</f>
        <v>0</v>
      </c>
      <c r="F109" s="13" t="n">
        <f aca="false">квітень!F109</f>
        <v>0</v>
      </c>
      <c r="G109" s="13" t="n">
        <f aca="false">квітень!G109</f>
        <v>66.29</v>
      </c>
      <c r="H109" s="13" t="n">
        <f aca="false">квітень!H109</f>
        <v>0</v>
      </c>
      <c r="I109" s="13" t="n">
        <f aca="false">квітень!I109</f>
        <v>4.1</v>
      </c>
      <c r="J109" s="14" t="n">
        <f aca="false">ROUND(G109*I109,2)</f>
        <v>271.79</v>
      </c>
      <c r="K109" s="14"/>
      <c r="L109" s="14"/>
      <c r="M109" s="14"/>
      <c r="N109" s="14" t="n">
        <f aca="false">ROUND((G109*I109)-K109-L109-M109,2)</f>
        <v>271.79</v>
      </c>
      <c r="O109" s="14"/>
      <c r="P109" s="14" t="n">
        <f aca="false">ROUND(IF(D109=0,IF((N109-E109-O109)&gt;0,(N109-E109-O109),0),IF((D109+N109-O109)&gt;0,(D109+N109-O109),0)),2)</f>
        <v>14052.15</v>
      </c>
      <c r="Q109" s="14" t="n">
        <f aca="false">ROUND(IF(E109=0,IF((D109+N109-O109)&lt;0,ABS(D109+N109-O109),0),IF((N109-E109-O109)&lt;0,ABS(N109-E109-O109),0)),2)</f>
        <v>0</v>
      </c>
    </row>
    <row r="110" customFormat="false" ht="15" hidden="false" customHeight="true" outlineLevel="0" collapsed="false">
      <c r="A110" s="12" t="s">
        <v>326</v>
      </c>
      <c r="B110" s="12" t="str">
        <f aca="false">квітень!B110</f>
        <v>Кошева Н.П</v>
      </c>
      <c r="C110" s="12" t="s">
        <v>328</v>
      </c>
      <c r="D110" s="14" t="n">
        <f aca="false">квітень!P110</f>
        <v>10069</v>
      </c>
      <c r="E110" s="14" t="n">
        <f aca="false">квітень!Q110</f>
        <v>0</v>
      </c>
      <c r="F110" s="13" t="n">
        <f aca="false">квітень!F110</f>
        <v>0</v>
      </c>
      <c r="G110" s="13" t="n">
        <f aca="false">квітень!G110</f>
        <v>50</v>
      </c>
      <c r="H110" s="13" t="n">
        <f aca="false">квітень!H110</f>
        <v>0</v>
      </c>
      <c r="I110" s="13" t="n">
        <f aca="false">квітень!I110</f>
        <v>4.1</v>
      </c>
      <c r="J110" s="14" t="n">
        <f aca="false">ROUND(G110*I110,2)</f>
        <v>205</v>
      </c>
      <c r="K110" s="14"/>
      <c r="L110" s="14"/>
      <c r="M110" s="14"/>
      <c r="N110" s="14" t="n">
        <f aca="false">ROUND((G110*I110)-K110-L110-M110,2)</f>
        <v>205</v>
      </c>
      <c r="O110" s="14"/>
      <c r="P110" s="14" t="n">
        <f aca="false">ROUND(IF(D110=0,IF((N110-E110-O110)&gt;0,(N110-E110-O110),0),IF((D110+N110-O110)&gt;0,(D110+N110-O110),0)),2)</f>
        <v>10274</v>
      </c>
      <c r="Q110" s="14" t="n">
        <f aca="false">ROUND(IF(E110=0,IF((D110+N110-O110)&lt;0,ABS(D110+N110-O110),0),IF((N110-E110-O110)&lt;0,ABS(N110-E110-O110),0)),2)</f>
        <v>0</v>
      </c>
    </row>
    <row r="111" customFormat="false" ht="15" hidden="false" customHeight="true" outlineLevel="0" collapsed="false">
      <c r="A111" s="12" t="s">
        <v>329</v>
      </c>
      <c r="B111" s="12" t="str">
        <f aca="false">квітень!B111</f>
        <v>Уривський Д.Б.</v>
      </c>
      <c r="C111" s="12" t="s">
        <v>331</v>
      </c>
      <c r="D111" s="14" t="n">
        <f aca="false">квітень!P111</f>
        <v>7395.09</v>
      </c>
      <c r="E111" s="14" t="n">
        <f aca="false">квітень!Q111</f>
        <v>0</v>
      </c>
      <c r="F111" s="13" t="n">
        <f aca="false">квітень!F111</f>
        <v>0</v>
      </c>
      <c r="G111" s="13" t="n">
        <f aca="false">квітень!G111</f>
        <v>35</v>
      </c>
      <c r="H111" s="13" t="n">
        <f aca="false">квітень!H111</f>
        <v>0</v>
      </c>
      <c r="I111" s="13" t="n">
        <f aca="false">квітень!I111</f>
        <v>4.1</v>
      </c>
      <c r="J111" s="14" t="n">
        <f aca="false">ROUND(G111*I111,2)</f>
        <v>143.5</v>
      </c>
      <c r="K111" s="14"/>
      <c r="L111" s="14"/>
      <c r="M111" s="14"/>
      <c r="N111" s="14" t="n">
        <f aca="false">ROUND((G111*I111)-K111-L111-M111,2)</f>
        <v>143.5</v>
      </c>
      <c r="O111" s="14"/>
      <c r="P111" s="14" t="n">
        <f aca="false">ROUND(IF(D111=0,IF((N111-E111-O111)&gt;0,(N111-E111-O111),0),IF((D111+N111-O111)&gt;0,(D111+N111-O111),0)),2)</f>
        <v>7538.59</v>
      </c>
      <c r="Q111" s="14" t="n">
        <f aca="false">ROUND(IF(E111=0,IF((D111+N111-O111)&lt;0,ABS(D111+N111-O111),0),IF((N111-E111-O111)&lt;0,ABS(N111-E111-O111),0)),2)</f>
        <v>0</v>
      </c>
    </row>
    <row r="112" customFormat="false" ht="15" hidden="false" customHeight="true" outlineLevel="0" collapsed="false">
      <c r="A112" s="12" t="s">
        <v>332</v>
      </c>
      <c r="B112" s="12" t="str">
        <f aca="false">квітень!B112</f>
        <v>АДПСУ (Чорноморець В.М.)</v>
      </c>
      <c r="C112" s="12" t="s">
        <v>334</v>
      </c>
      <c r="D112" s="14" t="n">
        <f aca="false">квітень!P112</f>
        <v>4008.16</v>
      </c>
      <c r="E112" s="14" t="n">
        <f aca="false">квітень!Q112</f>
        <v>0</v>
      </c>
      <c r="F112" s="13" t="n">
        <f aca="false">квітень!F112</f>
        <v>0</v>
      </c>
      <c r="G112" s="13" t="n">
        <f aca="false">квітень!G112</f>
        <v>61.1</v>
      </c>
      <c r="H112" s="13" t="n">
        <f aca="false">квітень!H112</f>
        <v>0</v>
      </c>
      <c r="I112" s="13" t="n">
        <f aca="false">квітень!I112</f>
        <v>4.1</v>
      </c>
      <c r="J112" s="14" t="n">
        <f aca="false">ROUND(G112*I112,2)</f>
        <v>250.51</v>
      </c>
      <c r="K112" s="14"/>
      <c r="L112" s="14"/>
      <c r="M112" s="14"/>
      <c r="N112" s="14" t="n">
        <f aca="false">ROUND((G112*I112)-K112-L112-M112,2)</f>
        <v>250.51</v>
      </c>
      <c r="O112" s="14"/>
      <c r="P112" s="14" t="n">
        <f aca="false">ROUND(IF(D112=0,IF((N112-E112-O112)&gt;0,(N112-E112-O112),0),IF((D112+N112-O112)&gt;0,(D112+N112-O112),0)),2)</f>
        <v>4258.67</v>
      </c>
      <c r="Q112" s="14" t="n">
        <f aca="false">ROUND(IF(E112=0,IF((D112+N112-O112)&lt;0,ABS(D112+N112-O112),0),IF((N112-E112-O112)&lt;0,ABS(N112-E112-O112),0)),2)</f>
        <v>0</v>
      </c>
    </row>
    <row r="113" customFormat="false" ht="15" hidden="false" customHeight="true" outlineLevel="0" collapsed="false">
      <c r="A113" s="12" t="s">
        <v>335</v>
      </c>
      <c r="B113" s="12" t="str">
        <f aca="false">квітень!B113</f>
        <v>Дмитренко Г.В.</v>
      </c>
      <c r="C113" s="12" t="s">
        <v>337</v>
      </c>
      <c r="D113" s="14" t="n">
        <f aca="false">квітень!P113</f>
        <v>12549.97</v>
      </c>
      <c r="E113" s="14" t="n">
        <f aca="false">квітень!Q113</f>
        <v>0</v>
      </c>
      <c r="F113" s="13" t="n">
        <f aca="false">квітень!F113</f>
        <v>0</v>
      </c>
      <c r="G113" s="13" t="n">
        <f aca="false">квітень!G113</f>
        <v>64.89</v>
      </c>
      <c r="H113" s="13" t="n">
        <f aca="false">квітень!H113</f>
        <v>0</v>
      </c>
      <c r="I113" s="13" t="n">
        <f aca="false">квітень!I113</f>
        <v>4.1</v>
      </c>
      <c r="J113" s="14" t="n">
        <f aca="false">ROUND(G113*I113,2)</f>
        <v>266.05</v>
      </c>
      <c r="K113" s="14"/>
      <c r="L113" s="14"/>
      <c r="M113" s="14"/>
      <c r="N113" s="14" t="n">
        <f aca="false">ROUND((G113*I113)-K113-L113-M113,2)</f>
        <v>266.05</v>
      </c>
      <c r="O113" s="14"/>
      <c r="P113" s="14" t="n">
        <f aca="false">ROUND(IF(D113=0,IF((N113-E113-O113)&gt;0,(N113-E113-O113),0),IF((D113+N113-O113)&gt;0,(D113+N113-O113),0)),2)</f>
        <v>12816.02</v>
      </c>
      <c r="Q113" s="14" t="n">
        <f aca="false">ROUND(IF(E113=0,IF((D113+N113-O113)&lt;0,ABS(D113+N113-O113),0),IF((N113-E113-O113)&lt;0,ABS(N113-E113-O113),0)),2)</f>
        <v>0</v>
      </c>
    </row>
    <row r="114" customFormat="false" ht="15" hidden="false" customHeight="true" outlineLevel="0" collapsed="false">
      <c r="A114" s="12" t="s">
        <v>338</v>
      </c>
      <c r="B114" s="12" t="str">
        <f aca="false">квітень!B114</f>
        <v>Номерова Т.В.</v>
      </c>
      <c r="C114" s="12" t="s">
        <v>340</v>
      </c>
      <c r="D114" s="14" t="n">
        <f aca="false">квітень!P114</f>
        <v>614.36</v>
      </c>
      <c r="E114" s="14" t="n">
        <f aca="false">квітень!Q114</f>
        <v>0</v>
      </c>
      <c r="F114" s="13" t="n">
        <f aca="false">квітень!F114</f>
        <v>0</v>
      </c>
      <c r="G114" s="13" t="n">
        <f aca="false">квітень!G114</f>
        <v>49.96</v>
      </c>
      <c r="H114" s="13" t="n">
        <f aca="false">квітень!H114</f>
        <v>0</v>
      </c>
      <c r="I114" s="13" t="n">
        <f aca="false">квітень!I114</f>
        <v>4.1</v>
      </c>
      <c r="J114" s="14" t="n">
        <f aca="false">ROUND(G114*I114,2)</f>
        <v>204.84</v>
      </c>
      <c r="K114" s="14"/>
      <c r="L114" s="14"/>
      <c r="M114" s="14"/>
      <c r="N114" s="14" t="n">
        <f aca="false">ROUND((G114*I114)-K114-L114-M114,2)</f>
        <v>204.84</v>
      </c>
      <c r="O114" s="14"/>
      <c r="P114" s="14" t="n">
        <f aca="false">ROUND(IF(D114=0,IF((N114-E114-O114)&gt;0,(N114-E114-O114),0),IF((D114+N114-O114)&gt;0,(D114+N114-O114),0)),2)</f>
        <v>819.2</v>
      </c>
      <c r="Q114" s="14" t="n">
        <f aca="false">ROUND(IF(E114=0,IF((D114+N114-O114)&lt;0,ABS(D114+N114-O114),0),IF((N114-E114-O114)&lt;0,ABS(N114-E114-O114),0)),2)</f>
        <v>0</v>
      </c>
    </row>
    <row r="115" customFormat="false" ht="15" hidden="false" customHeight="true" outlineLevel="0" collapsed="false">
      <c r="A115" s="12" t="s">
        <v>341</v>
      </c>
      <c r="B115" s="12" t="str">
        <f aca="false">квітень!B115</f>
        <v>Самойлова О.В.</v>
      </c>
      <c r="C115" s="12" t="s">
        <v>343</v>
      </c>
      <c r="D115" s="14" t="n">
        <f aca="false">квітень!P115</f>
        <v>565.8</v>
      </c>
      <c r="E115" s="14" t="n">
        <f aca="false">квітень!Q115</f>
        <v>0</v>
      </c>
      <c r="F115" s="13" t="n">
        <f aca="false">квітень!F115</f>
        <v>0</v>
      </c>
      <c r="G115" s="13" t="n">
        <f aca="false">квітень!G115</f>
        <v>34.5</v>
      </c>
      <c r="H115" s="13" t="n">
        <f aca="false">квітень!H115</f>
        <v>0</v>
      </c>
      <c r="I115" s="13" t="n">
        <f aca="false">квітень!I115</f>
        <v>4.1</v>
      </c>
      <c r="J115" s="14" t="n">
        <f aca="false">ROUND(G115*I115,2)</f>
        <v>141.45</v>
      </c>
      <c r="K115" s="14"/>
      <c r="L115" s="14"/>
      <c r="M115" s="14"/>
      <c r="N115" s="14" t="n">
        <f aca="false">ROUND((G115*I115)-K115-L115-M115,2)</f>
        <v>141.45</v>
      </c>
      <c r="O115" s="14"/>
      <c r="P115" s="14" t="n">
        <f aca="false">ROUND(IF(D115=0,IF((N115-E115-O115)&gt;0,(N115-E115-O115),0),IF((D115+N115-O115)&gt;0,(D115+N115-O115),0)),2)</f>
        <v>707.25</v>
      </c>
      <c r="Q115" s="14" t="n">
        <f aca="false">ROUND(IF(E115=0,IF((D115+N115-O115)&lt;0,ABS(D115+N115-O115),0),IF((N115-E115-O115)&lt;0,ABS(N115-E115-O115),0)),2)</f>
        <v>0</v>
      </c>
    </row>
    <row r="116" customFormat="false" ht="15" hidden="false" customHeight="true" outlineLevel="0" collapsed="false">
      <c r="A116" s="12" t="s">
        <v>344</v>
      </c>
      <c r="B116" s="12" t="str">
        <f aca="false">квітень!B116</f>
        <v>Випенко О.І.</v>
      </c>
      <c r="C116" s="12" t="s">
        <v>346</v>
      </c>
      <c r="D116" s="14" t="n">
        <f aca="false">квітень!P116</f>
        <v>16172.6</v>
      </c>
      <c r="E116" s="14" t="n">
        <f aca="false">квітень!Q116</f>
        <v>0</v>
      </c>
      <c r="F116" s="13" t="n">
        <f aca="false">квітень!F116</f>
        <v>0</v>
      </c>
      <c r="G116" s="13" t="n">
        <f aca="false">квітень!G116</f>
        <v>62.9</v>
      </c>
      <c r="H116" s="13" t="n">
        <f aca="false">квітень!H116</f>
        <v>0</v>
      </c>
      <c r="I116" s="13" t="n">
        <f aca="false">квітень!I116</f>
        <v>4.1</v>
      </c>
      <c r="J116" s="14" t="n">
        <f aca="false">ROUND(G116*I116,2)</f>
        <v>257.89</v>
      </c>
      <c r="K116" s="14"/>
      <c r="L116" s="14"/>
      <c r="M116" s="14"/>
      <c r="N116" s="14" t="n">
        <f aca="false">ROUND((G116*I116)-K116-L116-M116,2)</f>
        <v>257.89</v>
      </c>
      <c r="O116" s="14"/>
      <c r="P116" s="14" t="n">
        <f aca="false">ROUND(IF(D116=0,IF((N116-E116-O116)&gt;0,(N116-E116-O116),0),IF((D116+N116-O116)&gt;0,(D116+N116-O116),0)),2)</f>
        <v>16430.49</v>
      </c>
      <c r="Q116" s="14" t="n">
        <f aca="false">ROUND(IF(E116=0,IF((D116+N116-O116)&lt;0,ABS(D116+N116-O116),0),IF((N116-E116-O116)&lt;0,ABS(N116-E116-O116),0)),2)</f>
        <v>0</v>
      </c>
    </row>
    <row r="117" customFormat="false" ht="15" hidden="false" customHeight="true" outlineLevel="0" collapsed="false">
      <c r="A117" s="12" t="s">
        <v>347</v>
      </c>
      <c r="B117" s="12" t="str">
        <f aca="false">квітень!B117</f>
        <v>Саприкін Ю.О.</v>
      </c>
      <c r="C117" s="12" t="s">
        <v>349</v>
      </c>
      <c r="D117" s="14" t="n">
        <f aca="false">квітень!P117</f>
        <v>1992.6</v>
      </c>
      <c r="E117" s="14" t="n">
        <f aca="false">квітень!Q117</f>
        <v>0</v>
      </c>
      <c r="F117" s="13" t="n">
        <f aca="false">квітень!F117</f>
        <v>0</v>
      </c>
      <c r="G117" s="13" t="n">
        <f aca="false">квітень!G117</f>
        <v>97.2</v>
      </c>
      <c r="H117" s="13" t="n">
        <f aca="false">квітень!H117</f>
        <v>0</v>
      </c>
      <c r="I117" s="13" t="n">
        <f aca="false">квітень!I117</f>
        <v>4.1</v>
      </c>
      <c r="J117" s="14" t="n">
        <f aca="false">ROUND(G117*I117,2)</f>
        <v>398.52</v>
      </c>
      <c r="K117" s="14"/>
      <c r="L117" s="14"/>
      <c r="M117" s="14"/>
      <c r="N117" s="14" t="n">
        <f aca="false">ROUND((G117*I117)-K117-L117-M117,2)</f>
        <v>398.52</v>
      </c>
      <c r="O117" s="14"/>
      <c r="P117" s="14" t="n">
        <f aca="false">ROUND(IF(D117=0,IF((N117-E117-O117)&gt;0,(N117-E117-O117),0),IF((D117+N117-O117)&gt;0,(D117+N117-O117),0)),2)</f>
        <v>2391.12</v>
      </c>
      <c r="Q117" s="14" t="n">
        <f aca="false">ROUND(IF(E117=0,IF((D117+N117-O117)&lt;0,ABS(D117+N117-O117),0),IF((N117-E117-O117)&lt;0,ABS(N117-E117-O117),0)),2)</f>
        <v>0</v>
      </c>
    </row>
    <row r="118" customFormat="false" ht="15" hidden="false" customHeight="true" outlineLevel="0" collapsed="false">
      <c r="A118" s="12" t="s">
        <v>350</v>
      </c>
      <c r="B118" s="12" t="str">
        <f aca="false">квітень!B118</f>
        <v>Мовчан В.М.</v>
      </c>
      <c r="C118" s="12" t="s">
        <v>352</v>
      </c>
      <c r="D118" s="14" t="n">
        <f aca="false">квітень!P118</f>
        <v>799.52</v>
      </c>
      <c r="E118" s="14" t="n">
        <f aca="false">квітень!Q118</f>
        <v>0</v>
      </c>
      <c r="F118" s="13" t="n">
        <f aca="false">квітень!F118</f>
        <v>0</v>
      </c>
      <c r="G118" s="13" t="n">
        <f aca="false">квітень!G118</f>
        <v>48.75</v>
      </c>
      <c r="H118" s="13" t="n">
        <f aca="false">квітень!H118</f>
        <v>0</v>
      </c>
      <c r="I118" s="13" t="n">
        <f aca="false">квітень!I118</f>
        <v>4.1</v>
      </c>
      <c r="J118" s="14" t="n">
        <f aca="false">ROUND(G118*I118,2)</f>
        <v>199.88</v>
      </c>
      <c r="K118" s="14"/>
      <c r="L118" s="14"/>
      <c r="M118" s="14"/>
      <c r="N118" s="14" t="n">
        <f aca="false">ROUND((G118*I118)-K118-L118-M118,2)</f>
        <v>199.88</v>
      </c>
      <c r="O118" s="14"/>
      <c r="P118" s="14" t="n">
        <f aca="false">ROUND(IF(D118=0,IF((N118-E118-O118)&gt;0,(N118-E118-O118),0),IF((D118+N118-O118)&gt;0,(D118+N118-O118),0)),2)</f>
        <v>999.4</v>
      </c>
      <c r="Q118" s="14" t="n">
        <f aca="false">ROUND(IF(E118=0,IF((D118+N118-O118)&lt;0,ABS(D118+N118-O118),0),IF((N118-E118-O118)&lt;0,ABS(N118-E118-O118),0)),2)</f>
        <v>0</v>
      </c>
    </row>
    <row r="119" customFormat="false" ht="15" hidden="false" customHeight="true" outlineLevel="0" collapsed="false">
      <c r="A119" s="12" t="s">
        <v>353</v>
      </c>
      <c r="B119" s="12" t="str">
        <f aca="false">квітень!B119</f>
        <v>Величко Н.М.</v>
      </c>
      <c r="C119" s="12" t="s">
        <v>355</v>
      </c>
      <c r="D119" s="14" t="n">
        <f aca="false">квітень!P119</f>
        <v>1227.12</v>
      </c>
      <c r="E119" s="14" t="n">
        <f aca="false">квітень!Q119</f>
        <v>0</v>
      </c>
      <c r="F119" s="13" t="n">
        <f aca="false">квітень!F119</f>
        <v>0</v>
      </c>
      <c r="G119" s="13" t="n">
        <f aca="false">квітень!G119</f>
        <v>63.8</v>
      </c>
      <c r="H119" s="13" t="n">
        <f aca="false">квітень!H119</f>
        <v>0</v>
      </c>
      <c r="I119" s="13" t="n">
        <f aca="false">квітень!I119</f>
        <v>4.1</v>
      </c>
      <c r="J119" s="14" t="n">
        <f aca="false">ROUND(G119*I119,2)</f>
        <v>261.58</v>
      </c>
      <c r="K119" s="14"/>
      <c r="L119" s="14"/>
      <c r="M119" s="14"/>
      <c r="N119" s="14" t="n">
        <f aca="false">ROUND((G119*I119)-K119-L119-M119,2)</f>
        <v>261.58</v>
      </c>
      <c r="O119" s="14"/>
      <c r="P119" s="14" t="n">
        <f aca="false">ROUND(IF(D119=0,IF((N119-E119-O119)&gt;0,(N119-E119-O119),0),IF((D119+N119-O119)&gt;0,(D119+N119-O119),0)),2)</f>
        <v>1488.7</v>
      </c>
      <c r="Q119" s="14" t="n">
        <f aca="false">ROUND(IF(E119=0,IF((D119+N119-O119)&lt;0,ABS(D119+N119-O119),0),IF((N119-E119-O119)&lt;0,ABS(N119-E119-O119),0)),2)</f>
        <v>0</v>
      </c>
    </row>
    <row r="120" customFormat="false" ht="15" hidden="false" customHeight="true" outlineLevel="0" collapsed="false">
      <c r="A120" s="12" t="s">
        <v>356</v>
      </c>
      <c r="B120" s="12" t="str">
        <f aca="false">квітень!B120</f>
        <v>Бухлов С.В.</v>
      </c>
      <c r="C120" s="12" t="s">
        <v>358</v>
      </c>
      <c r="D120" s="14" t="n">
        <f aca="false">квітень!P120</f>
        <v>18260.89</v>
      </c>
      <c r="E120" s="14" t="n">
        <f aca="false">квітень!Q120</f>
        <v>0</v>
      </c>
      <c r="F120" s="13" t="n">
        <f aca="false">квітень!F120</f>
        <v>0</v>
      </c>
      <c r="G120" s="13" t="n">
        <f aca="false">квітень!G120</f>
        <v>62.6</v>
      </c>
      <c r="H120" s="13" t="n">
        <f aca="false">квітень!H120</f>
        <v>0</v>
      </c>
      <c r="I120" s="13" t="n">
        <f aca="false">квітень!I120</f>
        <v>4.1</v>
      </c>
      <c r="J120" s="14" t="n">
        <f aca="false">ROUND(G120*I120,2)</f>
        <v>256.66</v>
      </c>
      <c r="K120" s="14"/>
      <c r="L120" s="14"/>
      <c r="M120" s="14"/>
      <c r="N120" s="14" t="n">
        <f aca="false">ROUND((G120*I120)-K120-L120-M120,2)</f>
        <v>256.66</v>
      </c>
      <c r="O120" s="14"/>
      <c r="P120" s="14" t="n">
        <f aca="false">ROUND(IF(D120=0,IF((N120-E120-O120)&gt;0,(N120-E120-O120),0),IF((D120+N120-O120)&gt;0,(D120+N120-O120),0)),2)</f>
        <v>18517.55</v>
      </c>
      <c r="Q120" s="14" t="n">
        <f aca="false">ROUND(IF(E120=0,IF((D120+N120-O120)&lt;0,ABS(D120+N120-O120),0),IF((N120-E120-O120)&lt;0,ABS(N120-E120-O120),0)),2)</f>
        <v>0</v>
      </c>
    </row>
    <row r="121" customFormat="false" ht="15" hidden="false" customHeight="true" outlineLevel="0" collapsed="false">
      <c r="A121" s="12" t="s">
        <v>359</v>
      </c>
      <c r="B121" s="12" t="str">
        <f aca="false">квітень!B121</f>
        <v>Перепеліцина Т.Ю.</v>
      </c>
      <c r="C121" s="12" t="s">
        <v>361</v>
      </c>
      <c r="D121" s="14" t="n">
        <f aca="false">квітень!P121</f>
        <v>2972.27</v>
      </c>
      <c r="E121" s="14" t="n">
        <f aca="false">квітень!Q121</f>
        <v>0</v>
      </c>
      <c r="F121" s="13" t="n">
        <f aca="false">квітень!F121</f>
        <v>0</v>
      </c>
      <c r="G121" s="13" t="n">
        <f aca="false">квітень!G121</f>
        <v>34.7</v>
      </c>
      <c r="H121" s="13" t="n">
        <f aca="false">квітень!H121</f>
        <v>0</v>
      </c>
      <c r="I121" s="13" t="n">
        <f aca="false">квітень!I121</f>
        <v>4.1</v>
      </c>
      <c r="J121" s="14" t="n">
        <f aca="false">ROUND(G121*I121,2)</f>
        <v>142.27</v>
      </c>
      <c r="K121" s="14"/>
      <c r="L121" s="14"/>
      <c r="M121" s="14"/>
      <c r="N121" s="14" t="n">
        <f aca="false">ROUND((G121*I121)-K121-L121-M121,2)</f>
        <v>142.27</v>
      </c>
      <c r="O121" s="14"/>
      <c r="P121" s="14" t="n">
        <f aca="false">ROUND(IF(D121=0,IF((N121-E121-O121)&gt;0,(N121-E121-O121),0),IF((D121+N121-O121)&gt;0,(D121+N121-O121),0)),2)</f>
        <v>3114.54</v>
      </c>
      <c r="Q121" s="14" t="n">
        <f aca="false">ROUND(IF(E121=0,IF((D121+N121-O121)&lt;0,ABS(D121+N121-O121),0),IF((N121-E121-O121)&lt;0,ABS(N121-E121-O121),0)),2)</f>
        <v>0</v>
      </c>
    </row>
    <row r="122" customFormat="false" ht="15" hidden="false" customHeight="true" outlineLevel="0" collapsed="false">
      <c r="A122" s="12" t="s">
        <v>362</v>
      </c>
      <c r="B122" s="12" t="str">
        <f aca="false">квітень!B122</f>
        <v>Свєтлова Т.Ю.</v>
      </c>
      <c r="C122" s="12" t="s">
        <v>364</v>
      </c>
      <c r="D122" s="14" t="n">
        <f aca="false">квітень!P122</f>
        <v>4055.6</v>
      </c>
      <c r="E122" s="14" t="n">
        <f aca="false">квітень!Q122</f>
        <v>0</v>
      </c>
      <c r="F122" s="13" t="n">
        <f aca="false">квітень!F122</f>
        <v>0</v>
      </c>
      <c r="G122" s="13" t="n">
        <f aca="false">квітень!G122</f>
        <v>49.72</v>
      </c>
      <c r="H122" s="13" t="n">
        <f aca="false">квітень!H122</f>
        <v>0</v>
      </c>
      <c r="I122" s="13" t="n">
        <f aca="false">квітень!I122</f>
        <v>4.1</v>
      </c>
      <c r="J122" s="14" t="n">
        <f aca="false">ROUND(G122*I122,2)</f>
        <v>203.85</v>
      </c>
      <c r="K122" s="14"/>
      <c r="L122" s="14"/>
      <c r="M122" s="14"/>
      <c r="N122" s="14" t="n">
        <f aca="false">ROUND((G122*I122)-K122-L122-M122,2)</f>
        <v>203.85</v>
      </c>
      <c r="O122" s="14"/>
      <c r="P122" s="14" t="n">
        <f aca="false">ROUND(IF(D122=0,IF((N122-E122-O122)&gt;0,(N122-E122-O122),0),IF((D122+N122-O122)&gt;0,(D122+N122-O122),0)),2)</f>
        <v>4259.45</v>
      </c>
      <c r="Q122" s="14" t="n">
        <f aca="false">ROUND(IF(E122=0,IF((D122+N122-O122)&lt;0,ABS(D122+N122-O122),0),IF((N122-E122-O122)&lt;0,ABS(N122-E122-O122),0)),2)</f>
        <v>0</v>
      </c>
    </row>
    <row r="123" customFormat="false" ht="15" hidden="false" customHeight="true" outlineLevel="0" collapsed="false">
      <c r="A123" s="12" t="s">
        <v>365</v>
      </c>
      <c r="B123" s="12" t="str">
        <f aca="false">квітень!B123</f>
        <v>Маркова О.М.</v>
      </c>
      <c r="C123" s="12" t="s">
        <v>367</v>
      </c>
      <c r="D123" s="14" t="n">
        <f aca="false">квітень!P123</f>
        <v>1119.1</v>
      </c>
      <c r="E123" s="14" t="n">
        <f aca="false">квітень!Q123</f>
        <v>0</v>
      </c>
      <c r="F123" s="13" t="n">
        <f aca="false">квітень!F123</f>
        <v>0</v>
      </c>
      <c r="G123" s="13" t="n">
        <f aca="false">квітень!G123</f>
        <v>65.1</v>
      </c>
      <c r="H123" s="13" t="n">
        <f aca="false">квітень!H123</f>
        <v>0</v>
      </c>
      <c r="I123" s="13" t="n">
        <f aca="false">квітень!I123</f>
        <v>4.1</v>
      </c>
      <c r="J123" s="14" t="n">
        <f aca="false">ROUND(G123*I123,2)</f>
        <v>266.91</v>
      </c>
      <c r="K123" s="14"/>
      <c r="L123" s="14"/>
      <c r="M123" s="14"/>
      <c r="N123" s="14" t="n">
        <f aca="false">ROUND((G123*I123)-K123-L123-M123,2)</f>
        <v>266.91</v>
      </c>
      <c r="O123" s="14"/>
      <c r="P123" s="14" t="n">
        <f aca="false">ROUND(IF(D123=0,IF((N123-E123-O123)&gt;0,(N123-E123-O123),0),IF((D123+N123-O123)&gt;0,(D123+N123-O123),0)),2)</f>
        <v>1386.01</v>
      </c>
      <c r="Q123" s="14" t="n">
        <f aca="false">ROUND(IF(E123=0,IF((D123+N123-O123)&lt;0,ABS(D123+N123-O123),0),IF((N123-E123-O123)&lt;0,ABS(N123-E123-O123),0)),2)</f>
        <v>0</v>
      </c>
    </row>
    <row r="124" customFormat="false" ht="15" hidden="false" customHeight="true" outlineLevel="0" collapsed="false">
      <c r="A124" s="12" t="s">
        <v>368</v>
      </c>
      <c r="B124" s="12" t="str">
        <f aca="false">квітень!B124</f>
        <v>Ракитська А.М.</v>
      </c>
      <c r="C124" s="12" t="s">
        <v>370</v>
      </c>
      <c r="D124" s="14" t="n">
        <f aca="false">квітень!P124</f>
        <v>1012.44</v>
      </c>
      <c r="E124" s="14" t="n">
        <f aca="false">квітень!Q124</f>
        <v>0</v>
      </c>
      <c r="F124" s="13" t="n">
        <f aca="false">квітень!F124</f>
        <v>0</v>
      </c>
      <c r="G124" s="13" t="n">
        <f aca="false">квітень!G124</f>
        <v>62.18</v>
      </c>
      <c r="H124" s="13" t="n">
        <f aca="false">квітень!H124</f>
        <v>0</v>
      </c>
      <c r="I124" s="13" t="n">
        <f aca="false">квітень!I124</f>
        <v>4.1</v>
      </c>
      <c r="J124" s="14" t="n">
        <f aca="false">ROUND(G124*I124,2)</f>
        <v>254.94</v>
      </c>
      <c r="K124" s="14"/>
      <c r="L124" s="14"/>
      <c r="M124" s="14"/>
      <c r="N124" s="14" t="n">
        <f aca="false">ROUND((G124*I124)-K124-L124-M124,2)</f>
        <v>254.94</v>
      </c>
      <c r="O124" s="14"/>
      <c r="P124" s="14" t="n">
        <f aca="false">ROUND(IF(D124=0,IF((N124-E124-O124)&gt;0,(N124-E124-O124),0),IF((D124+N124-O124)&gt;0,(D124+N124-O124),0)),2)</f>
        <v>1267.38</v>
      </c>
      <c r="Q124" s="14" t="n">
        <f aca="false">ROUND(IF(E124=0,IF((D124+N124-O124)&lt;0,ABS(D124+N124-O124),0),IF((N124-E124-O124)&lt;0,ABS(N124-E124-O124),0)),2)</f>
        <v>0</v>
      </c>
    </row>
    <row r="125" customFormat="false" ht="15" hidden="false" customHeight="true" outlineLevel="0" collapsed="false">
      <c r="A125" s="12" t="s">
        <v>371</v>
      </c>
      <c r="B125" s="12" t="str">
        <f aca="false">квітень!B125</f>
        <v>Гусак К.С.</v>
      </c>
      <c r="C125" s="12" t="s">
        <v>373</v>
      </c>
      <c r="D125" s="14" t="n">
        <f aca="false">квітень!P125</f>
        <v>7256.64</v>
      </c>
      <c r="E125" s="14" t="n">
        <f aca="false">квітень!Q125</f>
        <v>0</v>
      </c>
      <c r="F125" s="13" t="n">
        <f aca="false">квітень!F125</f>
        <v>0</v>
      </c>
      <c r="G125" s="13" t="n">
        <f aca="false">квітень!G125</f>
        <v>35.1</v>
      </c>
      <c r="H125" s="13" t="n">
        <f aca="false">квітень!H125</f>
        <v>0</v>
      </c>
      <c r="I125" s="13" t="n">
        <f aca="false">квітень!I125</f>
        <v>4.1</v>
      </c>
      <c r="J125" s="14" t="n">
        <f aca="false">ROUND(G125*I125,2)</f>
        <v>143.91</v>
      </c>
      <c r="K125" s="14"/>
      <c r="L125" s="14"/>
      <c r="M125" s="14"/>
      <c r="N125" s="14" t="n">
        <f aca="false">ROUND((G125*I125)-K125-L125-M125,2)</f>
        <v>143.91</v>
      </c>
      <c r="O125" s="14"/>
      <c r="P125" s="14" t="n">
        <f aca="false">ROUND(IF(D125=0,IF((N125-E125-O125)&gt;0,(N125-E125-O125),0),IF((D125+N125-O125)&gt;0,(D125+N125-O125),0)),2)</f>
        <v>7400.55</v>
      </c>
      <c r="Q125" s="14" t="n">
        <f aca="false">ROUND(IF(E125=0,IF((D125+N125-O125)&lt;0,ABS(D125+N125-O125),0),IF((N125-E125-O125)&lt;0,ABS(N125-E125-O125),0)),2)</f>
        <v>0</v>
      </c>
    </row>
    <row r="126" customFormat="false" ht="15" hidden="false" customHeight="true" outlineLevel="0" collapsed="false">
      <c r="A126" s="12" t="s">
        <v>374</v>
      </c>
      <c r="B126" s="12" t="str">
        <f aca="false">квітень!B126</f>
        <v>Пісоченко М.Г.</v>
      </c>
      <c r="C126" s="12" t="s">
        <v>376</v>
      </c>
      <c r="D126" s="14" t="n">
        <f aca="false">квітень!P126</f>
        <v>1020.9</v>
      </c>
      <c r="E126" s="14" t="n">
        <f aca="false">квітень!Q126</f>
        <v>0</v>
      </c>
      <c r="F126" s="13" t="n">
        <f aca="false">квітень!F126</f>
        <v>0</v>
      </c>
      <c r="G126" s="13" t="n">
        <f aca="false">квітень!G126</f>
        <v>49.8</v>
      </c>
      <c r="H126" s="13" t="n">
        <f aca="false">квітень!H126</f>
        <v>0</v>
      </c>
      <c r="I126" s="13" t="n">
        <f aca="false">квітень!I126</f>
        <v>4.1</v>
      </c>
      <c r="J126" s="14" t="n">
        <f aca="false">ROUND(G126*I126,2)</f>
        <v>204.18</v>
      </c>
      <c r="K126" s="14"/>
      <c r="L126" s="14"/>
      <c r="M126" s="14"/>
      <c r="N126" s="14" t="n">
        <f aca="false">ROUND((G126*I126)-K126-L126-M126,2)</f>
        <v>204.18</v>
      </c>
      <c r="O126" s="14"/>
      <c r="P126" s="14" t="n">
        <f aca="false">ROUND(IF(D126=0,IF((N126-E126-O126)&gt;0,(N126-E126-O126),0),IF((D126+N126-O126)&gt;0,(D126+N126-O126),0)),2)</f>
        <v>1225.08</v>
      </c>
      <c r="Q126" s="14" t="n">
        <f aca="false">ROUND(IF(E126=0,IF((D126+N126-O126)&lt;0,ABS(D126+N126-O126),0),IF((N126-E126-O126)&lt;0,ABS(N126-E126-O126),0)),2)</f>
        <v>0</v>
      </c>
    </row>
    <row r="127" customFormat="false" ht="15" hidden="false" customHeight="true" outlineLevel="0" collapsed="false">
      <c r="A127" s="12" t="s">
        <v>377</v>
      </c>
      <c r="B127" s="12" t="str">
        <f aca="false">квітень!B127</f>
        <v>Столяр О.М.</v>
      </c>
      <c r="C127" s="12" t="s">
        <v>379</v>
      </c>
      <c r="D127" s="14" t="n">
        <f aca="false">квітень!P127</f>
        <v>4015.95</v>
      </c>
      <c r="E127" s="14" t="n">
        <f aca="false">квітень!Q127</f>
        <v>0</v>
      </c>
      <c r="F127" s="13" t="n">
        <f aca="false">квітень!F127</f>
        <v>0</v>
      </c>
      <c r="G127" s="13" t="n">
        <f aca="false">квітень!G127</f>
        <v>65.3</v>
      </c>
      <c r="H127" s="13" t="n">
        <f aca="false">квітень!H127</f>
        <v>0</v>
      </c>
      <c r="I127" s="13" t="n">
        <f aca="false">квітень!I127</f>
        <v>4.1</v>
      </c>
      <c r="J127" s="14" t="n">
        <f aca="false">ROUND(G127*I127,2)</f>
        <v>267.73</v>
      </c>
      <c r="K127" s="14"/>
      <c r="L127" s="14"/>
      <c r="M127" s="14"/>
      <c r="N127" s="14" t="n">
        <f aca="false">ROUND((G127*I127)-K127-L127-M127,2)</f>
        <v>267.73</v>
      </c>
      <c r="O127" s="14"/>
      <c r="P127" s="14" t="n">
        <f aca="false">ROUND(IF(D127=0,IF((N127-E127-O127)&gt;0,(N127-E127-O127),0),IF((D127+N127-O127)&gt;0,(D127+N127-O127),0)),2)</f>
        <v>4283.68</v>
      </c>
      <c r="Q127" s="14" t="n">
        <f aca="false">ROUND(IF(E127=0,IF((D127+N127-O127)&lt;0,ABS(D127+N127-O127),0),IF((N127-E127-O127)&lt;0,ABS(N127-E127-O127),0)),2)</f>
        <v>0</v>
      </c>
    </row>
    <row r="128" customFormat="false" ht="15" hidden="false" customHeight="true" outlineLevel="0" collapsed="false">
      <c r="A128" s="12" t="s">
        <v>380</v>
      </c>
      <c r="B128" s="12" t="str">
        <f aca="false">квітень!B128</f>
        <v>Рєзніков В.П.</v>
      </c>
      <c r="C128" s="12" t="s">
        <v>382</v>
      </c>
      <c r="D128" s="14" t="n">
        <f aca="false">квітень!P128</f>
        <v>700.69</v>
      </c>
      <c r="E128" s="14" t="n">
        <f aca="false">квітень!Q128</f>
        <v>0</v>
      </c>
      <c r="F128" s="13" t="n">
        <f aca="false">квітень!F128</f>
        <v>0</v>
      </c>
      <c r="G128" s="13" t="n">
        <f aca="false">квітень!G128</f>
        <v>62.44</v>
      </c>
      <c r="H128" s="13" t="n">
        <f aca="false">квітень!H128</f>
        <v>0</v>
      </c>
      <c r="I128" s="13" t="n">
        <f aca="false">квітень!I128</f>
        <v>4.1</v>
      </c>
      <c r="J128" s="14" t="n">
        <f aca="false">ROUND(G128*I128,2)</f>
        <v>256</v>
      </c>
      <c r="K128" s="14"/>
      <c r="L128" s="14"/>
      <c r="M128" s="14"/>
      <c r="N128" s="14" t="n">
        <f aca="false">ROUND((G128*I128)-K128-L128-M128,2)</f>
        <v>256</v>
      </c>
      <c r="O128" s="14"/>
      <c r="P128" s="14" t="n">
        <f aca="false">ROUND(IF(D128=0,IF((N128-E128-O128)&gt;0,(N128-E128-O128),0),IF((D128+N128-O128)&gt;0,(D128+N128-O128),0)),2)</f>
        <v>956.69</v>
      </c>
      <c r="Q128" s="14" t="n">
        <f aca="false">ROUND(IF(E128=0,IF((D128+N128-O128)&lt;0,ABS(D128+N128-O128),0),IF((N128-E128-O128)&lt;0,ABS(N128-E128-O128),0)),2)</f>
        <v>0</v>
      </c>
    </row>
    <row r="129" customFormat="false" ht="15" hidden="false" customHeight="true" outlineLevel="0" collapsed="false">
      <c r="A129" s="12" t="s">
        <v>383</v>
      </c>
      <c r="B129" s="12" t="str">
        <f aca="false">квітень!B129</f>
        <v>Золотоверха Я.І.</v>
      </c>
      <c r="C129" s="12" t="s">
        <v>385</v>
      </c>
      <c r="D129" s="14" t="n">
        <f aca="false">квітень!P129</f>
        <v>583.84</v>
      </c>
      <c r="E129" s="14" t="n">
        <f aca="false">квітень!Q129</f>
        <v>0</v>
      </c>
      <c r="F129" s="13" t="n">
        <f aca="false">квітень!F129</f>
        <v>0</v>
      </c>
      <c r="G129" s="13" t="n">
        <f aca="false">квітень!G129</f>
        <v>35.6</v>
      </c>
      <c r="H129" s="13" t="n">
        <f aca="false">квітень!H129</f>
        <v>0</v>
      </c>
      <c r="I129" s="13" t="n">
        <f aca="false">квітень!I129</f>
        <v>4.1</v>
      </c>
      <c r="J129" s="14" t="n">
        <f aca="false">ROUND(G129*I129,2)</f>
        <v>145.96</v>
      </c>
      <c r="K129" s="14"/>
      <c r="L129" s="14"/>
      <c r="M129" s="14"/>
      <c r="N129" s="14" t="n">
        <f aca="false">ROUND((G129*I129)-K129-L129-M129,2)</f>
        <v>145.96</v>
      </c>
      <c r="O129" s="14"/>
      <c r="P129" s="14" t="n">
        <f aca="false">ROUND(IF(D129=0,IF((N129-E129-O129)&gt;0,(N129-E129-O129),0),IF((D129+N129-O129)&gt;0,(D129+N129-O129),0)),2)</f>
        <v>729.8</v>
      </c>
      <c r="Q129" s="14" t="n">
        <f aca="false">ROUND(IF(E129=0,IF((D129+N129-O129)&lt;0,ABS(D129+N129-O129),0),IF((N129-E129-O129)&lt;0,ABS(N129-E129-O129),0)),2)</f>
        <v>0</v>
      </c>
    </row>
    <row r="130" customFormat="false" ht="15" hidden="false" customHeight="true" outlineLevel="0" collapsed="false">
      <c r="A130" s="12" t="s">
        <v>386</v>
      </c>
      <c r="B130" s="12" t="str">
        <f aca="false">квітень!B130</f>
        <v>Бурлаков А.В.</v>
      </c>
      <c r="C130" s="12" t="s">
        <v>388</v>
      </c>
      <c r="D130" s="14" t="n">
        <f aca="false">квітень!P130</f>
        <v>1018.62</v>
      </c>
      <c r="E130" s="14" t="n">
        <f aca="false">квітень!Q130</f>
        <v>0</v>
      </c>
      <c r="F130" s="13" t="n">
        <f aca="false">квітень!F130</f>
        <v>0</v>
      </c>
      <c r="G130" s="13" t="n">
        <f aca="false">квітень!G130</f>
        <v>49.7</v>
      </c>
      <c r="H130" s="13" t="n">
        <f aca="false">квітень!H130</f>
        <v>0</v>
      </c>
      <c r="I130" s="13" t="n">
        <f aca="false">квітень!I130</f>
        <v>4.1</v>
      </c>
      <c r="J130" s="14" t="n">
        <f aca="false">ROUND(G130*I130,2)</f>
        <v>203.77</v>
      </c>
      <c r="K130" s="14"/>
      <c r="L130" s="14"/>
      <c r="M130" s="14"/>
      <c r="N130" s="14" t="n">
        <f aca="false">ROUND((G130*I130)-K130-L130-M130,2)</f>
        <v>203.77</v>
      </c>
      <c r="O130" s="14"/>
      <c r="P130" s="14" t="n">
        <f aca="false">ROUND(IF(D130=0,IF((N130-E130-O130)&gt;0,(N130-E130-O130),0),IF((D130+N130-O130)&gt;0,(D130+N130-O130),0)),2)</f>
        <v>1222.39</v>
      </c>
      <c r="Q130" s="14" t="n">
        <f aca="false">ROUND(IF(E130=0,IF((D130+N130-O130)&lt;0,ABS(D130+N130-O130),0),IF((N130-E130-O130)&lt;0,ABS(N130-E130-O130),0)),2)</f>
        <v>0</v>
      </c>
    </row>
    <row r="131" customFormat="false" ht="15" hidden="false" customHeight="true" outlineLevel="0" collapsed="false">
      <c r="A131" s="12" t="s">
        <v>389</v>
      </c>
      <c r="B131" s="12" t="str">
        <f aca="false">квітень!B131</f>
        <v>Сикула О.Ю.</v>
      </c>
      <c r="C131" s="12" t="s">
        <v>391</v>
      </c>
      <c r="D131" s="14" t="n">
        <f aca="false">квітень!P131</f>
        <v>5068.48</v>
      </c>
      <c r="E131" s="14" t="n">
        <f aca="false">квітень!Q131</f>
        <v>0</v>
      </c>
      <c r="F131" s="13" t="n">
        <f aca="false">квітень!F131</f>
        <v>0</v>
      </c>
      <c r="G131" s="13" t="n">
        <f aca="false">квітень!G131</f>
        <v>65.15</v>
      </c>
      <c r="H131" s="13" t="n">
        <f aca="false">квітень!H131</f>
        <v>0</v>
      </c>
      <c r="I131" s="13" t="n">
        <f aca="false">квітень!I131</f>
        <v>4.1</v>
      </c>
      <c r="J131" s="14" t="n">
        <f aca="false">ROUND(G131*I131,2)</f>
        <v>267.12</v>
      </c>
      <c r="K131" s="14"/>
      <c r="L131" s="14"/>
      <c r="M131" s="14"/>
      <c r="N131" s="14" t="n">
        <f aca="false">ROUND((G131*I131)-K131-L131-M131,2)</f>
        <v>267.12</v>
      </c>
      <c r="O131" s="14"/>
      <c r="P131" s="14" t="n">
        <f aca="false">ROUND(IF(D131=0,IF((N131-E131-O131)&gt;0,(N131-E131-O131),0),IF((D131+N131-O131)&gt;0,(D131+N131-O131),0)),2)</f>
        <v>5335.6</v>
      </c>
      <c r="Q131" s="14" t="n">
        <f aca="false">ROUND(IF(E131=0,IF((D131+N131-O131)&lt;0,ABS(D131+N131-O131),0),IF((N131-E131-O131)&lt;0,ABS(N131-E131-O131),0)),2)</f>
        <v>0</v>
      </c>
    </row>
    <row r="132" customFormat="false" ht="15" hidden="false" customHeight="true" outlineLevel="0" collapsed="false">
      <c r="A132" s="12" t="s">
        <v>392</v>
      </c>
      <c r="B132" s="12" t="str">
        <f aca="false">квітень!B132</f>
        <v>Арістов О.О.</v>
      </c>
      <c r="C132" s="12" t="s">
        <v>394</v>
      </c>
      <c r="D132" s="14" t="n">
        <f aca="false">квітень!P132</f>
        <v>1291.5</v>
      </c>
      <c r="E132" s="14" t="n">
        <f aca="false">квітень!Q132</f>
        <v>0</v>
      </c>
      <c r="F132" s="13" t="n">
        <f aca="false">квітень!F132</f>
        <v>0</v>
      </c>
      <c r="G132" s="13" t="n">
        <f aca="false">квітень!G132</f>
        <v>63</v>
      </c>
      <c r="H132" s="13" t="n">
        <f aca="false">квітень!H132</f>
        <v>0</v>
      </c>
      <c r="I132" s="13" t="n">
        <f aca="false">квітень!I132</f>
        <v>4.1</v>
      </c>
      <c r="J132" s="14" t="n">
        <f aca="false">ROUND(G132*I132,2)</f>
        <v>258.3</v>
      </c>
      <c r="K132" s="14"/>
      <c r="L132" s="14"/>
      <c r="M132" s="14"/>
      <c r="N132" s="14" t="n">
        <f aca="false">ROUND((G132*I132)-K132-L132-M132,2)</f>
        <v>258.3</v>
      </c>
      <c r="O132" s="14"/>
      <c r="P132" s="14" t="n">
        <f aca="false">ROUND(IF(D132=0,IF((N132-E132-O132)&gt;0,(N132-E132-O132),0),IF((D132+N132-O132)&gt;0,(D132+N132-O132),0)),2)</f>
        <v>1549.8</v>
      </c>
      <c r="Q132" s="14" t="n">
        <f aca="false">ROUND(IF(E132=0,IF((D132+N132-O132)&lt;0,ABS(D132+N132-O132),0),IF((N132-E132-O132)&lt;0,ABS(N132-E132-O132),0)),2)</f>
        <v>0</v>
      </c>
    </row>
    <row r="133" customFormat="false" ht="15" hidden="false" customHeight="true" outlineLevel="0" collapsed="false">
      <c r="A133" s="12" t="s">
        <v>395</v>
      </c>
      <c r="B133" s="12" t="str">
        <f aca="false">квітень!B133</f>
        <v>Бондаренко Т.О.</v>
      </c>
      <c r="C133" s="12" t="s">
        <v>397</v>
      </c>
      <c r="D133" s="14" t="n">
        <f aca="false">квітень!P133</f>
        <v>569.08</v>
      </c>
      <c r="E133" s="14" t="n">
        <f aca="false">квітень!Q133</f>
        <v>0</v>
      </c>
      <c r="F133" s="13" t="n">
        <f aca="false">квітень!F133</f>
        <v>0</v>
      </c>
      <c r="G133" s="13" t="n">
        <f aca="false">квітень!G133</f>
        <v>34.7</v>
      </c>
      <c r="H133" s="13" t="n">
        <f aca="false">квітень!H133</f>
        <v>0</v>
      </c>
      <c r="I133" s="13" t="n">
        <f aca="false">квітень!I133</f>
        <v>4.1</v>
      </c>
      <c r="J133" s="14" t="n">
        <f aca="false">ROUND(G133*I133,2)</f>
        <v>142.27</v>
      </c>
      <c r="K133" s="14"/>
      <c r="L133" s="14"/>
      <c r="M133" s="14"/>
      <c r="N133" s="14" t="n">
        <f aca="false">ROUND((G133*I133)-K133-L133-M133,2)</f>
        <v>142.27</v>
      </c>
      <c r="O133" s="14"/>
      <c r="P133" s="14" t="n">
        <f aca="false">ROUND(IF(D133=0,IF((N133-E133-O133)&gt;0,(N133-E133-O133),0),IF((D133+N133-O133)&gt;0,(D133+N133-O133),0)),2)</f>
        <v>711.35</v>
      </c>
      <c r="Q133" s="14" t="n">
        <f aca="false">ROUND(IF(E133=0,IF((D133+N133-O133)&lt;0,ABS(D133+N133-O133),0),IF((N133-E133-O133)&lt;0,ABS(N133-E133-O133),0)),2)</f>
        <v>0</v>
      </c>
    </row>
    <row r="134" customFormat="false" ht="15" hidden="false" customHeight="true" outlineLevel="0" collapsed="false">
      <c r="A134" s="12" t="s">
        <v>398</v>
      </c>
      <c r="B134" s="12" t="str">
        <f aca="false">квітень!B134</f>
        <v>Гайчев П.В.</v>
      </c>
      <c r="C134" s="12" t="s">
        <v>400</v>
      </c>
      <c r="D134" s="14" t="n">
        <f aca="false">квітень!P134</f>
        <v>1008.6</v>
      </c>
      <c r="E134" s="14" t="n">
        <f aca="false">квітень!Q134</f>
        <v>0</v>
      </c>
      <c r="F134" s="13" t="n">
        <f aca="false">квітень!F134</f>
        <v>0</v>
      </c>
      <c r="G134" s="13" t="n">
        <f aca="false">квітень!G134</f>
        <v>49.2</v>
      </c>
      <c r="H134" s="13" t="n">
        <f aca="false">квітень!H134</f>
        <v>0</v>
      </c>
      <c r="I134" s="13" t="n">
        <f aca="false">квітень!I134</f>
        <v>4.1</v>
      </c>
      <c r="J134" s="14" t="n">
        <f aca="false">ROUND(G134*I134,2)</f>
        <v>201.72</v>
      </c>
      <c r="K134" s="14"/>
      <c r="L134" s="14"/>
      <c r="M134" s="14"/>
      <c r="N134" s="14" t="n">
        <f aca="false">ROUND((G134*I134)-K134-L134-M134,2)</f>
        <v>201.72</v>
      </c>
      <c r="O134" s="14"/>
      <c r="P134" s="14" t="n">
        <f aca="false">ROUND(IF(D134=0,IF((N134-E134-O134)&gt;0,(N134-E134-O134),0),IF((D134+N134-O134)&gt;0,(D134+N134-O134),0)),2)</f>
        <v>1210.32</v>
      </c>
      <c r="Q134" s="14" t="n">
        <f aca="false">ROUND(IF(E134=0,IF((D134+N134-O134)&lt;0,ABS(D134+N134-O134),0),IF((N134-E134-O134)&lt;0,ABS(N134-E134-O134),0)),2)</f>
        <v>0</v>
      </c>
    </row>
    <row r="135" customFormat="false" ht="15" hidden="false" customHeight="true" outlineLevel="0" collapsed="false">
      <c r="A135" s="12" t="s">
        <v>401</v>
      </c>
      <c r="B135" s="12" t="str">
        <f aca="false">квітень!B135</f>
        <v>Радченко О.С.</v>
      </c>
      <c r="C135" s="12" t="s">
        <v>403</v>
      </c>
      <c r="D135" s="14" t="n">
        <f aca="false">квітень!P135</f>
        <v>1068.48</v>
      </c>
      <c r="E135" s="14" t="n">
        <f aca="false">квітень!Q135</f>
        <v>0</v>
      </c>
      <c r="F135" s="13" t="n">
        <f aca="false">квітень!F135</f>
        <v>0</v>
      </c>
      <c r="G135" s="13" t="n">
        <f aca="false">квітень!G135</f>
        <v>65.15</v>
      </c>
      <c r="H135" s="13" t="n">
        <f aca="false">квітень!H135</f>
        <v>0</v>
      </c>
      <c r="I135" s="13" t="n">
        <f aca="false">квітень!I135</f>
        <v>4.1</v>
      </c>
      <c r="J135" s="14" t="n">
        <f aca="false">ROUND(G135*I135,2)</f>
        <v>267.12</v>
      </c>
      <c r="K135" s="14"/>
      <c r="L135" s="14"/>
      <c r="M135" s="14"/>
      <c r="N135" s="14" t="n">
        <f aca="false">ROUND((G135*I135)-K135-L135-M135,2)</f>
        <v>267.12</v>
      </c>
      <c r="O135" s="14"/>
      <c r="P135" s="14" t="n">
        <f aca="false">ROUND(IF(D135=0,IF((N135-E135-O135)&gt;0,(N135-E135-O135),0),IF((D135+N135-O135)&gt;0,(D135+N135-O135),0)),2)</f>
        <v>1335.6</v>
      </c>
      <c r="Q135" s="14" t="n">
        <f aca="false">ROUND(IF(E135=0,IF((D135+N135-O135)&lt;0,ABS(D135+N135-O135),0),IF((N135-E135-O135)&lt;0,ABS(N135-E135-O135),0)),2)</f>
        <v>0</v>
      </c>
    </row>
    <row r="136" customFormat="false" ht="15" hidden="false" customHeight="true" outlineLevel="0" collapsed="false">
      <c r="A136" s="12" t="s">
        <v>404</v>
      </c>
      <c r="B136" s="12" t="str">
        <f aca="false">квітень!B136</f>
        <v>Шилін С.М.</v>
      </c>
      <c r="C136" s="12" t="s">
        <v>406</v>
      </c>
      <c r="D136" s="14" t="n">
        <f aca="false">квітень!P136</f>
        <v>2527.03</v>
      </c>
      <c r="E136" s="14" t="n">
        <f aca="false">квітень!Q136</f>
        <v>0</v>
      </c>
      <c r="F136" s="13" t="n">
        <f aca="false">квітень!F136</f>
        <v>0</v>
      </c>
      <c r="G136" s="13" t="n">
        <f aca="false">квітень!G136</f>
        <v>62.3</v>
      </c>
      <c r="H136" s="13" t="n">
        <f aca="false">квітень!H136</f>
        <v>0</v>
      </c>
      <c r="I136" s="13" t="n">
        <f aca="false">квітень!I136</f>
        <v>4.1</v>
      </c>
      <c r="J136" s="14" t="n">
        <f aca="false">ROUND(G136*I136,2)</f>
        <v>255.43</v>
      </c>
      <c r="K136" s="14"/>
      <c r="L136" s="14"/>
      <c r="M136" s="14"/>
      <c r="N136" s="14" t="n">
        <f aca="false">ROUND((G136*I136)-K136-L136-M136,2)</f>
        <v>255.43</v>
      </c>
      <c r="O136" s="14"/>
      <c r="P136" s="14" t="n">
        <f aca="false">ROUND(IF(D136=0,IF((N136-E136-O136)&gt;0,(N136-E136-O136),0),IF((D136+N136-O136)&gt;0,(D136+N136-O136),0)),2)</f>
        <v>2782.46</v>
      </c>
      <c r="Q136" s="14" t="n">
        <f aca="false">ROUND(IF(E136=0,IF((D136+N136-O136)&lt;0,ABS(D136+N136-O136),0),IF((N136-E136-O136)&lt;0,ABS(N136-E136-O136),0)),2)</f>
        <v>0</v>
      </c>
    </row>
    <row r="137" customFormat="false" ht="15" hidden="false" customHeight="true" outlineLevel="0" collapsed="false">
      <c r="A137" s="12" t="s">
        <v>407</v>
      </c>
      <c r="B137" s="12" t="str">
        <f aca="false">квітень!B137</f>
        <v>Корякін Л.М.</v>
      </c>
      <c r="C137" s="12" t="s">
        <v>409</v>
      </c>
      <c r="D137" s="14" t="n">
        <f aca="false">квітень!P137</f>
        <v>2102.46</v>
      </c>
      <c r="E137" s="14" t="n">
        <f aca="false">квітень!Q137</f>
        <v>0</v>
      </c>
      <c r="F137" s="13" t="n">
        <f aca="false">квітень!F137</f>
        <v>0</v>
      </c>
      <c r="G137" s="13" t="n">
        <f aca="false">квітень!G137</f>
        <v>35.3</v>
      </c>
      <c r="H137" s="13" t="n">
        <f aca="false">квітень!H137</f>
        <v>0</v>
      </c>
      <c r="I137" s="13" t="n">
        <f aca="false">квітень!I137</f>
        <v>4.1</v>
      </c>
      <c r="J137" s="14" t="n">
        <f aca="false">ROUND(G137*I137,2)</f>
        <v>144.73</v>
      </c>
      <c r="K137" s="14"/>
      <c r="L137" s="14"/>
      <c r="M137" s="14"/>
      <c r="N137" s="14" t="n">
        <f aca="false">ROUND((G137*I137)-K137-L137-M137,2)</f>
        <v>144.73</v>
      </c>
      <c r="O137" s="14"/>
      <c r="P137" s="14" t="n">
        <f aca="false">ROUND(IF(D137=0,IF((N137-E137-O137)&gt;0,(N137-E137-O137),0),IF((D137+N137-O137)&gt;0,(D137+N137-O137),0)),2)</f>
        <v>2247.19</v>
      </c>
      <c r="Q137" s="14" t="n">
        <f aca="false">ROUND(IF(E137=0,IF((D137+N137-O137)&lt;0,ABS(D137+N137-O137),0),IF((N137-E137-O137)&lt;0,ABS(N137-E137-O137),0)),2)</f>
        <v>0</v>
      </c>
    </row>
    <row r="138" customFormat="false" ht="15" hidden="false" customHeight="true" outlineLevel="0" collapsed="false">
      <c r="A138" s="12" t="s">
        <v>410</v>
      </c>
      <c r="B138" s="12" t="str">
        <f aca="false">квітень!B138</f>
        <v>Кривошеєва Л.М.</v>
      </c>
      <c r="C138" s="12" t="s">
        <v>412</v>
      </c>
      <c r="D138" s="14" t="n">
        <f aca="false">квітень!P138</f>
        <v>3316.42</v>
      </c>
      <c r="E138" s="14" t="n">
        <f aca="false">квітень!Q138</f>
        <v>0</v>
      </c>
      <c r="F138" s="13" t="n">
        <f aca="false">квітень!F138</f>
        <v>0</v>
      </c>
      <c r="G138" s="13" t="n">
        <f aca="false">квітень!G138</f>
        <v>49.78</v>
      </c>
      <c r="H138" s="13" t="n">
        <f aca="false">квітень!H138</f>
        <v>0</v>
      </c>
      <c r="I138" s="13" t="n">
        <f aca="false">квітень!I138</f>
        <v>4.1</v>
      </c>
      <c r="J138" s="14" t="n">
        <f aca="false">ROUND(G138*I138,2)</f>
        <v>204.1</v>
      </c>
      <c r="K138" s="14"/>
      <c r="L138" s="14"/>
      <c r="M138" s="14"/>
      <c r="N138" s="14" t="n">
        <f aca="false">ROUND((G138*I138)-K138-L138-M138,2)</f>
        <v>204.1</v>
      </c>
      <c r="O138" s="14"/>
      <c r="P138" s="14" t="n">
        <f aca="false">ROUND(IF(D138=0,IF((N138-E138-O138)&gt;0,(N138-E138-O138),0),IF((D138+N138-O138)&gt;0,(D138+N138-O138),0)),2)</f>
        <v>3520.52</v>
      </c>
      <c r="Q138" s="14" t="n">
        <f aca="false">ROUND(IF(E138=0,IF((D138+N138-O138)&lt;0,ABS(D138+N138-O138),0),IF((N138-E138-O138)&lt;0,ABS(N138-E138-O138),0)),2)</f>
        <v>0</v>
      </c>
    </row>
    <row r="139" customFormat="false" ht="15" hidden="false" customHeight="true" outlineLevel="0" collapsed="false">
      <c r="A139" s="12" t="s">
        <v>413</v>
      </c>
      <c r="B139" s="12" t="str">
        <f aca="false">квітень!B139</f>
        <v>Харченко І.С.</v>
      </c>
      <c r="C139" s="12" t="s">
        <v>415</v>
      </c>
      <c r="D139" s="14" t="n">
        <f aca="false">квітень!P139</f>
        <v>804.17</v>
      </c>
      <c r="E139" s="14" t="n">
        <f aca="false">квітень!Q139</f>
        <v>0</v>
      </c>
      <c r="F139" s="13" t="n">
        <f aca="false">квітень!F139</f>
        <v>0</v>
      </c>
      <c r="G139" s="13" t="n">
        <f aca="false">квітень!G139</f>
        <v>65.93</v>
      </c>
      <c r="H139" s="13" t="n">
        <f aca="false">квітень!H139</f>
        <v>0</v>
      </c>
      <c r="I139" s="13" t="n">
        <f aca="false">квітень!I139</f>
        <v>4.1</v>
      </c>
      <c r="J139" s="14" t="n">
        <f aca="false">ROUND(G139*I139,2)</f>
        <v>270.31</v>
      </c>
      <c r="K139" s="14"/>
      <c r="L139" s="14"/>
      <c r="M139" s="14"/>
      <c r="N139" s="14" t="n">
        <f aca="false">ROUND((G139*I139)-K139-L139-M139,2)</f>
        <v>270.31</v>
      </c>
      <c r="O139" s="14"/>
      <c r="P139" s="14" t="n">
        <f aca="false">ROUND(IF(D139=0,IF((N139-E139-O139)&gt;0,(N139-E139-O139),0),IF((D139+N139-O139)&gt;0,(D139+N139-O139),0)),2)</f>
        <v>1074.48</v>
      </c>
      <c r="Q139" s="14" t="n">
        <f aca="false">ROUND(IF(E139=0,IF((D139+N139-O139)&lt;0,ABS(D139+N139-O139),0),IF((N139-E139-O139)&lt;0,ABS(N139-E139-O139),0)),2)</f>
        <v>0</v>
      </c>
    </row>
    <row r="140" customFormat="false" ht="15" hidden="false" customHeight="true" outlineLevel="0" collapsed="false">
      <c r="A140" s="12" t="s">
        <v>416</v>
      </c>
      <c r="B140" s="12" t="str">
        <f aca="false">квітень!B140</f>
        <v>Куриленко І.О.</v>
      </c>
      <c r="C140" s="12" t="s">
        <v>418</v>
      </c>
      <c r="D140" s="14" t="n">
        <f aca="false">квітень!P140</f>
        <v>767.04</v>
      </c>
      <c r="E140" s="14" t="n">
        <f aca="false">квітень!Q140</f>
        <v>0</v>
      </c>
      <c r="F140" s="13" t="n">
        <f aca="false">квітень!F140</f>
        <v>0</v>
      </c>
      <c r="G140" s="13" t="n">
        <f aca="false">квітень!G140</f>
        <v>62.36</v>
      </c>
      <c r="H140" s="13" t="n">
        <f aca="false">квітень!H140</f>
        <v>0</v>
      </c>
      <c r="I140" s="13" t="n">
        <f aca="false">квітень!I140</f>
        <v>4.1</v>
      </c>
      <c r="J140" s="14" t="n">
        <f aca="false">ROUND(G140*I140,2)</f>
        <v>255.68</v>
      </c>
      <c r="K140" s="14"/>
      <c r="L140" s="14"/>
      <c r="M140" s="14"/>
      <c r="N140" s="14" t="n">
        <f aca="false">ROUND((G140*I140)-K140-L140-M140,2)</f>
        <v>255.68</v>
      </c>
      <c r="O140" s="14"/>
      <c r="P140" s="14" t="n">
        <f aca="false">ROUND(IF(D140=0,IF((N140-E140-O140)&gt;0,(N140-E140-O140),0),IF((D140+N140-O140)&gt;0,(D140+N140-O140),0)),2)</f>
        <v>1022.72</v>
      </c>
      <c r="Q140" s="14" t="n">
        <f aca="false">ROUND(IF(E140=0,IF((D140+N140-O140)&lt;0,ABS(D140+N140-O140),0),IF((N140-E140-O140)&lt;0,ABS(N140-E140-O140),0)),2)</f>
        <v>0</v>
      </c>
    </row>
    <row r="141" customFormat="false" ht="15" hidden="false" customHeight="true" outlineLevel="0" collapsed="false">
      <c r="A141" s="12" t="s">
        <v>419</v>
      </c>
      <c r="B141" s="12" t="str">
        <f aca="false">квітень!B141</f>
        <v>Єлсукова В.М.</v>
      </c>
      <c r="C141" s="12" t="s">
        <v>421</v>
      </c>
      <c r="D141" s="14" t="n">
        <f aca="false">квітень!P141</f>
        <v>7483.32</v>
      </c>
      <c r="E141" s="14" t="n">
        <f aca="false">квітень!Q141</f>
        <v>0</v>
      </c>
      <c r="F141" s="13" t="n">
        <f aca="false">квітень!F141</f>
        <v>0</v>
      </c>
      <c r="G141" s="13" t="n">
        <f aca="false">квітень!G141</f>
        <v>35.1</v>
      </c>
      <c r="H141" s="13" t="n">
        <f aca="false">квітень!H141</f>
        <v>0</v>
      </c>
      <c r="I141" s="13" t="n">
        <f aca="false">квітень!I141</f>
        <v>4.1</v>
      </c>
      <c r="J141" s="14" t="n">
        <f aca="false">ROUND(G141*I141,2)</f>
        <v>143.91</v>
      </c>
      <c r="K141" s="14"/>
      <c r="L141" s="14"/>
      <c r="M141" s="14"/>
      <c r="N141" s="14" t="n">
        <f aca="false">ROUND((G141*I141)-K141-L141-M141,2)</f>
        <v>143.91</v>
      </c>
      <c r="O141" s="14"/>
      <c r="P141" s="14" t="n">
        <f aca="false">ROUND(IF(D141=0,IF((N141-E141-O141)&gt;0,(N141-E141-O141),0),IF((D141+N141-O141)&gt;0,(D141+N141-O141),0)),2)</f>
        <v>7627.23</v>
      </c>
      <c r="Q141" s="14" t="n">
        <f aca="false">ROUND(IF(E141=0,IF((D141+N141-O141)&lt;0,ABS(D141+N141-O141),0),IF((N141-E141-O141)&lt;0,ABS(N141-E141-O141),0)),2)</f>
        <v>0</v>
      </c>
    </row>
    <row r="142" customFormat="false" ht="15" hidden="false" customHeight="true" outlineLevel="0" collapsed="false">
      <c r="A142" s="12" t="s">
        <v>422</v>
      </c>
      <c r="B142" s="12" t="str">
        <f aca="false">квітень!B142</f>
        <v>Пімонова М.В.</v>
      </c>
      <c r="C142" s="12" t="s">
        <v>424</v>
      </c>
      <c r="D142" s="14" t="n">
        <f aca="false">квітень!P142</f>
        <v>9085.83</v>
      </c>
      <c r="E142" s="14" t="n">
        <f aca="false">квітень!Q142</f>
        <v>0</v>
      </c>
      <c r="F142" s="13" t="n">
        <f aca="false">квітень!F142</f>
        <v>0</v>
      </c>
      <c r="G142" s="13" t="n">
        <f aca="false">квітень!G142</f>
        <v>49.47</v>
      </c>
      <c r="H142" s="13" t="n">
        <f aca="false">квітень!H142</f>
        <v>0</v>
      </c>
      <c r="I142" s="13" t="n">
        <f aca="false">квітень!I142</f>
        <v>4.1</v>
      </c>
      <c r="J142" s="14" t="n">
        <f aca="false">ROUND(G142*I142,2)</f>
        <v>202.83</v>
      </c>
      <c r="K142" s="14"/>
      <c r="L142" s="14"/>
      <c r="M142" s="14"/>
      <c r="N142" s="14" t="n">
        <f aca="false">ROUND((G142*I142)-K142-L142-M142,2)</f>
        <v>202.83</v>
      </c>
      <c r="O142" s="14"/>
      <c r="P142" s="14" t="n">
        <f aca="false">ROUND(IF(D142=0,IF((N142-E142-O142)&gt;0,(N142-E142-O142),0),IF((D142+N142-O142)&gt;0,(D142+N142-O142),0)),2)</f>
        <v>9288.66</v>
      </c>
      <c r="Q142" s="14" t="n">
        <f aca="false">ROUND(IF(E142=0,IF((D142+N142-O142)&lt;0,ABS(D142+N142-O142),0),IF((N142-E142-O142)&lt;0,ABS(N142-E142-O142),0)),2)</f>
        <v>0</v>
      </c>
    </row>
    <row r="143" customFormat="false" ht="15" hidden="false" customHeight="true" outlineLevel="0" collapsed="false">
      <c r="A143" s="12" t="s">
        <v>425</v>
      </c>
      <c r="B143" s="12" t="str">
        <f aca="false">квітень!B143</f>
        <v>Осипенко В.В.</v>
      </c>
      <c r="C143" s="12" t="s">
        <v>427</v>
      </c>
      <c r="D143" s="14" t="n">
        <f aca="false">квітень!P143</f>
        <v>11841.67</v>
      </c>
      <c r="E143" s="14" t="n">
        <f aca="false">квітень!Q143</f>
        <v>0</v>
      </c>
      <c r="F143" s="13" t="n">
        <f aca="false">квітень!F143</f>
        <v>0</v>
      </c>
      <c r="G143" s="13" t="n">
        <f aca="false">квітень!G143</f>
        <v>65.65</v>
      </c>
      <c r="H143" s="13" t="n">
        <f aca="false">квітень!H143</f>
        <v>0</v>
      </c>
      <c r="I143" s="13" t="n">
        <f aca="false">квітень!I143</f>
        <v>4.1</v>
      </c>
      <c r="J143" s="14" t="n">
        <f aca="false">ROUND(G143*I143,2)</f>
        <v>269.17</v>
      </c>
      <c r="K143" s="14"/>
      <c r="L143" s="14"/>
      <c r="M143" s="14"/>
      <c r="N143" s="14" t="n">
        <f aca="false">ROUND((G143*I143)-K143-L143-M143,2)</f>
        <v>269.17</v>
      </c>
      <c r="O143" s="14"/>
      <c r="P143" s="14" t="n">
        <f aca="false">ROUND(IF(D143=0,IF((N143-E143-O143)&gt;0,(N143-E143-O143),0),IF((D143+N143-O143)&gt;0,(D143+N143-O143),0)),2)</f>
        <v>12110.84</v>
      </c>
      <c r="Q143" s="14" t="n">
        <f aca="false">ROUND(IF(E143=0,IF((D143+N143-O143)&lt;0,ABS(D143+N143-O143),0),IF((N143-E143-O143)&lt;0,ABS(N143-E143-O143),0)),2)</f>
        <v>0</v>
      </c>
    </row>
    <row r="144" customFormat="false" ht="15" hidden="false" customHeight="true" outlineLevel="0" collapsed="false">
      <c r="A144" s="12" t="s">
        <v>428</v>
      </c>
      <c r="B144" s="12" t="str">
        <f aca="false">квітень!B144</f>
        <v>Друзь О.О.</v>
      </c>
      <c r="C144" s="12" t="s">
        <v>430</v>
      </c>
      <c r="D144" s="14" t="n">
        <f aca="false">квітень!P144</f>
        <v>11965.99</v>
      </c>
      <c r="E144" s="14" t="n">
        <f aca="false">квітень!Q144</f>
        <v>0</v>
      </c>
      <c r="F144" s="13" t="n">
        <f aca="false">квітень!F144</f>
        <v>0</v>
      </c>
      <c r="G144" s="13" t="n">
        <f aca="false">квітень!G144</f>
        <v>62.1</v>
      </c>
      <c r="H144" s="13" t="n">
        <f aca="false">квітень!H144</f>
        <v>0</v>
      </c>
      <c r="I144" s="13" t="n">
        <f aca="false">квітень!I144</f>
        <v>4.1</v>
      </c>
      <c r="J144" s="14" t="n">
        <f aca="false">ROUND(G144*I144,2)</f>
        <v>254.61</v>
      </c>
      <c r="K144" s="14"/>
      <c r="L144" s="14"/>
      <c r="M144" s="14"/>
      <c r="N144" s="14" t="n">
        <f aca="false">ROUND((G144*I144)-K144-L144-M144,2)</f>
        <v>254.61</v>
      </c>
      <c r="O144" s="14"/>
      <c r="P144" s="14" t="n">
        <f aca="false">ROUND(IF(D144=0,IF((N144-E144-O144)&gt;0,(N144-E144-O144),0),IF((D144+N144-O144)&gt;0,(D144+N144-O144),0)),2)</f>
        <v>12220.6</v>
      </c>
      <c r="Q144" s="14" t="n">
        <f aca="false">ROUND(IF(E144=0,IF((D144+N144-O144)&lt;0,ABS(D144+N144-O144),0),IF((N144-E144-O144)&lt;0,ABS(N144-E144-O144),0)),2)</f>
        <v>0</v>
      </c>
    </row>
    <row r="145" customFormat="false" ht="15" hidden="false" customHeight="true" outlineLevel="0" collapsed="false">
      <c r="A145" s="12" t="s">
        <v>431</v>
      </c>
      <c r="B145" s="12" t="str">
        <f aca="false">квітень!B145</f>
        <v>Вовченко Р.І.</v>
      </c>
      <c r="C145" s="12" t="s">
        <v>433</v>
      </c>
      <c r="D145" s="14" t="n">
        <f aca="false">квітень!P145</f>
        <v>4116</v>
      </c>
      <c r="E145" s="14" t="n">
        <f aca="false">квітень!Q145</f>
        <v>0</v>
      </c>
      <c r="F145" s="13" t="n">
        <f aca="false">квітень!F145</f>
        <v>0</v>
      </c>
      <c r="G145" s="13" t="n">
        <f aca="false">квітень!G145</f>
        <v>35.2</v>
      </c>
      <c r="H145" s="13" t="n">
        <f aca="false">квітень!H145</f>
        <v>0</v>
      </c>
      <c r="I145" s="13" t="n">
        <f aca="false">квітень!I145</f>
        <v>4.1</v>
      </c>
      <c r="J145" s="14" t="n">
        <f aca="false">ROUND(G145*I145,2)</f>
        <v>144.32</v>
      </c>
      <c r="K145" s="14"/>
      <c r="L145" s="14"/>
      <c r="M145" s="14"/>
      <c r="N145" s="14" t="n">
        <f aca="false">ROUND((G145*I145)-K145-L145-M145,2)</f>
        <v>144.32</v>
      </c>
      <c r="O145" s="14"/>
      <c r="P145" s="14" t="n">
        <f aca="false">ROUND(IF(D145=0,IF((N145-E145-O145)&gt;0,(N145-E145-O145),0),IF((D145+N145-O145)&gt;0,(D145+N145-O145),0)),2)</f>
        <v>4260.32</v>
      </c>
      <c r="Q145" s="14" t="n">
        <f aca="false">ROUND(IF(E145=0,IF((D145+N145-O145)&lt;0,ABS(D145+N145-O145),0),IF((N145-E145-O145)&lt;0,ABS(N145-E145-O145),0)),2)</f>
        <v>0</v>
      </c>
    </row>
    <row r="146" customFormat="false" ht="15" hidden="false" customHeight="true" outlineLevel="0" collapsed="false">
      <c r="A146" s="12" t="s">
        <v>434</v>
      </c>
      <c r="B146" s="12" t="str">
        <f aca="false">квітень!B146</f>
        <v>Плакун Д.В.</v>
      </c>
      <c r="C146" s="12" t="s">
        <v>436</v>
      </c>
      <c r="D146" s="14" t="n">
        <f aca="false">квітень!P146</f>
        <v>1227.54</v>
      </c>
      <c r="E146" s="14" t="n">
        <f aca="false">квітень!Q146</f>
        <v>0</v>
      </c>
      <c r="F146" s="13" t="n">
        <f aca="false">квітень!F146</f>
        <v>0</v>
      </c>
      <c r="G146" s="13" t="n">
        <f aca="false">квітень!G146</f>
        <v>49.9</v>
      </c>
      <c r="H146" s="13" t="n">
        <f aca="false">квітень!H146</f>
        <v>0</v>
      </c>
      <c r="I146" s="13" t="n">
        <f aca="false">квітень!I146</f>
        <v>4.1</v>
      </c>
      <c r="J146" s="14" t="n">
        <f aca="false">ROUND(G146*I146,2)</f>
        <v>204.59</v>
      </c>
      <c r="K146" s="14"/>
      <c r="L146" s="14"/>
      <c r="M146" s="14"/>
      <c r="N146" s="14" t="n">
        <f aca="false">ROUND((G146*I146)-K146-L146-M146,2)</f>
        <v>204.59</v>
      </c>
      <c r="O146" s="14"/>
      <c r="P146" s="14" t="n">
        <f aca="false">ROUND(IF(D146=0,IF((N146-E146-O146)&gt;0,(N146-E146-O146),0),IF((D146+N146-O146)&gt;0,(D146+N146-O146),0)),2)</f>
        <v>1432.13</v>
      </c>
      <c r="Q146" s="14" t="n">
        <f aca="false">ROUND(IF(E146=0,IF((D146+N146-O146)&lt;0,ABS(D146+N146-O146),0),IF((N146-E146-O146)&lt;0,ABS(N146-E146-O146),0)),2)</f>
        <v>0</v>
      </c>
    </row>
    <row r="147" customFormat="false" ht="15" hidden="false" customHeight="true" outlineLevel="0" collapsed="false">
      <c r="A147" s="12" t="s">
        <v>437</v>
      </c>
      <c r="B147" s="12" t="str">
        <f aca="false">квітень!B147</f>
        <v>Гаврилова Ю.О.</v>
      </c>
      <c r="C147" s="12" t="s">
        <v>439</v>
      </c>
      <c r="D147" s="14" t="n">
        <f aca="false">квітень!P147</f>
        <v>5714.86</v>
      </c>
      <c r="E147" s="14" t="n">
        <f aca="false">квітень!Q147</f>
        <v>0</v>
      </c>
      <c r="F147" s="13" t="n">
        <f aca="false">квітень!F147</f>
        <v>0</v>
      </c>
      <c r="G147" s="13" t="n">
        <f aca="false">квітень!G147</f>
        <v>65.8</v>
      </c>
      <c r="H147" s="13" t="n">
        <f aca="false">квітень!H147</f>
        <v>0</v>
      </c>
      <c r="I147" s="13" t="n">
        <f aca="false">квітень!I147</f>
        <v>4.1</v>
      </c>
      <c r="J147" s="14" t="n">
        <f aca="false">ROUND(G147*I147,2)</f>
        <v>269.78</v>
      </c>
      <c r="K147" s="14"/>
      <c r="L147" s="14"/>
      <c r="M147" s="14"/>
      <c r="N147" s="14" t="n">
        <f aca="false">ROUND((G147*I147)-K147-L147-M147,2)</f>
        <v>269.78</v>
      </c>
      <c r="O147" s="14"/>
      <c r="P147" s="14" t="n">
        <f aca="false">ROUND(IF(D147=0,IF((N147-E147-O147)&gt;0,(N147-E147-O147),0),IF((D147+N147-O147)&gt;0,(D147+N147-O147),0)),2)</f>
        <v>5984.64</v>
      </c>
      <c r="Q147" s="14" t="n">
        <f aca="false">ROUND(IF(E147=0,IF((D147+N147-O147)&lt;0,ABS(D147+N147-O147),0),IF((N147-E147-O147)&lt;0,ABS(N147-E147-O147),0)),2)</f>
        <v>0</v>
      </c>
    </row>
    <row r="148" customFormat="false" ht="15" hidden="false" customHeight="true" outlineLevel="0" collapsed="false">
      <c r="A148" s="12" t="s">
        <v>440</v>
      </c>
      <c r="B148" s="12" t="str">
        <f aca="false">квітень!B148</f>
        <v>Корзун Г.М.</v>
      </c>
      <c r="C148" s="12" t="s">
        <v>442</v>
      </c>
      <c r="D148" s="14" t="n">
        <f aca="false">квітень!P148</f>
        <v>2293.32</v>
      </c>
      <c r="E148" s="14" t="n">
        <f aca="false">квітень!Q148</f>
        <v>0</v>
      </c>
      <c r="F148" s="13" t="n">
        <f aca="false">квітень!F148</f>
        <v>0</v>
      </c>
      <c r="G148" s="13" t="n">
        <f aca="false">квітень!G148</f>
        <v>63.2</v>
      </c>
      <c r="H148" s="13" t="n">
        <f aca="false">квітень!H148</f>
        <v>0</v>
      </c>
      <c r="I148" s="13" t="n">
        <f aca="false">квітень!I148</f>
        <v>4.1</v>
      </c>
      <c r="J148" s="14" t="n">
        <f aca="false">ROUND(G148*I148,2)</f>
        <v>259.12</v>
      </c>
      <c r="K148" s="14"/>
      <c r="L148" s="14"/>
      <c r="M148" s="14"/>
      <c r="N148" s="14" t="n">
        <f aca="false">ROUND((G148*I148)-K148-L148-M148,2)</f>
        <v>259.12</v>
      </c>
      <c r="O148" s="14"/>
      <c r="P148" s="14" t="n">
        <f aca="false">ROUND(IF(D148=0,IF((N148-E148-O148)&gt;0,(N148-E148-O148),0),IF((D148+N148-O148)&gt;0,(D148+N148-O148),0)),2)</f>
        <v>2552.44</v>
      </c>
      <c r="Q148" s="14" t="n">
        <f aca="false">ROUND(IF(E148=0,IF((D148+N148-O148)&lt;0,ABS(D148+N148-O148),0),IF((N148-E148-O148)&lt;0,ABS(N148-E148-O148),0)),2)</f>
        <v>0</v>
      </c>
    </row>
    <row r="149" customFormat="false" ht="15" hidden="false" customHeight="true" outlineLevel="0" collapsed="false">
      <c r="A149" s="12" t="s">
        <v>443</v>
      </c>
      <c r="B149" s="12" t="str">
        <f aca="false">квітень!B149</f>
        <v>Бондаренко Л.Л.</v>
      </c>
      <c r="C149" s="12" t="s">
        <v>445</v>
      </c>
      <c r="D149" s="14" t="n">
        <f aca="false">квітень!P149</f>
        <v>4578.35</v>
      </c>
      <c r="E149" s="14" t="n">
        <f aca="false">квітень!Q149</f>
        <v>0</v>
      </c>
      <c r="F149" s="13" t="n">
        <f aca="false">квітень!F149</f>
        <v>0</v>
      </c>
      <c r="G149" s="13" t="n">
        <f aca="false">квітень!G149</f>
        <v>34.9</v>
      </c>
      <c r="H149" s="13" t="n">
        <f aca="false">квітень!H149</f>
        <v>0</v>
      </c>
      <c r="I149" s="13" t="n">
        <f aca="false">квітень!I149</f>
        <v>4.1</v>
      </c>
      <c r="J149" s="14" t="n">
        <f aca="false">ROUND(G149*I149,2)</f>
        <v>143.09</v>
      </c>
      <c r="K149" s="14"/>
      <c r="L149" s="14"/>
      <c r="M149" s="14"/>
      <c r="N149" s="14" t="n">
        <f aca="false">ROUND((G149*I149)-K149-L149-M149,2)</f>
        <v>143.09</v>
      </c>
      <c r="O149" s="14"/>
      <c r="P149" s="14" t="n">
        <f aca="false">ROUND(IF(D149=0,IF((N149-E149-O149)&gt;0,(N149-E149-O149),0),IF((D149+N149-O149)&gt;0,(D149+N149-O149),0)),2)</f>
        <v>4721.44</v>
      </c>
      <c r="Q149" s="14" t="n">
        <f aca="false">ROUND(IF(E149=0,IF((D149+N149-O149)&lt;0,ABS(D149+N149-O149),0),IF((N149-E149-O149)&lt;0,ABS(N149-E149-O149),0)),2)</f>
        <v>0</v>
      </c>
    </row>
    <row r="150" customFormat="false" ht="15" hidden="false" customHeight="true" outlineLevel="0" collapsed="false">
      <c r="A150" s="12" t="s">
        <v>446</v>
      </c>
      <c r="B150" s="12" t="str">
        <f aca="false">квітень!B150</f>
        <v>Капелюш Н.А.</v>
      </c>
      <c r="C150" s="12" t="s">
        <v>448</v>
      </c>
      <c r="D150" s="14" t="n">
        <f aca="false">квітень!P150</f>
        <v>10332</v>
      </c>
      <c r="E150" s="14" t="n">
        <f aca="false">квітень!Q150</f>
        <v>0</v>
      </c>
      <c r="F150" s="13" t="n">
        <f aca="false">квітень!F150</f>
        <v>0</v>
      </c>
      <c r="G150" s="13" t="n">
        <f aca="false">квітень!G150</f>
        <v>50.4</v>
      </c>
      <c r="H150" s="13" t="n">
        <f aca="false">квітень!H150</f>
        <v>0</v>
      </c>
      <c r="I150" s="13" t="n">
        <f aca="false">квітень!I150</f>
        <v>4.1</v>
      </c>
      <c r="J150" s="14" t="n">
        <f aca="false">ROUND(G150*I150,2)</f>
        <v>206.64</v>
      </c>
      <c r="K150" s="14"/>
      <c r="L150" s="14"/>
      <c r="M150" s="14"/>
      <c r="N150" s="14" t="n">
        <f aca="false">ROUND((G150*I150)-K150-L150-M150,2)</f>
        <v>206.64</v>
      </c>
      <c r="O150" s="14"/>
      <c r="P150" s="14" t="n">
        <f aca="false">ROUND(IF(D150=0,IF((N150-E150-O150)&gt;0,(N150-E150-O150),0),IF((D150+N150-O150)&gt;0,(D150+N150-O150),0)),2)</f>
        <v>10538.64</v>
      </c>
      <c r="Q150" s="14" t="n">
        <f aca="false">ROUND(IF(E150=0,IF((D150+N150-O150)&lt;0,ABS(D150+N150-O150),0),IF((N150-E150-O150)&lt;0,ABS(N150-E150-O150),0)),2)</f>
        <v>0</v>
      </c>
    </row>
    <row r="151" customFormat="false" ht="15" hidden="false" customHeight="true" outlineLevel="0" collapsed="false">
      <c r="A151" s="12" t="s">
        <v>449</v>
      </c>
      <c r="B151" s="12" t="str">
        <f aca="false">квітень!B151</f>
        <v>Кістрінь Л.П.</v>
      </c>
      <c r="C151" s="12" t="s">
        <v>451</v>
      </c>
      <c r="D151" s="14" t="n">
        <f aca="false">квітень!P151</f>
        <v>13688.05</v>
      </c>
      <c r="E151" s="14" t="n">
        <f aca="false">квітень!Q151</f>
        <v>0</v>
      </c>
      <c r="F151" s="13" t="n">
        <f aca="false">квітень!F151</f>
        <v>0</v>
      </c>
      <c r="G151" s="13" t="n">
        <f aca="false">квітень!G151</f>
        <v>65.2</v>
      </c>
      <c r="H151" s="13" t="n">
        <f aca="false">квітень!H151</f>
        <v>0</v>
      </c>
      <c r="I151" s="13" t="n">
        <f aca="false">квітень!I151</f>
        <v>4.1</v>
      </c>
      <c r="J151" s="14" t="n">
        <f aca="false">ROUND(G151*I151,2)</f>
        <v>267.32</v>
      </c>
      <c r="K151" s="14"/>
      <c r="L151" s="14"/>
      <c r="M151" s="14"/>
      <c r="N151" s="14" t="n">
        <f aca="false">ROUND((G151*I151)-K151-L151-M151,2)</f>
        <v>267.32</v>
      </c>
      <c r="O151" s="14"/>
      <c r="P151" s="14" t="n">
        <f aca="false">ROUND(IF(D151=0,IF((N151-E151-O151)&gt;0,(N151-E151-O151),0),IF((D151+N151-O151)&gt;0,(D151+N151-O151),0)),2)</f>
        <v>13955.37</v>
      </c>
      <c r="Q151" s="14" t="n">
        <f aca="false">ROUND(IF(E151=0,IF((D151+N151-O151)&lt;0,ABS(D151+N151-O151),0),IF((N151-E151-O151)&lt;0,ABS(N151-E151-O151),0)),2)</f>
        <v>0</v>
      </c>
    </row>
    <row r="152" customFormat="false" ht="15" hidden="false" customHeight="true" outlineLevel="0" collapsed="false">
      <c r="A152" s="12" t="s">
        <v>452</v>
      </c>
      <c r="B152" s="12" t="str">
        <f aca="false">квітень!B152</f>
        <v>Козьміна І.В.</v>
      </c>
      <c r="C152" s="12" t="s">
        <v>454</v>
      </c>
      <c r="D152" s="14" t="n">
        <f aca="false">квітень!P152</f>
        <v>2912.14</v>
      </c>
      <c r="E152" s="14" t="n">
        <f aca="false">квітень!Q152</f>
        <v>0</v>
      </c>
      <c r="F152" s="13" t="n">
        <f aca="false">квітень!F152</f>
        <v>0</v>
      </c>
      <c r="G152" s="13" t="n">
        <f aca="false">квітень!G152</f>
        <v>64.57</v>
      </c>
      <c r="H152" s="13" t="n">
        <f aca="false">квітень!H152</f>
        <v>0</v>
      </c>
      <c r="I152" s="13" t="n">
        <f aca="false">квітень!I152</f>
        <v>4.1</v>
      </c>
      <c r="J152" s="14" t="n">
        <f aca="false">ROUND(G152*I152,2)</f>
        <v>264.74</v>
      </c>
      <c r="K152" s="14"/>
      <c r="L152" s="14"/>
      <c r="M152" s="14"/>
      <c r="N152" s="14" t="n">
        <f aca="false">ROUND((G152*I152)-K152-L152-M152,2)</f>
        <v>264.74</v>
      </c>
      <c r="O152" s="14"/>
      <c r="P152" s="14" t="n">
        <f aca="false">ROUND(IF(D152=0,IF((N152-E152-O152)&gt;0,(N152-E152-O152),0),IF((D152+N152-O152)&gt;0,(D152+N152-O152),0)),2)</f>
        <v>3176.88</v>
      </c>
      <c r="Q152" s="14" t="n">
        <f aca="false">ROUND(IF(E152=0,IF((D152+N152-O152)&lt;0,ABS(D152+N152-O152),0),IF((N152-E152-O152)&lt;0,ABS(N152-E152-O152),0)),2)</f>
        <v>0</v>
      </c>
    </row>
    <row r="153" customFormat="false" ht="15" hidden="false" customHeight="true" outlineLevel="0" collapsed="false">
      <c r="A153" s="12" t="s">
        <v>455</v>
      </c>
      <c r="B153" s="12" t="str">
        <f aca="false">квітень!B153</f>
        <v>Чала С.С.</v>
      </c>
      <c r="C153" s="12" t="s">
        <v>457</v>
      </c>
      <c r="D153" s="14" t="n">
        <f aca="false">квітень!P153</f>
        <v>11838.89</v>
      </c>
      <c r="E153" s="14" t="n">
        <f aca="false">квітень!Q153</f>
        <v>0</v>
      </c>
      <c r="F153" s="13" t="n">
        <f aca="false">квітень!F153</f>
        <v>0</v>
      </c>
      <c r="G153" s="13" t="n">
        <f aca="false">квітень!G153</f>
        <v>48.7</v>
      </c>
      <c r="H153" s="13" t="n">
        <f aca="false">квітень!H153</f>
        <v>0</v>
      </c>
      <c r="I153" s="13" t="n">
        <f aca="false">квітень!I153</f>
        <v>4.1</v>
      </c>
      <c r="J153" s="14" t="n">
        <f aca="false">ROUND(G153*I153,2)</f>
        <v>199.67</v>
      </c>
      <c r="K153" s="14"/>
      <c r="L153" s="14"/>
      <c r="M153" s="14"/>
      <c r="N153" s="14" t="n">
        <f aca="false">ROUND((G153*I153)-K153-L153-M153,2)</f>
        <v>199.67</v>
      </c>
      <c r="O153" s="14"/>
      <c r="P153" s="14" t="n">
        <f aca="false">ROUND(IF(D153=0,IF((N153-E153-O153)&gt;0,(N153-E153-O153),0),IF((D153+N153-O153)&gt;0,(D153+N153-O153),0)),2)</f>
        <v>12038.56</v>
      </c>
      <c r="Q153" s="14" t="n">
        <f aca="false">ROUND(IF(E153=0,IF((D153+N153-O153)&lt;0,ABS(D153+N153-O153),0),IF((N153-E153-O153)&lt;0,ABS(N153-E153-O153),0)),2)</f>
        <v>0</v>
      </c>
    </row>
    <row r="154" customFormat="false" ht="15" hidden="false" customHeight="true" outlineLevel="0" collapsed="false">
      <c r="A154" s="12" t="s">
        <v>458</v>
      </c>
      <c r="B154" s="12" t="str">
        <f aca="false">квітень!B154</f>
        <v>Свєтайлова І.М.</v>
      </c>
      <c r="C154" s="12" t="s">
        <v>460</v>
      </c>
      <c r="D154" s="14" t="n">
        <f aca="false">квітень!P154</f>
        <v>1524.41</v>
      </c>
      <c r="E154" s="14" t="n">
        <f aca="false">квітень!Q154</f>
        <v>0</v>
      </c>
      <c r="F154" s="13" t="n">
        <f aca="false">квітень!F154</f>
        <v>0</v>
      </c>
      <c r="G154" s="13" t="n">
        <f aca="false">квітень!G154</f>
        <v>35.1</v>
      </c>
      <c r="H154" s="13" t="n">
        <f aca="false">квітень!H154</f>
        <v>0</v>
      </c>
      <c r="I154" s="13" t="n">
        <f aca="false">квітень!I154</f>
        <v>4.1</v>
      </c>
      <c r="J154" s="14" t="n">
        <f aca="false">ROUND(G154*I154,2)</f>
        <v>143.91</v>
      </c>
      <c r="K154" s="14"/>
      <c r="L154" s="14"/>
      <c r="M154" s="14"/>
      <c r="N154" s="14" t="n">
        <f aca="false">ROUND((G154*I154)-K154-L154-M154,2)</f>
        <v>143.91</v>
      </c>
      <c r="O154" s="14"/>
      <c r="P154" s="14" t="n">
        <f aca="false">ROUND(IF(D154=0,IF((N154-E154-O154)&gt;0,(N154-E154-O154),0),IF((D154+N154-O154)&gt;0,(D154+N154-O154),0)),2)</f>
        <v>1668.32</v>
      </c>
      <c r="Q154" s="14" t="n">
        <f aca="false">ROUND(IF(E154=0,IF((D154+N154-O154)&lt;0,ABS(D154+N154-O154),0),IF((N154-E154-O154)&lt;0,ABS(N154-E154-O154),0)),2)</f>
        <v>0</v>
      </c>
    </row>
    <row r="155" customFormat="false" ht="15" hidden="false" customHeight="true" outlineLevel="0" collapsed="false">
      <c r="A155" s="12" t="s">
        <v>461</v>
      </c>
      <c r="B155" s="12" t="str">
        <f aca="false">квітень!B155</f>
        <v>Неделько Д.І.</v>
      </c>
      <c r="C155" s="12" t="s">
        <v>463</v>
      </c>
      <c r="D155" s="14" t="n">
        <f aca="false">квітень!P155</f>
        <v>7467.76</v>
      </c>
      <c r="E155" s="14" t="n">
        <f aca="false">квітень!Q155</f>
        <v>0</v>
      </c>
      <c r="F155" s="13" t="n">
        <f aca="false">квітень!F155</f>
        <v>0</v>
      </c>
      <c r="G155" s="13" t="n">
        <f aca="false">квітень!G155</f>
        <v>53.57</v>
      </c>
      <c r="H155" s="13" t="n">
        <f aca="false">квітень!H155</f>
        <v>0</v>
      </c>
      <c r="I155" s="13" t="n">
        <f aca="false">квітень!I155</f>
        <v>4.1</v>
      </c>
      <c r="J155" s="14" t="n">
        <f aca="false">ROUND(G155*I155,2)</f>
        <v>219.64</v>
      </c>
      <c r="K155" s="14"/>
      <c r="L155" s="14"/>
      <c r="M155" s="14"/>
      <c r="N155" s="14" t="n">
        <f aca="false">ROUND((G155*I155)-K155-L155-M155,2)</f>
        <v>219.64</v>
      </c>
      <c r="O155" s="14"/>
      <c r="P155" s="14" t="n">
        <f aca="false">ROUND(IF(D155=0,IF((N155-E155-O155)&gt;0,(N155-E155-O155),0),IF((D155+N155-O155)&gt;0,(D155+N155-O155),0)),2)</f>
        <v>7687.4</v>
      </c>
      <c r="Q155" s="14" t="n">
        <f aca="false">ROUND(IF(E155=0,IF((D155+N155-O155)&lt;0,ABS(D155+N155-O155),0),IF((N155-E155-O155)&lt;0,ABS(N155-E155-O155),0)),2)</f>
        <v>0</v>
      </c>
    </row>
    <row r="156" customFormat="false" ht="15" hidden="false" customHeight="true" outlineLevel="0" collapsed="false">
      <c r="A156" s="12" t="s">
        <v>464</v>
      </c>
      <c r="B156" s="12" t="str">
        <f aca="false">квітень!B156</f>
        <v>Самойленко Л.К.</v>
      </c>
      <c r="C156" s="12" t="s">
        <v>466</v>
      </c>
      <c r="D156" s="14" t="n">
        <f aca="false">квітень!P156</f>
        <v>0</v>
      </c>
      <c r="E156" s="14" t="n">
        <f aca="false">квітень!Q156</f>
        <v>1280.9</v>
      </c>
      <c r="F156" s="13" t="n">
        <f aca="false">квітень!F156</f>
        <v>0</v>
      </c>
      <c r="G156" s="13" t="n">
        <f aca="false">квітень!G156</f>
        <v>65.7</v>
      </c>
      <c r="H156" s="13" t="n">
        <f aca="false">квітень!H156</f>
        <v>0</v>
      </c>
      <c r="I156" s="13" t="n">
        <f aca="false">квітень!I156</f>
        <v>4.1</v>
      </c>
      <c r="J156" s="14" t="n">
        <f aca="false">ROUND(G156*I156,2)</f>
        <v>269.37</v>
      </c>
      <c r="K156" s="14"/>
      <c r="L156" s="14"/>
      <c r="M156" s="14"/>
      <c r="N156" s="14" t="n">
        <f aca="false">ROUND((G156*I156)-K156-L156-M156,2)</f>
        <v>269.37</v>
      </c>
      <c r="O156" s="14"/>
      <c r="P156" s="14" t="n">
        <f aca="false">ROUND(IF(D156=0,IF((N156-E156-O156)&gt;0,(N156-E156-O156),0),IF((D156+N156-O156)&gt;0,(D156+N156-O156),0)),2)</f>
        <v>0</v>
      </c>
      <c r="Q156" s="14" t="n">
        <f aca="false">ROUND(IF(E156=0,IF((D156+N156-O156)&lt;0,ABS(D156+N156-O156),0),IF((N156-E156-O156)&lt;0,ABS(N156-E156-O156),0)),2)</f>
        <v>1011.53</v>
      </c>
    </row>
    <row r="157" customFormat="false" ht="15" hidden="false" customHeight="true" outlineLevel="0" collapsed="false">
      <c r="A157" s="12" t="s">
        <v>467</v>
      </c>
      <c r="B157" s="12" t="str">
        <f aca="false">квітень!B157</f>
        <v>Павлов Ю.В.</v>
      </c>
      <c r="C157" s="12" t="s">
        <v>469</v>
      </c>
      <c r="D157" s="14" t="n">
        <f aca="false">квітень!P157</f>
        <v>3241.78</v>
      </c>
      <c r="E157" s="14" t="n">
        <f aca="false">квітень!Q157</f>
        <v>0</v>
      </c>
      <c r="F157" s="13" t="n">
        <f aca="false">квітень!F157</f>
        <v>0</v>
      </c>
      <c r="G157" s="13" t="n">
        <f aca="false">квітень!G157</f>
        <v>49.78</v>
      </c>
      <c r="H157" s="13" t="n">
        <f aca="false">квітень!H157</f>
        <v>0</v>
      </c>
      <c r="I157" s="13" t="n">
        <f aca="false">квітень!I157</f>
        <v>4.1</v>
      </c>
      <c r="J157" s="14" t="n">
        <f aca="false">ROUND(G157*I157,2)</f>
        <v>204.1</v>
      </c>
      <c r="K157" s="14"/>
      <c r="L157" s="14"/>
      <c r="M157" s="14"/>
      <c r="N157" s="14" t="n">
        <f aca="false">ROUND((G157*I157)-K157-L157-M157,2)</f>
        <v>204.1</v>
      </c>
      <c r="O157" s="14"/>
      <c r="P157" s="14" t="n">
        <f aca="false">ROUND(IF(D157=0,IF((N157-E157-O157)&gt;0,(N157-E157-O157),0),IF((D157+N157-O157)&gt;0,(D157+N157-O157),0)),2)</f>
        <v>3445.88</v>
      </c>
      <c r="Q157" s="14" t="n">
        <f aca="false">ROUND(IF(E157=0,IF((D157+N157-O157)&lt;0,ABS(D157+N157-O157),0),IF((N157-E157-O157)&lt;0,ABS(N157-E157-O157),0)),2)</f>
        <v>0</v>
      </c>
    </row>
    <row r="158" customFormat="false" ht="15" hidden="false" customHeight="true" outlineLevel="0" collapsed="false">
      <c r="A158" s="12" t="s">
        <v>470</v>
      </c>
      <c r="B158" s="12" t="str">
        <f aca="false">квітень!B158</f>
        <v>Коваленко Т.М.</v>
      </c>
      <c r="C158" s="12" t="s">
        <v>472</v>
      </c>
      <c r="D158" s="14" t="n">
        <f aca="false">квітень!P158</f>
        <v>861</v>
      </c>
      <c r="E158" s="14" t="n">
        <f aca="false">квітень!Q158</f>
        <v>0</v>
      </c>
      <c r="F158" s="13" t="n">
        <f aca="false">квітень!F158</f>
        <v>0</v>
      </c>
      <c r="G158" s="13" t="n">
        <f aca="false">квітень!G158</f>
        <v>35</v>
      </c>
      <c r="H158" s="13" t="n">
        <f aca="false">квітень!H158</f>
        <v>0</v>
      </c>
      <c r="I158" s="13" t="n">
        <f aca="false">квітень!I158</f>
        <v>4.1</v>
      </c>
      <c r="J158" s="14" t="n">
        <f aca="false">ROUND(G158*I158,2)</f>
        <v>143.5</v>
      </c>
      <c r="K158" s="14"/>
      <c r="L158" s="14"/>
      <c r="M158" s="14"/>
      <c r="N158" s="14" t="n">
        <f aca="false">ROUND((G158*I158)-K158-L158-M158,2)</f>
        <v>143.5</v>
      </c>
      <c r="O158" s="14"/>
      <c r="P158" s="14" t="n">
        <f aca="false">ROUND(IF(D158=0,IF((N158-E158-O158)&gt;0,(N158-E158-O158),0),IF((D158+N158-O158)&gt;0,(D158+N158-O158),0)),2)</f>
        <v>1004.5</v>
      </c>
      <c r="Q158" s="14" t="n">
        <f aca="false">ROUND(IF(E158=0,IF((D158+N158-O158)&lt;0,ABS(D158+N158-O158),0),IF((N158-E158-O158)&lt;0,ABS(N158-E158-O158),0)),2)</f>
        <v>0</v>
      </c>
    </row>
    <row r="159" customFormat="false" ht="15" hidden="false" customHeight="true" outlineLevel="0" collapsed="false">
      <c r="A159" s="12" t="s">
        <v>473</v>
      </c>
      <c r="B159" s="12" t="str">
        <f aca="false">квітень!B159</f>
        <v>Рощенко Л.Б.</v>
      </c>
      <c r="C159" s="12" t="s">
        <v>475</v>
      </c>
      <c r="D159" s="14" t="n">
        <f aca="false">квітень!P159</f>
        <v>10913.09</v>
      </c>
      <c r="E159" s="14" t="n">
        <f aca="false">квітень!Q159</f>
        <v>0</v>
      </c>
      <c r="F159" s="13" t="n">
        <f aca="false">квітень!F159</f>
        <v>0</v>
      </c>
      <c r="G159" s="13" t="n">
        <f aca="false">квітень!G159</f>
        <v>62.08</v>
      </c>
      <c r="H159" s="13" t="n">
        <f aca="false">квітень!H159</f>
        <v>0</v>
      </c>
      <c r="I159" s="13" t="n">
        <f aca="false">квітень!I159</f>
        <v>4.1</v>
      </c>
      <c r="J159" s="14" t="n">
        <f aca="false">ROUND(G159*I159,2)</f>
        <v>254.53</v>
      </c>
      <c r="K159" s="14"/>
      <c r="L159" s="14"/>
      <c r="M159" s="14"/>
      <c r="N159" s="14" t="n">
        <f aca="false">ROUND((G159*I159)-K159-L159-M159,2)</f>
        <v>254.53</v>
      </c>
      <c r="O159" s="14"/>
      <c r="P159" s="14" t="n">
        <f aca="false">ROUND(IF(D159=0,IF((N159-E159-O159)&gt;0,(N159-E159-O159),0),IF((D159+N159-O159)&gt;0,(D159+N159-O159),0)),2)</f>
        <v>11167.62</v>
      </c>
      <c r="Q159" s="14" t="n">
        <f aca="false">ROUND(IF(E159=0,IF((D159+N159-O159)&lt;0,ABS(D159+N159-O159),0),IF((N159-E159-O159)&lt;0,ABS(N159-E159-O159),0)),2)</f>
        <v>0</v>
      </c>
    </row>
    <row r="160" customFormat="false" ht="15" hidden="false" customHeight="true" outlineLevel="0" collapsed="false">
      <c r="A160" s="12" t="s">
        <v>476</v>
      </c>
      <c r="B160" s="12" t="str">
        <f aca="false">квітень!B160</f>
        <v>Галушко С.Т.</v>
      </c>
      <c r="C160" s="12" t="s">
        <v>478</v>
      </c>
      <c r="D160" s="14" t="n">
        <f aca="false">квітень!P160</f>
        <v>810.09</v>
      </c>
      <c r="E160" s="14" t="n">
        <f aca="false">квітень!Q160</f>
        <v>0</v>
      </c>
      <c r="F160" s="13" t="n">
        <f aca="false">квітень!F160</f>
        <v>0</v>
      </c>
      <c r="G160" s="13" t="n">
        <f aca="false">квітень!G160</f>
        <v>65.86</v>
      </c>
      <c r="H160" s="13" t="n">
        <f aca="false">квітень!H160</f>
        <v>0</v>
      </c>
      <c r="I160" s="13" t="n">
        <f aca="false">квітень!I160</f>
        <v>4.1</v>
      </c>
      <c r="J160" s="14" t="n">
        <f aca="false">ROUND(G160*I160,2)</f>
        <v>270.03</v>
      </c>
      <c r="K160" s="14"/>
      <c r="L160" s="14"/>
      <c r="M160" s="14"/>
      <c r="N160" s="14" t="n">
        <f aca="false">ROUND((G160*I160)-K160-L160-M160,2)</f>
        <v>270.03</v>
      </c>
      <c r="O160" s="14"/>
      <c r="P160" s="14" t="n">
        <f aca="false">ROUND(IF(D160=0,IF((N160-E160-O160)&gt;0,(N160-E160-O160),0),IF((D160+N160-O160)&gt;0,(D160+N160-O160),0)),2)</f>
        <v>1080.12</v>
      </c>
      <c r="Q160" s="14" t="n">
        <f aca="false">ROUND(IF(E160=0,IF((D160+N160-O160)&lt;0,ABS(D160+N160-O160),0),IF((N160-E160-O160)&lt;0,ABS(N160-E160-O160),0)),2)</f>
        <v>0</v>
      </c>
    </row>
    <row r="161" customFormat="false" ht="15" hidden="false" customHeight="true" outlineLevel="0" collapsed="false">
      <c r="A161" s="12" t="s">
        <v>479</v>
      </c>
      <c r="B161" s="12" t="str">
        <f aca="false">квітень!B161</f>
        <v>Наумова Л.Я.</v>
      </c>
      <c r="C161" s="12" t="s">
        <v>481</v>
      </c>
      <c r="D161" s="14" t="n">
        <f aca="false">квітень!P161</f>
        <v>781.6</v>
      </c>
      <c r="E161" s="14" t="n">
        <f aca="false">квітень!Q161</f>
        <v>0</v>
      </c>
      <c r="F161" s="13" t="n">
        <f aca="false">квітень!F161</f>
        <v>0</v>
      </c>
      <c r="G161" s="13" t="n">
        <f aca="false">квітень!G161</f>
        <v>49.95</v>
      </c>
      <c r="H161" s="13" t="n">
        <f aca="false">квітень!H161</f>
        <v>0</v>
      </c>
      <c r="I161" s="13" t="n">
        <f aca="false">квітень!I161</f>
        <v>4.1</v>
      </c>
      <c r="J161" s="14" t="n">
        <f aca="false">ROUND(G161*I161,2)</f>
        <v>204.8</v>
      </c>
      <c r="K161" s="14"/>
      <c r="L161" s="14"/>
      <c r="M161" s="14"/>
      <c r="N161" s="14" t="n">
        <f aca="false">ROUND((G161*I161)-K161-L161-M161,2)</f>
        <v>204.8</v>
      </c>
      <c r="O161" s="14"/>
      <c r="P161" s="14" t="n">
        <f aca="false">ROUND(IF(D161=0,IF((N161-E161-O161)&gt;0,(N161-E161-O161),0),IF((D161+N161-O161)&gt;0,(D161+N161-O161),0)),2)</f>
        <v>986.4</v>
      </c>
      <c r="Q161" s="14" t="n">
        <f aca="false">ROUND(IF(E161=0,IF((D161+N161-O161)&lt;0,ABS(D161+N161-O161),0),IF((N161-E161-O161)&lt;0,ABS(N161-E161-O161),0)),2)</f>
        <v>0</v>
      </c>
    </row>
    <row r="162" customFormat="false" ht="15" hidden="false" customHeight="true" outlineLevel="0" collapsed="false">
      <c r="A162" s="12" t="s">
        <v>482</v>
      </c>
      <c r="B162" s="12" t="str">
        <f aca="false">квітень!B162</f>
        <v>Грєк В.С.</v>
      </c>
      <c r="C162" s="12" t="s">
        <v>484</v>
      </c>
      <c r="D162" s="14" t="n">
        <f aca="false">квітень!P162</f>
        <v>0</v>
      </c>
      <c r="E162" s="14" t="n">
        <f aca="false">квітень!Q162</f>
        <v>844.94</v>
      </c>
      <c r="F162" s="13" t="n">
        <f aca="false">квітень!F162</f>
        <v>0</v>
      </c>
      <c r="G162" s="13" t="n">
        <f aca="false">квітень!G162</f>
        <v>33.9</v>
      </c>
      <c r="H162" s="13" t="n">
        <f aca="false">квітень!H162</f>
        <v>0</v>
      </c>
      <c r="I162" s="13" t="n">
        <f aca="false">квітень!I162</f>
        <v>4.1</v>
      </c>
      <c r="J162" s="14" t="n">
        <f aca="false">ROUND(G162*I162,2)</f>
        <v>138.99</v>
      </c>
      <c r="K162" s="14"/>
      <c r="L162" s="14"/>
      <c r="M162" s="14"/>
      <c r="N162" s="14" t="n">
        <f aca="false">ROUND((G162*I162)-K162-L162-M162,2)</f>
        <v>138.99</v>
      </c>
      <c r="O162" s="14"/>
      <c r="P162" s="14" t="n">
        <f aca="false">ROUND(IF(D162=0,IF((N162-E162-O162)&gt;0,(N162-E162-O162),0),IF((D162+N162-O162)&gt;0,(D162+N162-O162),0)),2)</f>
        <v>0</v>
      </c>
      <c r="Q162" s="14" t="n">
        <f aca="false">ROUND(IF(E162=0,IF((D162+N162-O162)&lt;0,ABS(D162+N162-O162),0),IF((N162-E162-O162)&lt;0,ABS(N162-E162-O162),0)),2)</f>
        <v>705.95</v>
      </c>
    </row>
    <row r="163" customFormat="false" ht="15" hidden="false" customHeight="true" outlineLevel="0" collapsed="false">
      <c r="A163" s="12" t="s">
        <v>485</v>
      </c>
      <c r="B163" s="12" t="str">
        <f aca="false">квітень!B163</f>
        <v>Пермінов О.А.</v>
      </c>
      <c r="C163" s="12" t="s">
        <v>487</v>
      </c>
      <c r="D163" s="14" t="n">
        <f aca="false">квітень!P163</f>
        <v>1893.04</v>
      </c>
      <c r="E163" s="14" t="n">
        <f aca="false">квітень!Q163</f>
        <v>0</v>
      </c>
      <c r="F163" s="13" t="n">
        <f aca="false">квітень!F163</f>
        <v>0</v>
      </c>
      <c r="G163" s="13" t="n">
        <f aca="false">квітень!G163</f>
        <v>62.43</v>
      </c>
      <c r="H163" s="13" t="n">
        <f aca="false">квітень!H163</f>
        <v>0</v>
      </c>
      <c r="I163" s="13" t="n">
        <f aca="false">квітень!I163</f>
        <v>4.1</v>
      </c>
      <c r="J163" s="14" t="n">
        <f aca="false">ROUND(G163*I163,2)</f>
        <v>255.96</v>
      </c>
      <c r="K163" s="14"/>
      <c r="L163" s="14"/>
      <c r="M163" s="14"/>
      <c r="N163" s="14" t="n">
        <f aca="false">ROUND((G163*I163)-K163-L163-M163,2)</f>
        <v>255.96</v>
      </c>
      <c r="O163" s="14"/>
      <c r="P163" s="14" t="n">
        <f aca="false">ROUND(IF(D163=0,IF((N163-E163-O163)&gt;0,(N163-E163-O163),0),IF((D163+N163-O163)&gt;0,(D163+N163-O163),0)),2)</f>
        <v>2149</v>
      </c>
      <c r="Q163" s="14" t="n">
        <f aca="false">ROUND(IF(E163=0,IF((D163+N163-O163)&lt;0,ABS(D163+N163-O163),0),IF((N163-E163-O163)&lt;0,ABS(N163-E163-O163),0)),2)</f>
        <v>0</v>
      </c>
    </row>
    <row r="164" customFormat="false" ht="15" hidden="false" customHeight="true" outlineLevel="0" collapsed="false">
      <c r="A164" s="12" t="s">
        <v>488</v>
      </c>
      <c r="B164" s="12" t="str">
        <f aca="false">квітень!B164</f>
        <v>Рябчук Л.П.</v>
      </c>
      <c r="C164" s="12" t="s">
        <v>490</v>
      </c>
      <c r="D164" s="14" t="n">
        <f aca="false">квітень!P164</f>
        <v>8028.4</v>
      </c>
      <c r="E164" s="14" t="n">
        <f aca="false">квітень!Q164</f>
        <v>0</v>
      </c>
      <c r="F164" s="13" t="n">
        <f aca="false">квітень!F164</f>
        <v>0</v>
      </c>
      <c r="G164" s="13" t="n">
        <f aca="false">квітень!G164</f>
        <v>64.8</v>
      </c>
      <c r="H164" s="13" t="n">
        <f aca="false">квітень!H164</f>
        <v>0</v>
      </c>
      <c r="I164" s="13" t="n">
        <f aca="false">квітень!I164</f>
        <v>4.1</v>
      </c>
      <c r="J164" s="14" t="n">
        <f aca="false">ROUND(G164*I164,2)</f>
        <v>265.68</v>
      </c>
      <c r="K164" s="14"/>
      <c r="L164" s="14"/>
      <c r="M164" s="14"/>
      <c r="N164" s="14" t="n">
        <f aca="false">ROUND((G164*I164)-K164-L164-M164,2)</f>
        <v>265.68</v>
      </c>
      <c r="O164" s="14"/>
      <c r="P164" s="14" t="n">
        <f aca="false">ROUND(IF(D164=0,IF((N164-E164-O164)&gt;0,(N164-E164-O164),0),IF((D164+N164-O164)&gt;0,(D164+N164-O164),0)),2)</f>
        <v>8294.08</v>
      </c>
      <c r="Q164" s="14" t="n">
        <f aca="false">ROUND(IF(E164=0,IF((D164+N164-O164)&lt;0,ABS(D164+N164-O164),0),IF((N164-E164-O164)&lt;0,ABS(N164-E164-O164),0)),2)</f>
        <v>0</v>
      </c>
    </row>
    <row r="165" customFormat="false" ht="15" hidden="false" customHeight="true" outlineLevel="0" collapsed="false">
      <c r="A165" s="12" t="s">
        <v>491</v>
      </c>
      <c r="B165" s="12" t="str">
        <f aca="false">квітень!B165</f>
        <v>Копасова Л.Б.</v>
      </c>
      <c r="C165" s="12" t="s">
        <v>493</v>
      </c>
      <c r="D165" s="14" t="n">
        <f aca="false">квітень!P165</f>
        <v>810.16</v>
      </c>
      <c r="E165" s="14" t="n">
        <f aca="false">квітень!Q165</f>
        <v>0</v>
      </c>
      <c r="F165" s="13" t="n">
        <f aca="false">квітень!F165</f>
        <v>0</v>
      </c>
      <c r="G165" s="13" t="n">
        <f aca="false">квітень!G165</f>
        <v>49.4</v>
      </c>
      <c r="H165" s="13" t="n">
        <f aca="false">квітень!H165</f>
        <v>0</v>
      </c>
      <c r="I165" s="13" t="n">
        <f aca="false">квітень!I165</f>
        <v>4.1</v>
      </c>
      <c r="J165" s="14" t="n">
        <f aca="false">ROUND(G165*I165,2)</f>
        <v>202.54</v>
      </c>
      <c r="K165" s="14"/>
      <c r="L165" s="14"/>
      <c r="M165" s="14"/>
      <c r="N165" s="14" t="n">
        <f aca="false">ROUND((G165*I165)-K165-L165-M165,2)</f>
        <v>202.54</v>
      </c>
      <c r="O165" s="14"/>
      <c r="P165" s="14" t="n">
        <f aca="false">ROUND(IF(D165=0,IF((N165-E165-O165)&gt;0,(N165-E165-O165),0),IF((D165+N165-O165)&gt;0,(D165+N165-O165),0)),2)</f>
        <v>1012.7</v>
      </c>
      <c r="Q165" s="14" t="n">
        <f aca="false">ROUND(IF(E165=0,IF((D165+N165-O165)&lt;0,ABS(D165+N165-O165),0),IF((N165-E165-O165)&lt;0,ABS(N165-E165-O165),0)),2)</f>
        <v>0</v>
      </c>
    </row>
    <row r="166" customFormat="false" ht="15" hidden="false" customHeight="true" outlineLevel="0" collapsed="false">
      <c r="A166" s="12" t="s">
        <v>494</v>
      </c>
      <c r="B166" s="12" t="str">
        <f aca="false">квітень!B166</f>
        <v>Киричинська Г.Я.</v>
      </c>
      <c r="C166" s="12" t="s">
        <v>496</v>
      </c>
      <c r="D166" s="14" t="n">
        <f aca="false">квітень!P166</f>
        <v>4200.79</v>
      </c>
      <c r="E166" s="14" t="n">
        <f aca="false">квітень!Q166</f>
        <v>0</v>
      </c>
      <c r="F166" s="13" t="n">
        <f aca="false">квітень!F166</f>
        <v>0</v>
      </c>
      <c r="G166" s="13" t="n">
        <f aca="false">квітень!G166</f>
        <v>35.1</v>
      </c>
      <c r="H166" s="13" t="n">
        <f aca="false">квітень!H166</f>
        <v>0</v>
      </c>
      <c r="I166" s="13" t="n">
        <f aca="false">квітень!I166</f>
        <v>4.1</v>
      </c>
      <c r="J166" s="14" t="n">
        <f aca="false">ROUND(G166*I166,2)</f>
        <v>143.91</v>
      </c>
      <c r="K166" s="14"/>
      <c r="L166" s="14"/>
      <c r="M166" s="14"/>
      <c r="N166" s="14" t="n">
        <f aca="false">ROUND((G166*I166)-K166-L166-M166,2)</f>
        <v>143.91</v>
      </c>
      <c r="O166" s="14"/>
      <c r="P166" s="14" t="n">
        <f aca="false">ROUND(IF(D166=0,IF((N166-E166-O166)&gt;0,(N166-E166-O166),0),IF((D166+N166-O166)&gt;0,(D166+N166-O166),0)),2)</f>
        <v>4344.7</v>
      </c>
      <c r="Q166" s="14" t="n">
        <f aca="false">ROUND(IF(E166=0,IF((D166+N166-O166)&lt;0,ABS(D166+N166-O166),0),IF((N166-E166-O166)&lt;0,ABS(N166-E166-O166),0)),2)</f>
        <v>0</v>
      </c>
    </row>
    <row r="167" customFormat="false" ht="15" hidden="false" customHeight="true" outlineLevel="0" collapsed="false">
      <c r="A167" s="12" t="s">
        <v>497</v>
      </c>
      <c r="B167" s="12" t="str">
        <f aca="false">квітень!B167</f>
        <v>Бутрій К.В.</v>
      </c>
      <c r="C167" s="12" t="s">
        <v>499</v>
      </c>
      <c r="D167" s="14" t="n">
        <f aca="false">квітень!P167</f>
        <v>2114.24</v>
      </c>
      <c r="E167" s="14" t="n">
        <f aca="false">квітень!Q167</f>
        <v>0</v>
      </c>
      <c r="F167" s="13" t="n">
        <f aca="false">квітень!F167</f>
        <v>0</v>
      </c>
      <c r="G167" s="13" t="n">
        <f aca="false">квітень!G167</f>
        <v>62.4</v>
      </c>
      <c r="H167" s="13" t="n">
        <f aca="false">квітень!H167</f>
        <v>0</v>
      </c>
      <c r="I167" s="13" t="n">
        <f aca="false">квітень!I167</f>
        <v>4.1</v>
      </c>
      <c r="J167" s="14" t="n">
        <f aca="false">ROUND(G167*I167,2)</f>
        <v>255.84</v>
      </c>
      <c r="K167" s="14"/>
      <c r="L167" s="14"/>
      <c r="M167" s="14"/>
      <c r="N167" s="14" t="n">
        <f aca="false">ROUND((G167*I167)-K167-L167-M167,2)</f>
        <v>255.84</v>
      </c>
      <c r="O167" s="14"/>
      <c r="P167" s="14" t="n">
        <f aca="false">ROUND(IF(D167=0,IF((N167-E167-O167)&gt;0,(N167-E167-O167),0),IF((D167+N167-O167)&gt;0,(D167+N167-O167),0)),2)</f>
        <v>2370.08</v>
      </c>
      <c r="Q167" s="14" t="n">
        <f aca="false">ROUND(IF(E167=0,IF((D167+N167-O167)&lt;0,ABS(D167+N167-O167),0),IF((N167-E167-O167)&lt;0,ABS(N167-E167-O167),0)),2)</f>
        <v>0</v>
      </c>
    </row>
    <row r="168" customFormat="false" ht="15" hidden="false" customHeight="true" outlineLevel="0" collapsed="false">
      <c r="A168" s="12" t="s">
        <v>500</v>
      </c>
      <c r="B168" s="12" t="str">
        <f aca="false">квітень!B168</f>
        <v>Кузьома Г.І.</v>
      </c>
      <c r="C168" s="12" t="s">
        <v>502</v>
      </c>
      <c r="D168" s="14" t="n">
        <f aca="false">квітень!P168</f>
        <v>1074.2</v>
      </c>
      <c r="E168" s="14" t="n">
        <f aca="false">квітень!Q168</f>
        <v>0</v>
      </c>
      <c r="F168" s="13" t="n">
        <f aca="false">квітень!F168</f>
        <v>0</v>
      </c>
      <c r="G168" s="13" t="n">
        <f aca="false">квітень!G168</f>
        <v>65.5</v>
      </c>
      <c r="H168" s="13" t="n">
        <f aca="false">квітень!H168</f>
        <v>0</v>
      </c>
      <c r="I168" s="13" t="n">
        <f aca="false">квітень!I168</f>
        <v>4.1</v>
      </c>
      <c r="J168" s="14" t="n">
        <f aca="false">ROUND(G168*I168,2)</f>
        <v>268.55</v>
      </c>
      <c r="K168" s="14"/>
      <c r="L168" s="14"/>
      <c r="M168" s="14"/>
      <c r="N168" s="14" t="n">
        <f aca="false">ROUND((G168*I168)-K168-L168-M168,2)</f>
        <v>268.55</v>
      </c>
      <c r="O168" s="14"/>
      <c r="P168" s="14" t="n">
        <f aca="false">ROUND(IF(D168=0,IF((N168-E168-O168)&gt;0,(N168-E168-O168),0),IF((D168+N168-O168)&gt;0,(D168+N168-O168),0)),2)</f>
        <v>1342.75</v>
      </c>
      <c r="Q168" s="14" t="n">
        <f aca="false">ROUND(IF(E168=0,IF((D168+N168-O168)&lt;0,ABS(D168+N168-O168),0),IF((N168-E168-O168)&lt;0,ABS(N168-E168-O168),0)),2)</f>
        <v>0</v>
      </c>
    </row>
    <row r="169" customFormat="false" ht="15" hidden="false" customHeight="true" outlineLevel="0" collapsed="false">
      <c r="A169" s="12" t="s">
        <v>503</v>
      </c>
      <c r="B169" s="12" t="str">
        <f aca="false">квітень!B169</f>
        <v>Павленко В.М.</v>
      </c>
      <c r="C169" s="12" t="s">
        <v>505</v>
      </c>
      <c r="D169" s="14" t="n">
        <f aca="false">квітень!P169</f>
        <v>1023.75</v>
      </c>
      <c r="E169" s="14" t="n">
        <f aca="false">квітень!Q169</f>
        <v>0</v>
      </c>
      <c r="F169" s="13" t="n">
        <f aca="false">квітень!F169</f>
        <v>0</v>
      </c>
      <c r="G169" s="13" t="n">
        <f aca="false">квітень!G169</f>
        <v>49.94</v>
      </c>
      <c r="H169" s="13" t="n">
        <f aca="false">квітень!H169</f>
        <v>0</v>
      </c>
      <c r="I169" s="13" t="n">
        <f aca="false">квітень!I169</f>
        <v>4.1</v>
      </c>
      <c r="J169" s="14" t="n">
        <f aca="false">ROUND(G169*I169,2)</f>
        <v>204.75</v>
      </c>
      <c r="K169" s="14"/>
      <c r="L169" s="14"/>
      <c r="M169" s="14"/>
      <c r="N169" s="14" t="n">
        <f aca="false">ROUND((G169*I169)-K169-L169-M169,2)</f>
        <v>204.75</v>
      </c>
      <c r="O169" s="14"/>
      <c r="P169" s="14" t="n">
        <f aca="false">ROUND(IF(D169=0,IF((N169-E169-O169)&gt;0,(N169-E169-O169),0),IF((D169+N169-O169)&gt;0,(D169+N169-O169),0)),2)</f>
        <v>1228.5</v>
      </c>
      <c r="Q169" s="14" t="n">
        <f aca="false">ROUND(IF(E169=0,IF((D169+N169-O169)&lt;0,ABS(D169+N169-O169),0),IF((N169-E169-O169)&lt;0,ABS(N169-E169-O169),0)),2)</f>
        <v>0</v>
      </c>
    </row>
    <row r="170" customFormat="false" ht="15" hidden="false" customHeight="true" outlineLevel="0" collapsed="false">
      <c r="A170" s="12" t="s">
        <v>506</v>
      </c>
      <c r="B170" s="12" t="str">
        <f aca="false">квітень!B170</f>
        <v>Качуровська С.А.</v>
      </c>
      <c r="C170" s="12" t="s">
        <v>508</v>
      </c>
      <c r="D170" s="14" t="n">
        <f aca="false">квітень!P170</f>
        <v>574</v>
      </c>
      <c r="E170" s="14" t="n">
        <f aca="false">квітень!Q170</f>
        <v>0</v>
      </c>
      <c r="F170" s="13" t="n">
        <f aca="false">квітень!F170</f>
        <v>0</v>
      </c>
      <c r="G170" s="13" t="n">
        <f aca="false">квітень!G170</f>
        <v>35</v>
      </c>
      <c r="H170" s="13" t="n">
        <f aca="false">квітень!H170</f>
        <v>0</v>
      </c>
      <c r="I170" s="13" t="n">
        <f aca="false">квітень!I170</f>
        <v>4.1</v>
      </c>
      <c r="J170" s="14" t="n">
        <f aca="false">ROUND(G170*I170,2)</f>
        <v>143.5</v>
      </c>
      <c r="K170" s="14"/>
      <c r="L170" s="14"/>
      <c r="M170" s="14"/>
      <c r="N170" s="14" t="n">
        <f aca="false">ROUND((G170*I170)-K170-L170-M170,2)</f>
        <v>143.5</v>
      </c>
      <c r="O170" s="14"/>
      <c r="P170" s="14" t="n">
        <f aca="false">ROUND(IF(D170=0,IF((N170-E170-O170)&gt;0,(N170-E170-O170),0),IF((D170+N170-O170)&gt;0,(D170+N170-O170),0)),2)</f>
        <v>717.5</v>
      </c>
      <c r="Q170" s="14" t="n">
        <f aca="false">ROUND(IF(E170=0,IF((D170+N170-O170)&lt;0,ABS(D170+N170-O170),0),IF((N170-E170-O170)&lt;0,ABS(N170-E170-O170),0)),2)</f>
        <v>0</v>
      </c>
    </row>
    <row r="171" customFormat="false" ht="15" hidden="false" customHeight="true" outlineLevel="0" collapsed="false">
      <c r="A171" s="12" t="s">
        <v>509</v>
      </c>
      <c r="B171" s="12" t="str">
        <f aca="false">квітень!B171</f>
        <v>Білецький Б.Г.</v>
      </c>
      <c r="C171" s="12" t="s">
        <v>511</v>
      </c>
      <c r="D171" s="14" t="n">
        <f aca="false">квітень!P171</f>
        <v>1022.72</v>
      </c>
      <c r="E171" s="14" t="n">
        <f aca="false">квітень!Q171</f>
        <v>0</v>
      </c>
      <c r="F171" s="13" t="n">
        <f aca="false">квітень!F171</f>
        <v>0</v>
      </c>
      <c r="G171" s="13" t="n">
        <f aca="false">квітень!G171</f>
        <v>62.36</v>
      </c>
      <c r="H171" s="13" t="n">
        <f aca="false">квітень!H171</f>
        <v>0</v>
      </c>
      <c r="I171" s="13" t="n">
        <f aca="false">квітень!I171</f>
        <v>4.1</v>
      </c>
      <c r="J171" s="14" t="n">
        <f aca="false">ROUND(G171*I171,2)</f>
        <v>255.68</v>
      </c>
      <c r="K171" s="14"/>
      <c r="L171" s="14"/>
      <c r="M171" s="14"/>
      <c r="N171" s="14" t="n">
        <f aca="false">ROUND((G171*I171)-K171-L171-M171,2)</f>
        <v>255.68</v>
      </c>
      <c r="O171" s="14"/>
      <c r="P171" s="14" t="n">
        <f aca="false">ROUND(IF(D171=0,IF((N171-E171-O171)&gt;0,(N171-E171-O171),0),IF((D171+N171-O171)&gt;0,(D171+N171-O171),0)),2)</f>
        <v>1278.4</v>
      </c>
      <c r="Q171" s="14" t="n">
        <f aca="false">ROUND(IF(E171=0,IF((D171+N171-O171)&lt;0,ABS(D171+N171-O171),0),IF((N171-E171-O171)&lt;0,ABS(N171-E171-O171),0)),2)</f>
        <v>0</v>
      </c>
    </row>
    <row r="172" customFormat="false" ht="15" hidden="false" customHeight="true" outlineLevel="0" collapsed="false">
      <c r="A172" s="12" t="s">
        <v>512</v>
      </c>
      <c r="B172" s="12" t="str">
        <f aca="false">квітень!B172</f>
        <v>Кузнєцова В.В.</v>
      </c>
      <c r="C172" s="12" t="s">
        <v>514</v>
      </c>
      <c r="D172" s="14" t="n">
        <f aca="false">квітень!P172</f>
        <v>8879.72</v>
      </c>
      <c r="E172" s="14" t="n">
        <f aca="false">квітень!Q172</f>
        <v>0</v>
      </c>
      <c r="F172" s="13" t="n">
        <f aca="false">квітень!F172</f>
        <v>0</v>
      </c>
      <c r="G172" s="13" t="n">
        <f aca="false">квітень!G172</f>
        <v>65.63</v>
      </c>
      <c r="H172" s="13" t="n">
        <f aca="false">квітень!H172</f>
        <v>0</v>
      </c>
      <c r="I172" s="13" t="n">
        <f aca="false">квітень!I172</f>
        <v>4.1</v>
      </c>
      <c r="J172" s="14" t="n">
        <f aca="false">ROUND(G172*I172,2)</f>
        <v>269.08</v>
      </c>
      <c r="K172" s="14"/>
      <c r="L172" s="14"/>
      <c r="M172" s="14"/>
      <c r="N172" s="14" t="n">
        <f aca="false">ROUND((G172*I172)-K172-L172-M172,2)</f>
        <v>269.08</v>
      </c>
      <c r="O172" s="14"/>
      <c r="P172" s="14" t="n">
        <f aca="false">ROUND(IF(D172=0,IF((N172-E172-O172)&gt;0,(N172-E172-O172),0),IF((D172+N172-O172)&gt;0,(D172+N172-O172),0)),2)</f>
        <v>9148.8</v>
      </c>
      <c r="Q172" s="14" t="n">
        <f aca="false">ROUND(IF(E172=0,IF((D172+N172-O172)&lt;0,ABS(D172+N172-O172),0),IF((N172-E172-O172)&lt;0,ABS(N172-E172-O172),0)),2)</f>
        <v>0</v>
      </c>
    </row>
    <row r="173" customFormat="false" ht="15" hidden="false" customHeight="true" outlineLevel="0" collapsed="false">
      <c r="A173" s="12" t="s">
        <v>515</v>
      </c>
      <c r="B173" s="12" t="str">
        <f aca="false">квітень!B173</f>
        <v>Сидоренко Б.Й.</v>
      </c>
      <c r="C173" s="12" t="s">
        <v>517</v>
      </c>
      <c r="D173" s="14" t="n">
        <f aca="false">квітень!P173</f>
        <v>16994.87</v>
      </c>
      <c r="E173" s="14" t="n">
        <f aca="false">квітень!Q173</f>
        <v>0</v>
      </c>
      <c r="F173" s="13" t="n">
        <f aca="false">квітень!F173</f>
        <v>0</v>
      </c>
      <c r="G173" s="13" t="n">
        <f aca="false">квітень!G173</f>
        <v>49.8</v>
      </c>
      <c r="H173" s="13" t="n">
        <f aca="false">квітень!H173</f>
        <v>0</v>
      </c>
      <c r="I173" s="13" t="n">
        <f aca="false">квітень!I173</f>
        <v>4.1</v>
      </c>
      <c r="J173" s="14" t="n">
        <f aca="false">ROUND(G173*I173,2)</f>
        <v>204.18</v>
      </c>
      <c r="K173" s="14"/>
      <c r="L173" s="14"/>
      <c r="M173" s="14"/>
      <c r="N173" s="14" t="n">
        <f aca="false">ROUND((G173*I173)-K173-L173-M173,2)</f>
        <v>204.18</v>
      </c>
      <c r="O173" s="14"/>
      <c r="P173" s="14" t="n">
        <f aca="false">ROUND(IF(D173=0,IF((N173-E173-O173)&gt;0,(N173-E173-O173),0),IF((D173+N173-O173)&gt;0,(D173+N173-O173),0)),2)</f>
        <v>17199.05</v>
      </c>
      <c r="Q173" s="14" t="n">
        <f aca="false">ROUND(IF(E173=0,IF((D173+N173-O173)&lt;0,ABS(D173+N173-O173),0),IF((N173-E173-O173)&lt;0,ABS(N173-E173-O173),0)),2)</f>
        <v>0</v>
      </c>
    </row>
    <row r="174" customFormat="false" ht="15" hidden="false" customHeight="true" outlineLevel="0" collapsed="false">
      <c r="A174" s="12" t="s">
        <v>518</v>
      </c>
      <c r="B174" s="12" t="str">
        <f aca="false">квітень!B174</f>
        <v>Кузнєцова О.А.</v>
      </c>
      <c r="C174" s="12" t="s">
        <v>520</v>
      </c>
      <c r="D174" s="14" t="n">
        <f aca="false">квітень!P174</f>
        <v>4592</v>
      </c>
      <c r="E174" s="14" t="n">
        <f aca="false">квітень!Q174</f>
        <v>0</v>
      </c>
      <c r="F174" s="13" t="n">
        <f aca="false">квітень!F174</f>
        <v>0</v>
      </c>
      <c r="G174" s="13" t="n">
        <f aca="false">квітень!G174</f>
        <v>35</v>
      </c>
      <c r="H174" s="13" t="n">
        <f aca="false">квітень!H174</f>
        <v>0</v>
      </c>
      <c r="I174" s="13" t="n">
        <f aca="false">квітень!I174</f>
        <v>4.1</v>
      </c>
      <c r="J174" s="14" t="n">
        <f aca="false">ROUND(G174*I174,2)</f>
        <v>143.5</v>
      </c>
      <c r="K174" s="14"/>
      <c r="L174" s="14"/>
      <c r="M174" s="14"/>
      <c r="N174" s="14" t="n">
        <f aca="false">ROUND((G174*I174)-K174-L174-M174,2)</f>
        <v>143.5</v>
      </c>
      <c r="O174" s="14"/>
      <c r="P174" s="14" t="n">
        <f aca="false">ROUND(IF(D174=0,IF((N174-E174-O174)&gt;0,(N174-E174-O174),0),IF((D174+N174-O174)&gt;0,(D174+N174-O174),0)),2)</f>
        <v>4735.5</v>
      </c>
      <c r="Q174" s="14" t="n">
        <f aca="false">ROUND(IF(E174=0,IF((D174+N174-O174)&lt;0,ABS(D174+N174-O174),0),IF((N174-E174-O174)&lt;0,ABS(N174-E174-O174),0)),2)</f>
        <v>0</v>
      </c>
    </row>
    <row r="175" customFormat="false" ht="15" hidden="false" customHeight="true" outlineLevel="0" collapsed="false">
      <c r="A175" s="12" t="s">
        <v>521</v>
      </c>
      <c r="B175" s="12" t="str">
        <f aca="false">квітень!B175</f>
        <v>Васильєва О.Г.</v>
      </c>
      <c r="C175" s="12" t="s">
        <v>523</v>
      </c>
      <c r="D175" s="14" t="n">
        <f aca="false">квітень!P175</f>
        <v>3113.58</v>
      </c>
      <c r="E175" s="14" t="n">
        <f aca="false">квітень!Q175</f>
        <v>0</v>
      </c>
      <c r="F175" s="13" t="n">
        <f aca="false">квітень!F175</f>
        <v>0</v>
      </c>
      <c r="G175" s="13" t="n">
        <f aca="false">квітень!G175</f>
        <v>61.7</v>
      </c>
      <c r="H175" s="13" t="n">
        <f aca="false">квітень!H175</f>
        <v>0</v>
      </c>
      <c r="I175" s="13" t="n">
        <f aca="false">квітень!I175</f>
        <v>4.1</v>
      </c>
      <c r="J175" s="14" t="n">
        <f aca="false">ROUND(G175*I175,2)</f>
        <v>252.97</v>
      </c>
      <c r="K175" s="14"/>
      <c r="L175" s="14"/>
      <c r="M175" s="14"/>
      <c r="N175" s="14" t="n">
        <f aca="false">ROUND((G175*I175)-K175-L175-M175,2)</f>
        <v>252.97</v>
      </c>
      <c r="O175" s="14"/>
      <c r="P175" s="14" t="n">
        <f aca="false">ROUND(IF(D175=0,IF((N175-E175-O175)&gt;0,(N175-E175-O175),0),IF((D175+N175-O175)&gt;0,(D175+N175-O175),0)),2)</f>
        <v>3366.55</v>
      </c>
      <c r="Q175" s="14" t="n">
        <f aca="false">ROUND(IF(E175=0,IF((D175+N175-O175)&lt;0,ABS(D175+N175-O175),0),IF((N175-E175-O175)&lt;0,ABS(N175-E175-O175),0)),2)</f>
        <v>0</v>
      </c>
    </row>
    <row r="176" customFormat="false" ht="15" hidden="false" customHeight="true" outlineLevel="0" collapsed="false">
      <c r="A176" s="12" t="s">
        <v>524</v>
      </c>
      <c r="B176" s="12" t="str">
        <f aca="false">квітень!B176</f>
        <v>Кудінова Л.М.</v>
      </c>
      <c r="C176" s="12" t="s">
        <v>526</v>
      </c>
      <c r="D176" s="14" t="n">
        <f aca="false">квітень!P176</f>
        <v>1344.4</v>
      </c>
      <c r="E176" s="14" t="n">
        <f aca="false">квітень!Q176</f>
        <v>0</v>
      </c>
      <c r="F176" s="13" t="n">
        <f aca="false">квітень!F176</f>
        <v>0</v>
      </c>
      <c r="G176" s="13" t="n">
        <f aca="false">квітень!G176</f>
        <v>65.58</v>
      </c>
      <c r="H176" s="13" t="n">
        <f aca="false">квітень!H176</f>
        <v>0</v>
      </c>
      <c r="I176" s="13" t="n">
        <f aca="false">квітень!I176</f>
        <v>4.1</v>
      </c>
      <c r="J176" s="14" t="n">
        <f aca="false">ROUND(G176*I176,2)</f>
        <v>268.88</v>
      </c>
      <c r="K176" s="14"/>
      <c r="L176" s="14"/>
      <c r="M176" s="14"/>
      <c r="N176" s="14" t="n">
        <f aca="false">ROUND((G176*I176)-K176-L176-M176,2)</f>
        <v>268.88</v>
      </c>
      <c r="O176" s="14"/>
      <c r="P176" s="14" t="n">
        <f aca="false">ROUND(IF(D176=0,IF((N176-E176-O176)&gt;0,(N176-E176-O176),0),IF((D176+N176-O176)&gt;0,(D176+N176-O176),0)),2)</f>
        <v>1613.28</v>
      </c>
      <c r="Q176" s="14" t="n">
        <f aca="false">ROUND(IF(E176=0,IF((D176+N176-O176)&lt;0,ABS(D176+N176-O176),0),IF((N176-E176-O176)&lt;0,ABS(N176-E176-O176),0)),2)</f>
        <v>0</v>
      </c>
    </row>
    <row r="177" customFormat="false" ht="15" hidden="false" customHeight="true" outlineLevel="0" collapsed="false">
      <c r="A177" s="12" t="s">
        <v>527</v>
      </c>
      <c r="B177" s="12" t="str">
        <f aca="false">квітень!B177</f>
        <v>Спільний І.В.</v>
      </c>
      <c r="C177" s="12" t="s">
        <v>529</v>
      </c>
      <c r="D177" s="14" t="n">
        <f aca="false">квітень!P177</f>
        <v>811.8</v>
      </c>
      <c r="E177" s="14" t="n">
        <f aca="false">квітень!Q177</f>
        <v>0</v>
      </c>
      <c r="F177" s="13" t="n">
        <f aca="false">квітень!F177</f>
        <v>0</v>
      </c>
      <c r="G177" s="13" t="n">
        <f aca="false">квітень!G177</f>
        <v>49.5</v>
      </c>
      <c r="H177" s="13" t="n">
        <f aca="false">квітень!H177</f>
        <v>0</v>
      </c>
      <c r="I177" s="13" t="n">
        <f aca="false">квітень!I177</f>
        <v>4.1</v>
      </c>
      <c r="J177" s="14" t="n">
        <f aca="false">ROUND(G177*I177,2)</f>
        <v>202.95</v>
      </c>
      <c r="K177" s="14"/>
      <c r="L177" s="14"/>
      <c r="M177" s="14"/>
      <c r="N177" s="14" t="n">
        <f aca="false">ROUND((G177*I177)-K177-L177-M177,2)</f>
        <v>202.95</v>
      </c>
      <c r="O177" s="14"/>
      <c r="P177" s="14" t="n">
        <f aca="false">ROUND(IF(D177=0,IF((N177-E177-O177)&gt;0,(N177-E177-O177),0),IF((D177+N177-O177)&gt;0,(D177+N177-O177),0)),2)</f>
        <v>1014.75</v>
      </c>
      <c r="Q177" s="14" t="n">
        <f aca="false">ROUND(IF(E177=0,IF((D177+N177-O177)&lt;0,ABS(D177+N177-O177),0),IF((N177-E177-O177)&lt;0,ABS(N177-E177-O177),0)),2)</f>
        <v>0</v>
      </c>
    </row>
    <row r="178" customFormat="false" ht="15" hidden="false" customHeight="true" outlineLevel="0" collapsed="false">
      <c r="A178" s="12" t="s">
        <v>530</v>
      </c>
      <c r="B178" s="12" t="str">
        <f aca="false">квітень!B178</f>
        <v>Кружаліна Т.А.</v>
      </c>
      <c r="C178" s="12" t="s">
        <v>532</v>
      </c>
      <c r="D178" s="14" t="n">
        <f aca="false">квітень!P178</f>
        <v>575.64</v>
      </c>
      <c r="E178" s="14" t="n">
        <f aca="false">квітень!Q178</f>
        <v>0</v>
      </c>
      <c r="F178" s="13" t="n">
        <f aca="false">квітень!F178</f>
        <v>0</v>
      </c>
      <c r="G178" s="13" t="n">
        <f aca="false">квітень!G178</f>
        <v>35.1</v>
      </c>
      <c r="H178" s="13" t="n">
        <f aca="false">квітень!H178</f>
        <v>0</v>
      </c>
      <c r="I178" s="13" t="n">
        <f aca="false">квітень!I178</f>
        <v>4.1</v>
      </c>
      <c r="J178" s="14" t="n">
        <f aca="false">ROUND(G178*I178,2)</f>
        <v>143.91</v>
      </c>
      <c r="K178" s="14"/>
      <c r="L178" s="14"/>
      <c r="M178" s="14"/>
      <c r="N178" s="14" t="n">
        <f aca="false">ROUND((G178*I178)-K178-L178-M178,2)</f>
        <v>143.91</v>
      </c>
      <c r="O178" s="14"/>
      <c r="P178" s="14" t="n">
        <f aca="false">ROUND(IF(D178=0,IF((N178-E178-O178)&gt;0,(N178-E178-O178),0),IF((D178+N178-O178)&gt;0,(D178+N178-O178),0)),2)</f>
        <v>719.55</v>
      </c>
      <c r="Q178" s="14" t="n">
        <f aca="false">ROUND(IF(E178=0,IF((D178+N178-O178)&lt;0,ABS(D178+N178-O178),0),IF((N178-E178-O178)&lt;0,ABS(N178-E178-O178),0)),2)</f>
        <v>0</v>
      </c>
    </row>
    <row r="179" customFormat="false" ht="15" hidden="false" customHeight="true" outlineLevel="0" collapsed="false">
      <c r="A179" s="12" t="s">
        <v>533</v>
      </c>
      <c r="B179" s="12" t="str">
        <f aca="false">квітень!B179</f>
        <v>Григоренко Н.Е.</v>
      </c>
      <c r="C179" s="12" t="s">
        <v>535</v>
      </c>
      <c r="D179" s="14" t="n">
        <f aca="false">квітень!P179</f>
        <v>1031.72</v>
      </c>
      <c r="E179" s="14" t="n">
        <f aca="false">квітень!Q179</f>
        <v>0</v>
      </c>
      <c r="F179" s="13" t="n">
        <f aca="false">квітень!F179</f>
        <v>0</v>
      </c>
      <c r="G179" s="13" t="n">
        <f aca="false">квітень!G179</f>
        <v>62.91</v>
      </c>
      <c r="H179" s="13" t="n">
        <f aca="false">квітень!H179</f>
        <v>0</v>
      </c>
      <c r="I179" s="13" t="n">
        <f aca="false">квітень!I179</f>
        <v>4.1</v>
      </c>
      <c r="J179" s="14" t="n">
        <f aca="false">ROUND(G179*I179,2)</f>
        <v>257.93</v>
      </c>
      <c r="K179" s="14"/>
      <c r="L179" s="14"/>
      <c r="M179" s="14"/>
      <c r="N179" s="14" t="n">
        <f aca="false">ROUND((G179*I179)-K179-L179-M179,2)</f>
        <v>257.93</v>
      </c>
      <c r="O179" s="14"/>
      <c r="P179" s="14" t="n">
        <f aca="false">ROUND(IF(D179=0,IF((N179-E179-O179)&gt;0,(N179-E179-O179),0),IF((D179+N179-O179)&gt;0,(D179+N179-O179),0)),2)</f>
        <v>1289.65</v>
      </c>
      <c r="Q179" s="14" t="n">
        <f aca="false">ROUND(IF(E179=0,IF((D179+N179-O179)&lt;0,ABS(D179+N179-O179),0),IF((N179-E179-O179)&lt;0,ABS(N179-E179-O179),0)),2)</f>
        <v>0</v>
      </c>
    </row>
    <row r="180" customFormat="false" ht="15" hidden="false" customHeight="true" outlineLevel="0" collapsed="false">
      <c r="A180" s="12" t="s">
        <v>536</v>
      </c>
      <c r="B180" s="12" t="str">
        <f aca="false">квітень!B180</f>
        <v>Бондарчук В.В.</v>
      </c>
      <c r="C180" s="12" t="s">
        <v>538</v>
      </c>
      <c r="D180" s="14" t="n">
        <f aca="false">квітень!P180</f>
        <v>1082.88</v>
      </c>
      <c r="E180" s="14" t="n">
        <f aca="false">квітень!Q180</f>
        <v>0</v>
      </c>
      <c r="F180" s="13" t="n">
        <f aca="false">квітень!F180</f>
        <v>0</v>
      </c>
      <c r="G180" s="13" t="n">
        <f aca="false">квітень!G180</f>
        <v>66.03</v>
      </c>
      <c r="H180" s="13" t="n">
        <f aca="false">квітень!H180</f>
        <v>0</v>
      </c>
      <c r="I180" s="13" t="n">
        <f aca="false">квітень!I180</f>
        <v>4.1</v>
      </c>
      <c r="J180" s="14" t="n">
        <f aca="false">ROUND(G180*I180,2)</f>
        <v>270.72</v>
      </c>
      <c r="K180" s="14"/>
      <c r="L180" s="14"/>
      <c r="M180" s="14"/>
      <c r="N180" s="14" t="n">
        <f aca="false">ROUND((G180*I180)-K180-L180-M180,2)</f>
        <v>270.72</v>
      </c>
      <c r="O180" s="14"/>
      <c r="P180" s="14" t="n">
        <f aca="false">ROUND(IF(D180=0,IF((N180-E180-O180)&gt;0,(N180-E180-O180),0),IF((D180+N180-O180)&gt;0,(D180+N180-O180),0)),2)</f>
        <v>1353.6</v>
      </c>
      <c r="Q180" s="14" t="n">
        <f aca="false">ROUND(IF(E180=0,IF((D180+N180-O180)&lt;0,ABS(D180+N180-O180),0),IF((N180-E180-O180)&lt;0,ABS(N180-E180-O180),0)),2)</f>
        <v>0</v>
      </c>
    </row>
    <row r="181" customFormat="false" ht="15" hidden="false" customHeight="true" outlineLevel="0" collapsed="false">
      <c r="A181" s="12" t="s">
        <v>539</v>
      </c>
      <c r="B181" s="12" t="str">
        <f aca="false">квітень!B181</f>
        <v>Рябініна Н.І.</v>
      </c>
      <c r="C181" s="12" t="s">
        <v>541</v>
      </c>
      <c r="D181" s="14" t="n">
        <f aca="false">квітень!P181</f>
        <v>652.32</v>
      </c>
      <c r="E181" s="14" t="n">
        <f aca="false">квітень!Q181</f>
        <v>0</v>
      </c>
      <c r="F181" s="13" t="n">
        <f aca="false">квітень!F181</f>
        <v>0</v>
      </c>
      <c r="G181" s="13" t="n">
        <f aca="false">квітень!G181</f>
        <v>49.9</v>
      </c>
      <c r="H181" s="13" t="n">
        <f aca="false">квітень!H181</f>
        <v>0</v>
      </c>
      <c r="I181" s="13" t="n">
        <f aca="false">квітень!I181</f>
        <v>4.1</v>
      </c>
      <c r="J181" s="14" t="n">
        <f aca="false">ROUND(G181*I181,2)</f>
        <v>204.59</v>
      </c>
      <c r="K181" s="14"/>
      <c r="L181" s="14"/>
      <c r="M181" s="14"/>
      <c r="N181" s="14" t="n">
        <f aca="false">ROUND((G181*I181)-K181-L181-M181,2)</f>
        <v>204.59</v>
      </c>
      <c r="O181" s="14"/>
      <c r="P181" s="14" t="n">
        <f aca="false">ROUND(IF(D181=0,IF((N181-E181-O181)&gt;0,(N181-E181-O181),0),IF((D181+N181-O181)&gt;0,(D181+N181-O181),0)),2)</f>
        <v>856.91</v>
      </c>
      <c r="Q181" s="14" t="n">
        <f aca="false">ROUND(IF(E181=0,IF((D181+N181-O181)&lt;0,ABS(D181+N181-O181),0),IF((N181-E181-O181)&lt;0,ABS(N181-E181-O181),0)),2)</f>
        <v>0</v>
      </c>
    </row>
    <row r="182" customFormat="false" ht="15" hidden="false" customHeight="true" outlineLevel="0" collapsed="false">
      <c r="A182" s="12" t="s">
        <v>542</v>
      </c>
      <c r="B182" s="12" t="str">
        <f aca="false">квітень!B182</f>
        <v>Шапіро В.І.</v>
      </c>
      <c r="C182" s="12" t="s">
        <v>544</v>
      </c>
      <c r="D182" s="14" t="n">
        <f aca="false">квітень!P182</f>
        <v>572.68</v>
      </c>
      <c r="E182" s="14" t="n">
        <f aca="false">квітень!Q182</f>
        <v>0</v>
      </c>
      <c r="F182" s="13" t="n">
        <f aca="false">квітень!F182</f>
        <v>0</v>
      </c>
      <c r="G182" s="13" t="n">
        <f aca="false">квітень!G182</f>
        <v>34.92</v>
      </c>
      <c r="H182" s="13" t="n">
        <f aca="false">квітень!H182</f>
        <v>0</v>
      </c>
      <c r="I182" s="13" t="n">
        <f aca="false">квітень!I182</f>
        <v>4.1</v>
      </c>
      <c r="J182" s="14" t="n">
        <f aca="false">ROUND(G182*I182,2)</f>
        <v>143.17</v>
      </c>
      <c r="K182" s="14"/>
      <c r="L182" s="14"/>
      <c r="M182" s="14"/>
      <c r="N182" s="14" t="n">
        <f aca="false">ROUND((G182*I182)-K182-L182-M182,2)</f>
        <v>143.17</v>
      </c>
      <c r="O182" s="14"/>
      <c r="P182" s="14" t="n">
        <f aca="false">ROUND(IF(D182=0,IF((N182-E182-O182)&gt;0,(N182-E182-O182),0),IF((D182+N182-O182)&gt;0,(D182+N182-O182),0)),2)</f>
        <v>715.85</v>
      </c>
      <c r="Q182" s="14" t="n">
        <f aca="false">ROUND(IF(E182=0,IF((D182+N182-O182)&lt;0,ABS(D182+N182-O182),0),IF((N182-E182-O182)&lt;0,ABS(N182-E182-O182),0)),2)</f>
        <v>0</v>
      </c>
    </row>
    <row r="183" customFormat="false" ht="15" hidden="false" customHeight="true" outlineLevel="0" collapsed="false">
      <c r="A183" s="12" t="s">
        <v>545</v>
      </c>
      <c r="B183" s="12" t="str">
        <f aca="false">квітень!B183</f>
        <v>Крамаренко О.О.</v>
      </c>
      <c r="C183" s="12" t="s">
        <v>547</v>
      </c>
      <c r="D183" s="14" t="n">
        <f aca="false">квітень!P183</f>
        <v>1015.32</v>
      </c>
      <c r="E183" s="14" t="n">
        <f aca="false">квітень!Q183</f>
        <v>0</v>
      </c>
      <c r="F183" s="13" t="n">
        <f aca="false">квітень!F183</f>
        <v>0</v>
      </c>
      <c r="G183" s="13" t="n">
        <f aca="false">квітень!G183</f>
        <v>61.91</v>
      </c>
      <c r="H183" s="13" t="n">
        <f aca="false">квітень!H183</f>
        <v>0</v>
      </c>
      <c r="I183" s="13" t="n">
        <f aca="false">квітень!I183</f>
        <v>4.1</v>
      </c>
      <c r="J183" s="14" t="n">
        <f aca="false">ROUND(G183*I183,2)</f>
        <v>253.83</v>
      </c>
      <c r="K183" s="14"/>
      <c r="L183" s="14"/>
      <c r="M183" s="14"/>
      <c r="N183" s="14" t="n">
        <f aca="false">ROUND((G183*I183)-K183-L183-M183,2)</f>
        <v>253.83</v>
      </c>
      <c r="O183" s="14"/>
      <c r="P183" s="14" t="n">
        <f aca="false">ROUND(IF(D183=0,IF((N183-E183-O183)&gt;0,(N183-E183-O183),0),IF((D183+N183-O183)&gt;0,(D183+N183-O183),0)),2)</f>
        <v>1269.15</v>
      </c>
      <c r="Q183" s="14" t="n">
        <f aca="false">ROUND(IF(E183=0,IF((D183+N183-O183)&lt;0,ABS(D183+N183-O183),0),IF((N183-E183-O183)&lt;0,ABS(N183-E183-O183),0)),2)</f>
        <v>0</v>
      </c>
    </row>
    <row r="184" customFormat="false" ht="15" hidden="false" customHeight="true" outlineLevel="0" collapsed="false">
      <c r="A184" s="12" t="s">
        <v>548</v>
      </c>
      <c r="B184" s="12" t="str">
        <f aca="false">квітень!B184</f>
        <v>Свиридов В.Ф.</v>
      </c>
      <c r="C184" s="12" t="s">
        <v>550</v>
      </c>
      <c r="D184" s="14" t="n">
        <f aca="false">квітень!P184</f>
        <v>13142.59</v>
      </c>
      <c r="E184" s="14" t="n">
        <f aca="false">квітень!Q184</f>
        <v>0</v>
      </c>
      <c r="F184" s="13" t="n">
        <f aca="false">квітень!F184</f>
        <v>0</v>
      </c>
      <c r="G184" s="13" t="n">
        <f aca="false">квітень!G184</f>
        <v>65.15</v>
      </c>
      <c r="H184" s="13" t="n">
        <f aca="false">квітень!H184</f>
        <v>0</v>
      </c>
      <c r="I184" s="13" t="n">
        <f aca="false">квітень!I184</f>
        <v>4.1</v>
      </c>
      <c r="J184" s="14" t="n">
        <f aca="false">ROUND(G184*I184,2)</f>
        <v>267.12</v>
      </c>
      <c r="K184" s="14"/>
      <c r="L184" s="14"/>
      <c r="M184" s="14"/>
      <c r="N184" s="14" t="n">
        <f aca="false">ROUND((G184*I184)-K184-L184-M184,2)</f>
        <v>267.12</v>
      </c>
      <c r="O184" s="14"/>
      <c r="P184" s="14" t="n">
        <f aca="false">ROUND(IF(D184=0,IF((N184-E184-O184)&gt;0,(N184-E184-O184),0),IF((D184+N184-O184)&gt;0,(D184+N184-O184),0)),2)</f>
        <v>13409.71</v>
      </c>
      <c r="Q184" s="14" t="n">
        <f aca="false">ROUND(IF(E184=0,IF((D184+N184-O184)&lt;0,ABS(D184+N184-O184),0),IF((N184-E184-O184)&lt;0,ABS(N184-E184-O184),0)),2)</f>
        <v>0</v>
      </c>
    </row>
    <row r="185" customFormat="false" ht="15" hidden="false" customHeight="true" outlineLevel="0" collapsed="false">
      <c r="A185" s="12" t="s">
        <v>551</v>
      </c>
      <c r="B185" s="12" t="str">
        <f aca="false">квітень!B185</f>
        <v>Домацький В.А.</v>
      </c>
      <c r="C185" s="12" t="s">
        <v>553</v>
      </c>
      <c r="D185" s="14" t="n">
        <f aca="false">квітень!P185</f>
        <v>820</v>
      </c>
      <c r="E185" s="14" t="n">
        <f aca="false">квітень!Q185</f>
        <v>0</v>
      </c>
      <c r="F185" s="13" t="n">
        <f aca="false">квітень!F185</f>
        <v>0</v>
      </c>
      <c r="G185" s="13" t="n">
        <f aca="false">квітень!G185</f>
        <v>50</v>
      </c>
      <c r="H185" s="13" t="n">
        <f aca="false">квітень!H185</f>
        <v>0</v>
      </c>
      <c r="I185" s="13" t="n">
        <f aca="false">квітень!I185</f>
        <v>4.1</v>
      </c>
      <c r="J185" s="14" t="n">
        <f aca="false">ROUND(G185*I185,2)</f>
        <v>205</v>
      </c>
      <c r="K185" s="14"/>
      <c r="L185" s="14"/>
      <c r="M185" s="14"/>
      <c r="N185" s="14" t="n">
        <f aca="false">ROUND((G185*I185)-K185-L185-M185,2)</f>
        <v>205</v>
      </c>
      <c r="O185" s="14"/>
      <c r="P185" s="14" t="n">
        <f aca="false">ROUND(IF(D185=0,IF((N185-E185-O185)&gt;0,(N185-E185-O185),0),IF((D185+N185-O185)&gt;0,(D185+N185-O185),0)),2)</f>
        <v>1025</v>
      </c>
      <c r="Q185" s="14" t="n">
        <f aca="false">ROUND(IF(E185=0,IF((D185+N185-O185)&lt;0,ABS(D185+N185-O185),0),IF((N185-E185-O185)&lt;0,ABS(N185-E185-O185),0)),2)</f>
        <v>0</v>
      </c>
    </row>
    <row r="186" customFormat="false" ht="15" hidden="false" customHeight="true" outlineLevel="0" collapsed="false">
      <c r="A186" s="12" t="s">
        <v>554</v>
      </c>
      <c r="B186" s="12" t="str">
        <f aca="false">квітень!B186</f>
        <v>Шаповалова І.А.</v>
      </c>
      <c r="C186" s="12" t="s">
        <v>556</v>
      </c>
      <c r="D186" s="14" t="n">
        <f aca="false">квітень!P186</f>
        <v>6763.05</v>
      </c>
      <c r="E186" s="14" t="n">
        <f aca="false">квітень!Q186</f>
        <v>0</v>
      </c>
      <c r="F186" s="13" t="n">
        <f aca="false">квітень!F186</f>
        <v>0</v>
      </c>
      <c r="G186" s="13" t="n">
        <f aca="false">квітень!G186</f>
        <v>35.1</v>
      </c>
      <c r="H186" s="13" t="n">
        <f aca="false">квітень!H186</f>
        <v>0</v>
      </c>
      <c r="I186" s="13" t="n">
        <f aca="false">квітень!I186</f>
        <v>4.1</v>
      </c>
      <c r="J186" s="14" t="n">
        <f aca="false">ROUND(G186*I186,2)</f>
        <v>143.91</v>
      </c>
      <c r="K186" s="14"/>
      <c r="L186" s="14"/>
      <c r="M186" s="14"/>
      <c r="N186" s="14" t="n">
        <f aca="false">ROUND((G186*I186)-K186-L186-M186,2)</f>
        <v>143.91</v>
      </c>
      <c r="O186" s="14"/>
      <c r="P186" s="14" t="n">
        <f aca="false">ROUND(IF(D186=0,IF((N186-E186-O186)&gt;0,(N186-E186-O186),0),IF((D186+N186-O186)&gt;0,(D186+N186-O186),0)),2)</f>
        <v>6906.96</v>
      </c>
      <c r="Q186" s="14" t="n">
        <f aca="false">ROUND(IF(E186=0,IF((D186+N186-O186)&lt;0,ABS(D186+N186-O186),0),IF((N186-E186-O186)&lt;0,ABS(N186-E186-O186),0)),2)</f>
        <v>0</v>
      </c>
    </row>
    <row r="187" customFormat="false" ht="15" hidden="false" customHeight="true" outlineLevel="0" collapsed="false">
      <c r="A187" s="12" t="s">
        <v>557</v>
      </c>
      <c r="B187" s="12" t="str">
        <f aca="false">квітень!B187</f>
        <v>Кононенко О.В.</v>
      </c>
      <c r="C187" s="12" t="s">
        <v>559</v>
      </c>
      <c r="D187" s="14" t="n">
        <f aca="false">квітень!P187</f>
        <v>2512.74</v>
      </c>
      <c r="E187" s="14" t="n">
        <f aca="false">квітень!Q187</f>
        <v>0</v>
      </c>
      <c r="F187" s="13" t="n">
        <f aca="false">квітень!F187</f>
        <v>0</v>
      </c>
      <c r="G187" s="13" t="n">
        <f aca="false">квітень!G187</f>
        <v>61.8</v>
      </c>
      <c r="H187" s="13" t="n">
        <f aca="false">квітень!H187</f>
        <v>0</v>
      </c>
      <c r="I187" s="13" t="n">
        <f aca="false">квітень!I187</f>
        <v>4.1</v>
      </c>
      <c r="J187" s="14" t="n">
        <f aca="false">ROUND(G187*I187,2)</f>
        <v>253.38</v>
      </c>
      <c r="K187" s="14"/>
      <c r="L187" s="14"/>
      <c r="M187" s="14"/>
      <c r="N187" s="14" t="n">
        <f aca="false">ROUND((G187*I187)-K187-L187-M187,2)</f>
        <v>253.38</v>
      </c>
      <c r="O187" s="14"/>
      <c r="P187" s="14" t="n">
        <f aca="false">ROUND(IF(D187=0,IF((N187-E187-O187)&gt;0,(N187-E187-O187),0),IF((D187+N187-O187)&gt;0,(D187+N187-O187),0)),2)</f>
        <v>2766.12</v>
      </c>
      <c r="Q187" s="14" t="n">
        <f aca="false">ROUND(IF(E187=0,IF((D187+N187-O187)&lt;0,ABS(D187+N187-O187),0),IF((N187-E187-O187)&lt;0,ABS(N187-E187-O187),0)),2)</f>
        <v>0</v>
      </c>
    </row>
    <row r="188" customFormat="false" ht="15" hidden="false" customHeight="true" outlineLevel="0" collapsed="false">
      <c r="A188" s="12" t="s">
        <v>560</v>
      </c>
      <c r="B188" s="12" t="str">
        <f aca="false">квітень!B188</f>
        <v>Овчаренко Т.І.</v>
      </c>
      <c r="C188" s="12" t="s">
        <v>562</v>
      </c>
      <c r="D188" s="14" t="n">
        <f aca="false">квітень!P188</f>
        <v>1165.4</v>
      </c>
      <c r="E188" s="14" t="n">
        <f aca="false">квітень!Q188</f>
        <v>0</v>
      </c>
      <c r="F188" s="13" t="n">
        <f aca="false">квітень!F188</f>
        <v>0</v>
      </c>
      <c r="G188" s="13" t="n">
        <f aca="false">квітень!G188</f>
        <v>71.06</v>
      </c>
      <c r="H188" s="13" t="n">
        <f aca="false">квітень!H188</f>
        <v>0</v>
      </c>
      <c r="I188" s="13" t="n">
        <f aca="false">квітень!I188</f>
        <v>4.1</v>
      </c>
      <c r="J188" s="14" t="n">
        <f aca="false">ROUND(G188*I188,2)</f>
        <v>291.35</v>
      </c>
      <c r="K188" s="14"/>
      <c r="L188" s="14"/>
      <c r="M188" s="14"/>
      <c r="N188" s="14" t="n">
        <f aca="false">ROUND((G188*I188)-K188-L188-M188,2)</f>
        <v>291.35</v>
      </c>
      <c r="O188" s="14"/>
      <c r="P188" s="14" t="n">
        <f aca="false">ROUND(IF(D188=0,IF((N188-E188-O188)&gt;0,(N188-E188-O188),0),IF((D188+N188-O188)&gt;0,(D188+N188-O188),0)),2)</f>
        <v>1456.75</v>
      </c>
      <c r="Q188" s="14" t="n">
        <f aca="false">ROUND(IF(E188=0,IF((D188+N188-O188)&lt;0,ABS(D188+N188-O188),0),IF((N188-E188-O188)&lt;0,ABS(N188-E188-O188),0)),2)</f>
        <v>0</v>
      </c>
    </row>
    <row r="189" customFormat="false" ht="15" hidden="false" customHeight="true" outlineLevel="0" collapsed="false">
      <c r="A189" s="12" t="s">
        <v>563</v>
      </c>
      <c r="B189" s="12" t="str">
        <f aca="false">квітень!B189</f>
        <v>Попукайло О.Г.</v>
      </c>
      <c r="C189" s="12" t="s">
        <v>565</v>
      </c>
      <c r="D189" s="14" t="n">
        <f aca="false">квітень!P189</f>
        <v>5560.8</v>
      </c>
      <c r="E189" s="14" t="n">
        <f aca="false">квітень!Q189</f>
        <v>0</v>
      </c>
      <c r="F189" s="13" t="n">
        <f aca="false">квітень!F189</f>
        <v>0</v>
      </c>
      <c r="G189" s="13" t="n">
        <f aca="false">квітень!G189</f>
        <v>49.15</v>
      </c>
      <c r="H189" s="13" t="n">
        <f aca="false">квітень!H189</f>
        <v>0</v>
      </c>
      <c r="I189" s="13" t="n">
        <f aca="false">квітень!I189</f>
        <v>4.1</v>
      </c>
      <c r="J189" s="14" t="n">
        <f aca="false">ROUND(G189*I189,2)</f>
        <v>201.52</v>
      </c>
      <c r="K189" s="14"/>
      <c r="L189" s="14"/>
      <c r="M189" s="14"/>
      <c r="N189" s="14" t="n">
        <f aca="false">ROUND((G189*I189)-K189-L189-M189,2)</f>
        <v>201.52</v>
      </c>
      <c r="O189" s="14"/>
      <c r="P189" s="14" t="n">
        <f aca="false">ROUND(IF(D189=0,IF((N189-E189-O189)&gt;0,(N189-E189-O189),0),IF((D189+N189-O189)&gt;0,(D189+N189-O189),0)),2)</f>
        <v>5762.32</v>
      </c>
      <c r="Q189" s="14" t="n">
        <f aca="false">ROUND(IF(E189=0,IF((D189+N189-O189)&lt;0,ABS(D189+N189-O189),0),IF((N189-E189-O189)&lt;0,ABS(N189-E189-O189),0)),2)</f>
        <v>0</v>
      </c>
    </row>
    <row r="190" customFormat="false" ht="15" hidden="false" customHeight="true" outlineLevel="0" collapsed="false">
      <c r="A190" s="12" t="s">
        <v>566</v>
      </c>
      <c r="B190" s="12" t="str">
        <f aca="false">квітень!B190</f>
        <v>Онищенко А.В.</v>
      </c>
      <c r="C190" s="12" t="s">
        <v>568</v>
      </c>
      <c r="D190" s="14" t="n">
        <f aca="false">квітень!P190</f>
        <v>7052.28</v>
      </c>
      <c r="E190" s="14" t="n">
        <f aca="false">квітень!Q190</f>
        <v>0</v>
      </c>
      <c r="F190" s="13" t="n">
        <f aca="false">квітень!F190</f>
        <v>0</v>
      </c>
      <c r="G190" s="13" t="n">
        <f aca="false">квітень!G190</f>
        <v>53.72</v>
      </c>
      <c r="H190" s="13" t="n">
        <f aca="false">квітень!H190</f>
        <v>0</v>
      </c>
      <c r="I190" s="13" t="n">
        <f aca="false">квітень!I190</f>
        <v>4.1</v>
      </c>
      <c r="J190" s="14" t="n">
        <f aca="false">ROUND(G190*I190,2)</f>
        <v>220.25</v>
      </c>
      <c r="K190" s="14"/>
      <c r="L190" s="14"/>
      <c r="M190" s="14"/>
      <c r="N190" s="14" t="n">
        <f aca="false">ROUND((G190*I190)-K190-L190-M190,2)</f>
        <v>220.25</v>
      </c>
      <c r="O190" s="14"/>
      <c r="P190" s="14" t="n">
        <f aca="false">ROUND(IF(D190=0,IF((N190-E190-O190)&gt;0,(N190-E190-O190),0),IF((D190+N190-O190)&gt;0,(D190+N190-O190),0)),2)</f>
        <v>7272.53</v>
      </c>
      <c r="Q190" s="14" t="n">
        <f aca="false">ROUND(IF(E190=0,IF((D190+N190-O190)&lt;0,ABS(D190+N190-O190),0),IF((N190-E190-O190)&lt;0,ABS(N190-E190-O190),0)),2)</f>
        <v>0</v>
      </c>
    </row>
    <row r="191" customFormat="false" ht="15" hidden="false" customHeight="true" outlineLevel="0" collapsed="false">
      <c r="A191" s="12" t="s">
        <v>569</v>
      </c>
      <c r="B191" s="12" t="str">
        <f aca="false">квітень!B191</f>
        <v>Соколова О.О.</v>
      </c>
      <c r="C191" s="12" t="s">
        <v>571</v>
      </c>
      <c r="D191" s="14" t="n">
        <f aca="false">квітень!P191</f>
        <v>1413.9</v>
      </c>
      <c r="E191" s="14" t="n">
        <f aca="false">квітень!Q191</f>
        <v>0</v>
      </c>
      <c r="F191" s="13" t="n">
        <f aca="false">квітень!F191</f>
        <v>0</v>
      </c>
      <c r="G191" s="13" t="n">
        <f aca="false">квітень!G191</f>
        <v>68.97</v>
      </c>
      <c r="H191" s="13" t="n">
        <f aca="false">квітень!H191</f>
        <v>0</v>
      </c>
      <c r="I191" s="13" t="n">
        <f aca="false">квітень!I191</f>
        <v>4.1</v>
      </c>
      <c r="J191" s="14" t="n">
        <f aca="false">ROUND(G191*I191,2)</f>
        <v>282.78</v>
      </c>
      <c r="K191" s="14"/>
      <c r="L191" s="14"/>
      <c r="M191" s="14"/>
      <c r="N191" s="14" t="n">
        <f aca="false">ROUND((G191*I191)-K191-L191-M191,2)</f>
        <v>282.78</v>
      </c>
      <c r="O191" s="14"/>
      <c r="P191" s="14" t="n">
        <f aca="false">ROUND(IF(D191=0,IF((N191-E191-O191)&gt;0,(N191-E191-O191),0),IF((D191+N191-O191)&gt;0,(D191+N191-O191),0)),2)</f>
        <v>1696.68</v>
      </c>
      <c r="Q191" s="14" t="n">
        <f aca="false">ROUND(IF(E191=0,IF((D191+N191-O191)&lt;0,ABS(D191+N191-O191),0),IF((N191-E191-O191)&lt;0,ABS(N191-E191-O191),0)),2)</f>
        <v>0</v>
      </c>
    </row>
    <row r="192" customFormat="false" ht="15" hidden="false" customHeight="true" outlineLevel="0" collapsed="false">
      <c r="A192" s="12" t="s">
        <v>572</v>
      </c>
      <c r="B192" s="12" t="str">
        <f aca="false">квітень!B192</f>
        <v>Ільіна В.П.</v>
      </c>
      <c r="C192" s="12" t="s">
        <v>574</v>
      </c>
      <c r="D192" s="14" t="n">
        <f aca="false">квітень!P192</f>
        <v>8839.87</v>
      </c>
      <c r="E192" s="14" t="n">
        <f aca="false">квітень!Q192</f>
        <v>0</v>
      </c>
      <c r="F192" s="13" t="n">
        <f aca="false">квітень!F192</f>
        <v>0</v>
      </c>
      <c r="G192" s="13" t="n">
        <f aca="false">квітень!G192</f>
        <v>49.86</v>
      </c>
      <c r="H192" s="13" t="n">
        <f aca="false">квітень!H192</f>
        <v>0</v>
      </c>
      <c r="I192" s="13" t="n">
        <f aca="false">квітень!I192</f>
        <v>4.1</v>
      </c>
      <c r="J192" s="14" t="n">
        <f aca="false">ROUND(G192*I192,2)</f>
        <v>204.43</v>
      </c>
      <c r="K192" s="14"/>
      <c r="L192" s="14"/>
      <c r="M192" s="14"/>
      <c r="N192" s="14" t="n">
        <f aca="false">ROUND((G192*I192)-K192-L192-M192,2)</f>
        <v>204.43</v>
      </c>
      <c r="O192" s="14"/>
      <c r="P192" s="14" t="n">
        <f aca="false">ROUND(IF(D192=0,IF((N192-E192-O192)&gt;0,(N192-E192-O192),0),IF((D192+N192-O192)&gt;0,(D192+N192-O192),0)),2)</f>
        <v>9044.3</v>
      </c>
      <c r="Q192" s="14" t="n">
        <f aca="false">ROUND(IF(E192=0,IF((D192+N192-O192)&lt;0,ABS(D192+N192-O192),0),IF((N192-E192-O192)&lt;0,ABS(N192-E192-O192),0)),2)</f>
        <v>0</v>
      </c>
    </row>
    <row r="193" customFormat="false" ht="15" hidden="false" customHeight="true" outlineLevel="0" collapsed="false">
      <c r="A193" s="12" t="s">
        <v>575</v>
      </c>
      <c r="B193" s="12" t="str">
        <f aca="false">квітень!B193</f>
        <v>Чешок Г.К.</v>
      </c>
      <c r="C193" s="12" t="s">
        <v>577</v>
      </c>
      <c r="D193" s="14" t="n">
        <f aca="false">квітень!P193</f>
        <v>12884.57</v>
      </c>
      <c r="E193" s="14" t="n">
        <f aca="false">квітень!Q193</f>
        <v>0</v>
      </c>
      <c r="F193" s="13" t="n">
        <f aca="false">квітень!F193</f>
        <v>0</v>
      </c>
      <c r="G193" s="13" t="n">
        <f aca="false">квітень!G193</f>
        <v>60.86</v>
      </c>
      <c r="H193" s="13" t="n">
        <f aca="false">квітень!H193</f>
        <v>0</v>
      </c>
      <c r="I193" s="13" t="n">
        <f aca="false">квітень!I193</f>
        <v>4.1</v>
      </c>
      <c r="J193" s="14" t="n">
        <f aca="false">ROUND(G193*I193,2)</f>
        <v>249.53</v>
      </c>
      <c r="K193" s="14"/>
      <c r="L193" s="14"/>
      <c r="M193" s="14"/>
      <c r="N193" s="14" t="n">
        <f aca="false">ROUND((G193*I193)-K193-L193-M193,2)</f>
        <v>249.53</v>
      </c>
      <c r="O193" s="14"/>
      <c r="P193" s="14" t="n">
        <f aca="false">ROUND(IF(D193=0,IF((N193-E193-O193)&gt;0,(N193-E193-O193),0),IF((D193+N193-O193)&gt;0,(D193+N193-O193),0)),2)</f>
        <v>13134.1</v>
      </c>
      <c r="Q193" s="14" t="n">
        <f aca="false">ROUND(IF(E193=0,IF((D193+N193-O193)&lt;0,ABS(D193+N193-O193),0),IF((N193-E193-O193)&lt;0,ABS(N193-E193-O193),0)),2)</f>
        <v>0</v>
      </c>
    </row>
    <row r="194" customFormat="false" ht="15" hidden="false" customHeight="true" outlineLevel="0" collapsed="false">
      <c r="A194" s="12" t="s">
        <v>578</v>
      </c>
      <c r="B194" s="12" t="str">
        <f aca="false">квітень!B194</f>
        <v>Бердников В.А.</v>
      </c>
      <c r="C194" s="12" t="s">
        <v>580</v>
      </c>
      <c r="D194" s="14" t="n">
        <f aca="false">квітень!P194</f>
        <v>9466.83</v>
      </c>
      <c r="E194" s="14" t="n">
        <f aca="false">квітень!Q194</f>
        <v>0</v>
      </c>
      <c r="F194" s="13" t="n">
        <f aca="false">квітень!F194</f>
        <v>0</v>
      </c>
      <c r="G194" s="13" t="n">
        <f aca="false">квітень!G194</f>
        <v>66.75</v>
      </c>
      <c r="H194" s="13" t="n">
        <f aca="false">квітень!H194</f>
        <v>0</v>
      </c>
      <c r="I194" s="13" t="n">
        <f aca="false">квітень!I194</f>
        <v>4.1</v>
      </c>
      <c r="J194" s="14" t="n">
        <f aca="false">ROUND(G194*I194,2)</f>
        <v>273.68</v>
      </c>
      <c r="K194" s="14"/>
      <c r="L194" s="14"/>
      <c r="M194" s="14"/>
      <c r="N194" s="14" t="n">
        <f aca="false">ROUND((G194*I194)-K194-L194-M194,2)</f>
        <v>273.68</v>
      </c>
      <c r="O194" s="14"/>
      <c r="P194" s="14" t="n">
        <f aca="false">ROUND(IF(D194=0,IF((N194-E194-O194)&gt;0,(N194-E194-O194),0),IF((D194+N194-O194)&gt;0,(D194+N194-O194),0)),2)</f>
        <v>9740.51</v>
      </c>
      <c r="Q194" s="14" t="n">
        <f aca="false">ROUND(IF(E194=0,IF((D194+N194-O194)&lt;0,ABS(D194+N194-O194),0),IF((N194-E194-O194)&lt;0,ABS(N194-E194-O194),0)),2)</f>
        <v>0</v>
      </c>
    </row>
    <row r="195" customFormat="false" ht="15" hidden="false" customHeight="true" outlineLevel="0" collapsed="false">
      <c r="A195" s="12" t="s">
        <v>581</v>
      </c>
      <c r="B195" s="12" t="str">
        <f aca="false">квітень!B195</f>
        <v>Щербак Н.В.</v>
      </c>
      <c r="C195" s="12" t="s">
        <v>583</v>
      </c>
      <c r="D195" s="14" t="n">
        <f aca="false">квітень!P195</f>
        <v>14265.98</v>
      </c>
      <c r="E195" s="14" t="n">
        <f aca="false">квітень!Q195</f>
        <v>0</v>
      </c>
      <c r="F195" s="13" t="n">
        <f aca="false">квітень!F195</f>
        <v>0</v>
      </c>
      <c r="G195" s="13" t="n">
        <f aca="false">квітень!G195</f>
        <v>72.49</v>
      </c>
      <c r="H195" s="13" t="n">
        <f aca="false">квітень!H195</f>
        <v>0</v>
      </c>
      <c r="I195" s="13" t="n">
        <f aca="false">квітень!I195</f>
        <v>4.1</v>
      </c>
      <c r="J195" s="14" t="n">
        <f aca="false">ROUND(G195*I195,2)</f>
        <v>297.21</v>
      </c>
      <c r="K195" s="14"/>
      <c r="L195" s="14"/>
      <c r="M195" s="14"/>
      <c r="N195" s="14" t="n">
        <f aca="false">ROUND((G195*I195)-K195-L195-M195,2)</f>
        <v>297.21</v>
      </c>
      <c r="O195" s="14"/>
      <c r="P195" s="14" t="n">
        <f aca="false">ROUND(IF(D195=0,IF((N195-E195-O195)&gt;0,(N195-E195-O195),0),IF((D195+N195-O195)&gt;0,(D195+N195-O195),0)),2)</f>
        <v>14563.19</v>
      </c>
      <c r="Q195" s="14" t="n">
        <f aca="false">ROUND(IF(E195=0,IF((D195+N195-O195)&lt;0,ABS(D195+N195-O195),0),IF((N195-E195-O195)&lt;0,ABS(N195-E195-O195),0)),2)</f>
        <v>0</v>
      </c>
    </row>
    <row r="196" customFormat="false" ht="15" hidden="false" customHeight="true" outlineLevel="0" collapsed="false">
      <c r="A196" s="12" t="s">
        <v>584</v>
      </c>
      <c r="B196" s="12" t="str">
        <f aca="false">квітень!B196</f>
        <v>Рожков Ю.М.</v>
      </c>
      <c r="C196" s="12" t="s">
        <v>586</v>
      </c>
      <c r="D196" s="14" t="n">
        <f aca="false">квітень!P196</f>
        <v>758.9</v>
      </c>
      <c r="E196" s="14" t="n">
        <f aca="false">квітень!Q196</f>
        <v>0</v>
      </c>
      <c r="F196" s="13" t="n">
        <f aca="false">квітень!F196</f>
        <v>0</v>
      </c>
      <c r="G196" s="13" t="n">
        <f aca="false">квітень!G196</f>
        <v>49.8</v>
      </c>
      <c r="H196" s="13" t="n">
        <f aca="false">квітень!H196</f>
        <v>0</v>
      </c>
      <c r="I196" s="13" t="n">
        <f aca="false">квітень!I196</f>
        <v>4.1</v>
      </c>
      <c r="J196" s="14" t="n">
        <f aca="false">ROUND(G196*I196,2)</f>
        <v>204.18</v>
      </c>
      <c r="K196" s="14"/>
      <c r="L196" s="14"/>
      <c r="M196" s="14"/>
      <c r="N196" s="14" t="n">
        <f aca="false">ROUND((G196*I196)-K196-L196-M196,2)</f>
        <v>204.18</v>
      </c>
      <c r="O196" s="14"/>
      <c r="P196" s="14" t="n">
        <f aca="false">ROUND(IF(D196=0,IF((N196-E196-O196)&gt;0,(N196-E196-O196),0),IF((D196+N196-O196)&gt;0,(D196+N196-O196),0)),2)</f>
        <v>963.08</v>
      </c>
      <c r="Q196" s="14" t="n">
        <f aca="false">ROUND(IF(E196=0,IF((D196+N196-O196)&lt;0,ABS(D196+N196-O196),0),IF((N196-E196-O196)&lt;0,ABS(N196-E196-O196),0)),2)</f>
        <v>0</v>
      </c>
    </row>
    <row r="197" customFormat="false" ht="15" hidden="false" customHeight="true" outlineLevel="0" collapsed="false">
      <c r="A197" s="12" t="s">
        <v>587</v>
      </c>
      <c r="B197" s="12" t="str">
        <f aca="false">квітень!B197</f>
        <v>Кобець В.В.</v>
      </c>
      <c r="C197" s="12" t="s">
        <v>589</v>
      </c>
      <c r="D197" s="14" t="n">
        <f aca="false">квітень!P197</f>
        <v>8261.99</v>
      </c>
      <c r="E197" s="14" t="n">
        <f aca="false">квітень!Q197</f>
        <v>0</v>
      </c>
      <c r="F197" s="13" t="n">
        <f aca="false">квітень!F197</f>
        <v>0</v>
      </c>
      <c r="G197" s="13" t="n">
        <f aca="false">квітень!G197</f>
        <v>62.36</v>
      </c>
      <c r="H197" s="13" t="n">
        <f aca="false">квітень!H197</f>
        <v>0</v>
      </c>
      <c r="I197" s="13" t="n">
        <f aca="false">квітень!I197</f>
        <v>4.1</v>
      </c>
      <c r="J197" s="14" t="n">
        <f aca="false">ROUND(G197*I197,2)</f>
        <v>255.68</v>
      </c>
      <c r="K197" s="14"/>
      <c r="L197" s="14"/>
      <c r="M197" s="14"/>
      <c r="N197" s="14" t="n">
        <f aca="false">ROUND((G197*I197)-K197-L197-M197,2)</f>
        <v>255.68</v>
      </c>
      <c r="O197" s="14"/>
      <c r="P197" s="14" t="n">
        <f aca="false">ROUND(IF(D197=0,IF((N197-E197-O197)&gt;0,(N197-E197-O197),0),IF((D197+N197-O197)&gt;0,(D197+N197-O197),0)),2)</f>
        <v>8517.67</v>
      </c>
      <c r="Q197" s="14" t="n">
        <f aca="false">ROUND(IF(E197=0,IF((D197+N197-O197)&lt;0,ABS(D197+N197-O197),0),IF((N197-E197-O197)&lt;0,ABS(N197-E197-O197),0)),2)</f>
        <v>0</v>
      </c>
    </row>
    <row r="198" customFormat="false" ht="15" hidden="false" customHeight="true" outlineLevel="0" collapsed="false">
      <c r="A198" s="12" t="s">
        <v>590</v>
      </c>
      <c r="B198" s="12" t="str">
        <f aca="false">квітень!B198</f>
        <v>Щерба Л.О.</v>
      </c>
      <c r="C198" s="12" t="s">
        <v>592</v>
      </c>
      <c r="D198" s="14" t="n">
        <f aca="false">квітень!P198</f>
        <v>1123.4</v>
      </c>
      <c r="E198" s="14" t="n">
        <f aca="false">квітень!Q198</f>
        <v>0</v>
      </c>
      <c r="F198" s="13" t="n">
        <f aca="false">квітень!F198</f>
        <v>0</v>
      </c>
      <c r="G198" s="13" t="n">
        <f aca="false">квітень!G198</f>
        <v>68.5</v>
      </c>
      <c r="H198" s="13" t="n">
        <f aca="false">квітень!H198</f>
        <v>0</v>
      </c>
      <c r="I198" s="13" t="n">
        <f aca="false">квітень!I198</f>
        <v>4.1</v>
      </c>
      <c r="J198" s="14" t="n">
        <f aca="false">ROUND(G198*I198,2)</f>
        <v>280.85</v>
      </c>
      <c r="K198" s="14"/>
      <c r="L198" s="14"/>
      <c r="M198" s="14"/>
      <c r="N198" s="14" t="n">
        <f aca="false">ROUND((G198*I198)-K198-L198-M198,2)</f>
        <v>280.85</v>
      </c>
      <c r="O198" s="14"/>
      <c r="P198" s="14" t="n">
        <f aca="false">ROUND(IF(D198=0,IF((N198-E198-O198)&gt;0,(N198-E198-O198),0),IF((D198+N198-O198)&gt;0,(D198+N198-O198),0)),2)</f>
        <v>1404.25</v>
      </c>
      <c r="Q198" s="14" t="n">
        <f aca="false">ROUND(IF(E198=0,IF((D198+N198-O198)&lt;0,ABS(D198+N198-O198),0),IF((N198-E198-O198)&lt;0,ABS(N198-E198-O198),0)),2)</f>
        <v>0</v>
      </c>
    </row>
    <row r="199" customFormat="false" ht="15" hidden="false" customHeight="true" outlineLevel="0" collapsed="false">
      <c r="A199" s="12" t="s">
        <v>593</v>
      </c>
      <c r="B199" s="12" t="str">
        <f aca="false">квітень!B199</f>
        <v>Сапунова І.В.</v>
      </c>
      <c r="C199" s="12" t="s">
        <v>595</v>
      </c>
      <c r="D199" s="14" t="n">
        <f aca="false">квітень!P199</f>
        <v>12167.2</v>
      </c>
      <c r="E199" s="14" t="n">
        <f aca="false">квітень!Q199</f>
        <v>0</v>
      </c>
      <c r="F199" s="13" t="n">
        <f aca="false">квітень!F199</f>
        <v>0</v>
      </c>
      <c r="G199" s="13" t="n">
        <f aca="false">квітень!G199</f>
        <v>70.42</v>
      </c>
      <c r="H199" s="13" t="n">
        <f aca="false">квітень!H199</f>
        <v>0</v>
      </c>
      <c r="I199" s="13" t="n">
        <f aca="false">квітень!I199</f>
        <v>4.1</v>
      </c>
      <c r="J199" s="14" t="n">
        <f aca="false">ROUND(G199*I199,2)</f>
        <v>288.72</v>
      </c>
      <c r="K199" s="14"/>
      <c r="L199" s="14"/>
      <c r="M199" s="14"/>
      <c r="N199" s="14" t="n">
        <f aca="false">ROUND((G199*I199)-K199-L199-M199,2)</f>
        <v>288.72</v>
      </c>
      <c r="O199" s="14"/>
      <c r="P199" s="14" t="n">
        <f aca="false">ROUND(IF(D199=0,IF((N199-E199-O199)&gt;0,(N199-E199-O199),0),IF((D199+N199-O199)&gt;0,(D199+N199-O199),0)),2)</f>
        <v>12455.92</v>
      </c>
      <c r="Q199" s="14" t="n">
        <f aca="false">ROUND(IF(E199=0,IF((D199+N199-O199)&lt;0,ABS(D199+N199-O199),0),IF((N199-E199-O199)&lt;0,ABS(N199-E199-O199),0)),2)</f>
        <v>0</v>
      </c>
    </row>
    <row r="200" customFormat="false" ht="15" hidden="false" customHeight="true" outlineLevel="0" collapsed="false">
      <c r="A200" s="12" t="s">
        <v>596</v>
      </c>
      <c r="B200" s="12" t="str">
        <f aca="false">квітень!B200</f>
        <v>Саввідіс В.О.</v>
      </c>
      <c r="C200" s="12" t="s">
        <v>598</v>
      </c>
      <c r="D200" s="14" t="n">
        <f aca="false">квітень!P200</f>
        <v>10893.82</v>
      </c>
      <c r="E200" s="14" t="n">
        <f aca="false">квітень!Q200</f>
        <v>0</v>
      </c>
      <c r="F200" s="13" t="n">
        <f aca="false">квітень!F200</f>
        <v>0</v>
      </c>
      <c r="G200" s="13" t="n">
        <f aca="false">квітень!G200</f>
        <v>49.7</v>
      </c>
      <c r="H200" s="13" t="n">
        <f aca="false">квітень!H200</f>
        <v>0</v>
      </c>
      <c r="I200" s="13" t="n">
        <f aca="false">квітень!I200</f>
        <v>4.1</v>
      </c>
      <c r="J200" s="14" t="n">
        <f aca="false">ROUND(G200*I200,2)</f>
        <v>203.77</v>
      </c>
      <c r="K200" s="14"/>
      <c r="L200" s="14"/>
      <c r="M200" s="14"/>
      <c r="N200" s="14" t="n">
        <f aca="false">ROUND((G200*I200)-K200-L200-M200,2)</f>
        <v>203.77</v>
      </c>
      <c r="O200" s="14"/>
      <c r="P200" s="14" t="n">
        <f aca="false">ROUND(IF(D200=0,IF((N200-E200-O200)&gt;0,(N200-E200-O200),0),IF((D200+N200-O200)&gt;0,(D200+N200-O200),0)),2)</f>
        <v>11097.59</v>
      </c>
      <c r="Q200" s="14" t="n">
        <f aca="false">ROUND(IF(E200=0,IF((D200+N200-O200)&lt;0,ABS(D200+N200-O200),0),IF((N200-E200-O200)&lt;0,ABS(N200-E200-O200),0)),2)</f>
        <v>0</v>
      </c>
    </row>
    <row r="201" customFormat="false" ht="15" hidden="false" customHeight="true" outlineLevel="0" collapsed="false">
      <c r="A201" s="12" t="s">
        <v>599</v>
      </c>
      <c r="B201" s="12" t="str">
        <f aca="false">квітень!B201</f>
        <v>Кашина Г.І.</v>
      </c>
      <c r="C201" s="12" t="s">
        <v>601</v>
      </c>
      <c r="D201" s="14" t="n">
        <f aca="false">квітень!P201</f>
        <v>13089.66</v>
      </c>
      <c r="E201" s="14" t="n">
        <f aca="false">квітень!Q201</f>
        <v>0</v>
      </c>
      <c r="F201" s="13" t="n">
        <f aca="false">квітень!F201</f>
        <v>0</v>
      </c>
      <c r="G201" s="13" t="n">
        <f aca="false">квітень!G201</f>
        <v>62.6</v>
      </c>
      <c r="H201" s="13" t="n">
        <f aca="false">квітень!H201</f>
        <v>0</v>
      </c>
      <c r="I201" s="13" t="n">
        <f aca="false">квітень!I201</f>
        <v>4.1</v>
      </c>
      <c r="J201" s="14" t="n">
        <f aca="false">ROUND(G201*I201,2)</f>
        <v>256.66</v>
      </c>
      <c r="K201" s="14"/>
      <c r="L201" s="14"/>
      <c r="M201" s="14"/>
      <c r="N201" s="14" t="n">
        <f aca="false">ROUND((G201*I201)-K201-L201-M201,2)</f>
        <v>256.66</v>
      </c>
      <c r="O201" s="14"/>
      <c r="P201" s="14" t="n">
        <f aca="false">ROUND(IF(D201=0,IF((N201-E201-O201)&gt;0,(N201-E201-O201),0),IF((D201+N201-O201)&gt;0,(D201+N201-O201),0)),2)</f>
        <v>13346.32</v>
      </c>
      <c r="Q201" s="14" t="n">
        <f aca="false">ROUND(IF(E201=0,IF((D201+N201-O201)&lt;0,ABS(D201+N201-O201),0),IF((N201-E201-O201)&lt;0,ABS(N201-E201-O201),0)),2)</f>
        <v>0</v>
      </c>
    </row>
    <row r="202" customFormat="false" ht="15" hidden="false" customHeight="true" outlineLevel="0" collapsed="false">
      <c r="A202" s="12" t="s">
        <v>602</v>
      </c>
      <c r="B202" s="12" t="str">
        <f aca="false">квітень!B202</f>
        <v>Фадеєва Є.А.</v>
      </c>
      <c r="C202" s="12" t="s">
        <v>604</v>
      </c>
      <c r="D202" s="14" t="n">
        <f aca="false">квітень!P202</f>
        <v>1154.56</v>
      </c>
      <c r="E202" s="14" t="n">
        <f aca="false">квітень!Q202</f>
        <v>0</v>
      </c>
      <c r="F202" s="13" t="n">
        <f aca="false">квітень!F202</f>
        <v>0</v>
      </c>
      <c r="G202" s="13" t="n">
        <f aca="false">квітень!G202</f>
        <v>70.4</v>
      </c>
      <c r="H202" s="13" t="n">
        <f aca="false">квітень!H202</f>
        <v>0</v>
      </c>
      <c r="I202" s="13" t="n">
        <f aca="false">квітень!I202</f>
        <v>4.1</v>
      </c>
      <c r="J202" s="14" t="n">
        <f aca="false">ROUND(G202*I202,2)</f>
        <v>288.64</v>
      </c>
      <c r="K202" s="14"/>
      <c r="L202" s="14"/>
      <c r="M202" s="14"/>
      <c r="N202" s="14" t="n">
        <f aca="false">ROUND((G202*I202)-K202-L202-M202,2)</f>
        <v>288.64</v>
      </c>
      <c r="O202" s="14"/>
      <c r="P202" s="14" t="n">
        <f aca="false">ROUND(IF(D202=0,IF((N202-E202-O202)&gt;0,(N202-E202-O202),0),IF((D202+N202-O202)&gt;0,(D202+N202-O202),0)),2)</f>
        <v>1443.2</v>
      </c>
      <c r="Q202" s="14" t="n">
        <f aca="false">ROUND(IF(E202=0,IF((D202+N202-O202)&lt;0,ABS(D202+N202-O202),0),IF((N202-E202-O202)&lt;0,ABS(N202-E202-O202),0)),2)</f>
        <v>0</v>
      </c>
    </row>
    <row r="203" customFormat="false" ht="15" hidden="false" customHeight="true" outlineLevel="0" collapsed="false">
      <c r="A203" s="12" t="s">
        <v>605</v>
      </c>
      <c r="B203" s="12" t="str">
        <f aca="false">квітень!B203</f>
        <v>Бойко О.А.</v>
      </c>
      <c r="C203" s="12" t="s">
        <v>607</v>
      </c>
      <c r="D203" s="14" t="n">
        <f aca="false">квітень!P203</f>
        <v>1151.28</v>
      </c>
      <c r="E203" s="14" t="n">
        <f aca="false">квітень!Q203</f>
        <v>0</v>
      </c>
      <c r="F203" s="13" t="n">
        <f aca="false">квітень!F203</f>
        <v>0</v>
      </c>
      <c r="G203" s="13" t="n">
        <f aca="false">квітень!G203</f>
        <v>70.2</v>
      </c>
      <c r="H203" s="13" t="n">
        <f aca="false">квітень!H203</f>
        <v>0</v>
      </c>
      <c r="I203" s="13" t="n">
        <f aca="false">квітень!I203</f>
        <v>4.1</v>
      </c>
      <c r="J203" s="14" t="n">
        <f aca="false">ROUND(G203*I203,2)</f>
        <v>287.82</v>
      </c>
      <c r="K203" s="14"/>
      <c r="L203" s="14"/>
      <c r="M203" s="14"/>
      <c r="N203" s="14" t="n">
        <f aca="false">ROUND((G203*I203)-K203-L203-M203,2)</f>
        <v>287.82</v>
      </c>
      <c r="O203" s="14"/>
      <c r="P203" s="14" t="n">
        <f aca="false">ROUND(IF(D203=0,IF((N203-E203-O203)&gt;0,(N203-E203-O203),0),IF((D203+N203-O203)&gt;0,(D203+N203-O203),0)),2)</f>
        <v>1439.1</v>
      </c>
      <c r="Q203" s="14" t="n">
        <f aca="false">ROUND(IF(E203=0,IF((D203+N203-O203)&lt;0,ABS(D203+N203-O203),0),IF((N203-E203-O203)&lt;0,ABS(N203-E203-O203),0)),2)</f>
        <v>0</v>
      </c>
    </row>
    <row r="204" customFormat="false" ht="15" hidden="false" customHeight="true" outlineLevel="0" collapsed="false">
      <c r="A204" s="12" t="s">
        <v>608</v>
      </c>
      <c r="B204" s="12" t="str">
        <f aca="false">квітень!B204</f>
        <v>Дудник І.А.</v>
      </c>
      <c r="C204" s="12" t="s">
        <v>610</v>
      </c>
      <c r="D204" s="14" t="n">
        <f aca="false">квітень!P204</f>
        <v>9879.27</v>
      </c>
      <c r="E204" s="14" t="n">
        <f aca="false">квітень!Q204</f>
        <v>0</v>
      </c>
      <c r="F204" s="13" t="n">
        <f aca="false">квітень!F204</f>
        <v>0</v>
      </c>
      <c r="G204" s="13" t="n">
        <f aca="false">квітень!G204</f>
        <v>49.94</v>
      </c>
      <c r="H204" s="13" t="n">
        <f aca="false">квітень!H204</f>
        <v>0</v>
      </c>
      <c r="I204" s="13" t="n">
        <f aca="false">квітень!I204</f>
        <v>4.1</v>
      </c>
      <c r="J204" s="14" t="n">
        <f aca="false">ROUND(G204*I204,2)</f>
        <v>204.75</v>
      </c>
      <c r="K204" s="14"/>
      <c r="L204" s="14"/>
      <c r="M204" s="14"/>
      <c r="N204" s="14" t="n">
        <f aca="false">ROUND((G204*I204)-K204-L204-M204,2)</f>
        <v>204.75</v>
      </c>
      <c r="O204" s="14"/>
      <c r="P204" s="14" t="n">
        <f aca="false">ROUND(IF(D204=0,IF((N204-E204-O204)&gt;0,(N204-E204-O204),0),IF((D204+N204-O204)&gt;0,(D204+N204-O204),0)),2)</f>
        <v>10084.02</v>
      </c>
      <c r="Q204" s="14" t="n">
        <f aca="false">ROUND(IF(E204=0,IF((D204+N204-O204)&lt;0,ABS(D204+N204-O204),0),IF((N204-E204-O204)&lt;0,ABS(N204-E204-O204),0)),2)</f>
        <v>0</v>
      </c>
    </row>
    <row r="205" customFormat="false" ht="15" hidden="false" customHeight="true" outlineLevel="0" collapsed="false">
      <c r="A205" s="12" t="s">
        <v>611</v>
      </c>
      <c r="B205" s="12" t="str">
        <f aca="false">квітень!B205</f>
        <v>Лебедєва Т.В.</v>
      </c>
      <c r="C205" s="12" t="s">
        <v>613</v>
      </c>
      <c r="D205" s="14" t="n">
        <f aca="false">квітень!P205</f>
        <v>10978.92</v>
      </c>
      <c r="E205" s="14" t="n">
        <f aca="false">квітень!Q205</f>
        <v>0</v>
      </c>
      <c r="F205" s="13" t="n">
        <f aca="false">квітень!F205</f>
        <v>0</v>
      </c>
      <c r="G205" s="13" t="n">
        <f aca="false">квітень!G205</f>
        <v>62.3</v>
      </c>
      <c r="H205" s="13" t="n">
        <f aca="false">квітень!H205</f>
        <v>0</v>
      </c>
      <c r="I205" s="13" t="n">
        <f aca="false">квітень!I205</f>
        <v>4.1</v>
      </c>
      <c r="J205" s="14" t="n">
        <f aca="false">ROUND(G205*I205,2)</f>
        <v>255.43</v>
      </c>
      <c r="K205" s="14"/>
      <c r="L205" s="14"/>
      <c r="M205" s="14"/>
      <c r="N205" s="14" t="n">
        <f aca="false">ROUND((G205*I205)-K205-L205-M205,2)</f>
        <v>255.43</v>
      </c>
      <c r="O205" s="14"/>
      <c r="P205" s="14" t="n">
        <f aca="false">ROUND(IF(D205=0,IF((N205-E205-O205)&gt;0,(N205-E205-O205),0),IF((D205+N205-O205)&gt;0,(D205+N205-O205),0)),2)</f>
        <v>11234.35</v>
      </c>
      <c r="Q205" s="14" t="n">
        <f aca="false">ROUND(IF(E205=0,IF((D205+N205-O205)&lt;0,ABS(D205+N205-O205),0),IF((N205-E205-O205)&lt;0,ABS(N205-E205-O205),0)),2)</f>
        <v>0</v>
      </c>
    </row>
    <row r="206" customFormat="false" ht="15" hidden="false" customHeight="true" outlineLevel="0" collapsed="false">
      <c r="A206" s="12" t="s">
        <v>614</v>
      </c>
      <c r="B206" s="12" t="str">
        <f aca="false">квітень!B206</f>
        <v>Криницький Л.С.</v>
      </c>
      <c r="C206" s="12" t="s">
        <v>616</v>
      </c>
      <c r="D206" s="14" t="n">
        <f aca="false">квітень!P206</f>
        <v>831.6</v>
      </c>
      <c r="E206" s="14" t="n">
        <f aca="false">квітень!Q206</f>
        <v>0</v>
      </c>
      <c r="F206" s="13" t="n">
        <f aca="false">квітень!F206</f>
        <v>0</v>
      </c>
      <c r="G206" s="13" t="n">
        <f aca="false">квітень!G206</f>
        <v>67.61</v>
      </c>
      <c r="H206" s="13" t="n">
        <f aca="false">квітень!H206</f>
        <v>0</v>
      </c>
      <c r="I206" s="13" t="n">
        <f aca="false">квітень!I206</f>
        <v>4.1</v>
      </c>
      <c r="J206" s="14" t="n">
        <f aca="false">ROUND(G206*I206,2)</f>
        <v>277.2</v>
      </c>
      <c r="K206" s="14"/>
      <c r="L206" s="14"/>
      <c r="M206" s="14"/>
      <c r="N206" s="14" t="n">
        <f aca="false">ROUND((G206*I206)-K206-L206-M206,2)</f>
        <v>277.2</v>
      </c>
      <c r="O206" s="14"/>
      <c r="P206" s="14" t="n">
        <f aca="false">ROUND(IF(D206=0,IF((N206-E206-O206)&gt;0,(N206-E206-O206),0),IF((D206+N206-O206)&gt;0,(D206+N206-O206),0)),2)</f>
        <v>1108.8</v>
      </c>
      <c r="Q206" s="14" t="n">
        <f aca="false">ROUND(IF(E206=0,IF((D206+N206-O206)&lt;0,ABS(D206+N206-O206),0),IF((N206-E206-O206)&lt;0,ABS(N206-E206-O206),0)),2)</f>
        <v>0</v>
      </c>
    </row>
    <row r="207" customFormat="false" ht="15" hidden="false" customHeight="true" outlineLevel="0" collapsed="false">
      <c r="A207" s="12" t="s">
        <v>617</v>
      </c>
      <c r="B207" s="12" t="str">
        <f aca="false">квітень!B207</f>
        <v>Сафонов В.В.</v>
      </c>
      <c r="C207" s="12" t="s">
        <v>619</v>
      </c>
      <c r="D207" s="14" t="n">
        <f aca="false">квітень!P207</f>
        <v>13460.14</v>
      </c>
      <c r="E207" s="14" t="n">
        <f aca="false">квітень!Q207</f>
        <v>0</v>
      </c>
      <c r="F207" s="13" t="n">
        <f aca="false">квітень!F207</f>
        <v>0</v>
      </c>
      <c r="G207" s="13" t="n">
        <f aca="false">квітень!G207</f>
        <v>70.38</v>
      </c>
      <c r="H207" s="13" t="n">
        <f aca="false">квітень!H207</f>
        <v>0</v>
      </c>
      <c r="I207" s="13" t="n">
        <f aca="false">квітень!I207</f>
        <v>4.1</v>
      </c>
      <c r="J207" s="14" t="n">
        <f aca="false">ROUND(G207*I207,2)</f>
        <v>288.56</v>
      </c>
      <c r="K207" s="14"/>
      <c r="L207" s="14"/>
      <c r="M207" s="14"/>
      <c r="N207" s="14" t="n">
        <f aca="false">ROUND((G207*I207)-K207-L207-M207,2)</f>
        <v>288.56</v>
      </c>
      <c r="O207" s="14"/>
      <c r="P207" s="14" t="n">
        <f aca="false">ROUND(IF(D207=0,IF((N207-E207-O207)&gt;0,(N207-E207-O207),0),IF((D207+N207-O207)&gt;0,(D207+N207-O207),0)),2)</f>
        <v>13748.7</v>
      </c>
      <c r="Q207" s="14" t="n">
        <f aca="false">ROUND(IF(E207=0,IF((D207+N207-O207)&lt;0,ABS(D207+N207-O207),0),IF((N207-E207-O207)&lt;0,ABS(N207-E207-O207),0)),2)</f>
        <v>0</v>
      </c>
    </row>
    <row r="208" customFormat="false" ht="15" hidden="false" customHeight="true" outlineLevel="0" collapsed="false">
      <c r="A208" s="12" t="s">
        <v>620</v>
      </c>
      <c r="B208" s="12" t="str">
        <f aca="false">квітень!B208</f>
        <v>Мільковська Р.Г.</v>
      </c>
      <c r="C208" s="12" t="s">
        <v>622</v>
      </c>
      <c r="D208" s="14" t="n">
        <f aca="false">квітень!P208</f>
        <v>9649.94</v>
      </c>
      <c r="E208" s="14" t="n">
        <f aca="false">квітень!Q208</f>
        <v>0</v>
      </c>
      <c r="F208" s="13" t="n">
        <f aca="false">квітень!F208</f>
        <v>0</v>
      </c>
      <c r="G208" s="13" t="n">
        <f aca="false">квітень!G208</f>
        <v>49.88</v>
      </c>
      <c r="H208" s="13" t="n">
        <f aca="false">квітень!H208</f>
        <v>0</v>
      </c>
      <c r="I208" s="13" t="n">
        <f aca="false">квітень!I208</f>
        <v>4.1</v>
      </c>
      <c r="J208" s="14" t="n">
        <f aca="false">ROUND(G208*I208,2)</f>
        <v>204.51</v>
      </c>
      <c r="K208" s="14"/>
      <c r="L208" s="14"/>
      <c r="M208" s="14"/>
      <c r="N208" s="14" t="n">
        <f aca="false">ROUND((G208*I208)-K208-L208-M208,2)</f>
        <v>204.51</v>
      </c>
      <c r="O208" s="14"/>
      <c r="P208" s="14" t="n">
        <f aca="false">ROUND(IF(D208=0,IF((N208-E208-O208)&gt;0,(N208-E208-O208),0),IF((D208+N208-O208)&gt;0,(D208+N208-O208),0)),2)</f>
        <v>9854.45</v>
      </c>
      <c r="Q208" s="14" t="n">
        <f aca="false">ROUND(IF(E208=0,IF((D208+N208-O208)&lt;0,ABS(D208+N208-O208),0),IF((N208-E208-O208)&lt;0,ABS(N208-E208-O208),0)),2)</f>
        <v>0</v>
      </c>
    </row>
    <row r="209" customFormat="false" ht="15" hidden="false" customHeight="true" outlineLevel="0" collapsed="false">
      <c r="A209" s="12" t="s">
        <v>623</v>
      </c>
      <c r="B209" s="12" t="str">
        <f aca="false">квітень!B209</f>
        <v>Заранкін С.М.</v>
      </c>
      <c r="C209" s="12" t="s">
        <v>625</v>
      </c>
      <c r="D209" s="14" t="n">
        <f aca="false">квітень!P209</f>
        <v>11140.44</v>
      </c>
      <c r="E209" s="14" t="n">
        <f aca="false">квітень!Q209</f>
        <v>0</v>
      </c>
      <c r="F209" s="13" t="n">
        <f aca="false">квітень!F209</f>
        <v>0</v>
      </c>
      <c r="G209" s="13" t="n">
        <f aca="false">квітень!G209</f>
        <v>62.02</v>
      </c>
      <c r="H209" s="13" t="n">
        <f aca="false">квітень!H209</f>
        <v>0</v>
      </c>
      <c r="I209" s="13" t="n">
        <f aca="false">квітень!I209</f>
        <v>4.1</v>
      </c>
      <c r="J209" s="14" t="n">
        <f aca="false">ROUND(G209*I209,2)</f>
        <v>254.28</v>
      </c>
      <c r="K209" s="14"/>
      <c r="L209" s="14"/>
      <c r="M209" s="14"/>
      <c r="N209" s="14" t="n">
        <f aca="false">ROUND((G209*I209)-K209-L209-M209,2)</f>
        <v>254.28</v>
      </c>
      <c r="O209" s="14"/>
      <c r="P209" s="14" t="n">
        <f aca="false">ROUND(IF(D209=0,IF((N209-E209-O209)&gt;0,(N209-E209-O209),0),IF((D209+N209-O209)&gt;0,(D209+N209-O209),0)),2)</f>
        <v>11394.72</v>
      </c>
      <c r="Q209" s="14" t="n">
        <f aca="false">ROUND(IF(E209=0,IF((D209+N209-O209)&lt;0,ABS(D209+N209-O209),0),IF((N209-E209-O209)&lt;0,ABS(N209-E209-O209),0)),2)</f>
        <v>0</v>
      </c>
    </row>
    <row r="210" customFormat="false" ht="15" hidden="false" customHeight="true" outlineLevel="0" collapsed="false">
      <c r="A210" s="12" t="s">
        <v>626</v>
      </c>
      <c r="B210" s="12" t="str">
        <f aca="false">квітень!B210</f>
        <v>Сіянко О.М.</v>
      </c>
      <c r="C210" s="12" t="s">
        <v>628</v>
      </c>
      <c r="D210" s="14" t="n">
        <f aca="false">квітень!P210</f>
        <v>4234.56</v>
      </c>
      <c r="E210" s="14" t="n">
        <f aca="false">квітень!Q210</f>
        <v>0</v>
      </c>
      <c r="F210" s="13" t="n">
        <f aca="false">квітень!F210</f>
        <v>0</v>
      </c>
      <c r="G210" s="13" t="n">
        <f aca="false">квітень!G210</f>
        <v>67.6</v>
      </c>
      <c r="H210" s="13" t="n">
        <f aca="false">квітень!H210</f>
        <v>0</v>
      </c>
      <c r="I210" s="13" t="n">
        <f aca="false">квітень!I210</f>
        <v>4.1</v>
      </c>
      <c r="J210" s="14" t="n">
        <f aca="false">ROUND(G210*I210,2)</f>
        <v>277.16</v>
      </c>
      <c r="K210" s="14"/>
      <c r="L210" s="14"/>
      <c r="M210" s="14"/>
      <c r="N210" s="14" t="n">
        <f aca="false">ROUND((G210*I210)-K210-L210-M210,2)</f>
        <v>277.16</v>
      </c>
      <c r="O210" s="14"/>
      <c r="P210" s="14" t="n">
        <f aca="false">ROUND(IF(D210=0,IF((N210-E210-O210)&gt;0,(N210-E210-O210),0),IF((D210+N210-O210)&gt;0,(D210+N210-O210),0)),2)</f>
        <v>4511.72</v>
      </c>
      <c r="Q210" s="14" t="n">
        <f aca="false">ROUND(IF(E210=0,IF((D210+N210-O210)&lt;0,ABS(D210+N210-O210),0),IF((N210-E210-O210)&lt;0,ABS(N210-E210-O210),0)),2)</f>
        <v>0</v>
      </c>
    </row>
    <row r="211" customFormat="false" ht="15" hidden="false" customHeight="true" outlineLevel="0" collapsed="false">
      <c r="A211" s="12" t="s">
        <v>629</v>
      </c>
      <c r="B211" s="12" t="str">
        <f aca="false">квітень!B211</f>
        <v>Осипов В.В.</v>
      </c>
      <c r="C211" s="12" t="s">
        <v>631</v>
      </c>
      <c r="D211" s="14" t="n">
        <f aca="false">квітень!P211</f>
        <v>11013.44</v>
      </c>
      <c r="E211" s="14" t="n">
        <f aca="false">квітень!Q211</f>
        <v>0</v>
      </c>
      <c r="F211" s="13" t="n">
        <f aca="false">квітень!F211</f>
        <v>0</v>
      </c>
      <c r="G211" s="13" t="n">
        <f aca="false">квітень!G211</f>
        <v>70.42</v>
      </c>
      <c r="H211" s="13" t="n">
        <f aca="false">квітень!H211</f>
        <v>0</v>
      </c>
      <c r="I211" s="13" t="n">
        <f aca="false">квітень!I211</f>
        <v>4.1</v>
      </c>
      <c r="J211" s="14" t="n">
        <f aca="false">ROUND(G211*I211,2)</f>
        <v>288.72</v>
      </c>
      <c r="K211" s="14"/>
      <c r="L211" s="14"/>
      <c r="M211" s="14"/>
      <c r="N211" s="14" t="n">
        <f aca="false">ROUND((G211*I211)-K211-L211-M211,2)</f>
        <v>288.72</v>
      </c>
      <c r="O211" s="14"/>
      <c r="P211" s="14" t="n">
        <f aca="false">ROUND(IF(D211=0,IF((N211-E211-O211)&gt;0,(N211-E211-O211),0),IF((D211+N211-O211)&gt;0,(D211+N211-O211),0)),2)</f>
        <v>11302.16</v>
      </c>
      <c r="Q211" s="14" t="n">
        <f aca="false">ROUND(IF(E211=0,IF((D211+N211-O211)&lt;0,ABS(D211+N211-O211),0),IF((N211-E211-O211)&lt;0,ABS(N211-E211-O211),0)),2)</f>
        <v>0</v>
      </c>
    </row>
    <row r="212" customFormat="false" ht="15" hidden="false" customHeight="true" outlineLevel="0" collapsed="false">
      <c r="A212" s="12" t="s">
        <v>632</v>
      </c>
      <c r="B212" s="12" t="str">
        <f aca="false">квітень!B212</f>
        <v>Перепьолкін А.Л.</v>
      </c>
      <c r="C212" s="12" t="s">
        <v>634</v>
      </c>
      <c r="D212" s="14" t="n">
        <f aca="false">квітень!P212</f>
        <v>816.72</v>
      </c>
      <c r="E212" s="14" t="n">
        <f aca="false">квітень!Q212</f>
        <v>0</v>
      </c>
      <c r="F212" s="13" t="n">
        <f aca="false">квітень!F212</f>
        <v>0</v>
      </c>
      <c r="G212" s="13" t="n">
        <f aca="false">квітень!G212</f>
        <v>49.8</v>
      </c>
      <c r="H212" s="13" t="n">
        <f aca="false">квітень!H212</f>
        <v>0</v>
      </c>
      <c r="I212" s="13" t="n">
        <f aca="false">квітень!I212</f>
        <v>4.1</v>
      </c>
      <c r="J212" s="14" t="n">
        <f aca="false">ROUND(G212*I212,2)</f>
        <v>204.18</v>
      </c>
      <c r="K212" s="14"/>
      <c r="L212" s="14"/>
      <c r="M212" s="14"/>
      <c r="N212" s="14" t="n">
        <f aca="false">ROUND((G212*I212)-K212-L212-M212,2)</f>
        <v>204.18</v>
      </c>
      <c r="O212" s="14"/>
      <c r="P212" s="14" t="n">
        <f aca="false">ROUND(IF(D212=0,IF((N212-E212-O212)&gt;0,(N212-E212-O212),0),IF((D212+N212-O212)&gt;0,(D212+N212-O212),0)),2)</f>
        <v>1020.9</v>
      </c>
      <c r="Q212" s="14" t="n">
        <f aca="false">ROUND(IF(E212=0,IF((D212+N212-O212)&lt;0,ABS(D212+N212-O212),0),IF((N212-E212-O212)&lt;0,ABS(N212-E212-O212),0)),2)</f>
        <v>0</v>
      </c>
    </row>
    <row r="213" customFormat="false" ht="15" hidden="false" customHeight="true" outlineLevel="0" collapsed="false">
      <c r="A213" s="12" t="s">
        <v>635</v>
      </c>
      <c r="B213" s="12" t="str">
        <f aca="false">квітень!B213</f>
        <v>Синегрибова В.В.</v>
      </c>
      <c r="C213" s="12" t="s">
        <v>637</v>
      </c>
      <c r="D213" s="14" t="n">
        <f aca="false">квітень!P213</f>
        <v>2258.4</v>
      </c>
      <c r="E213" s="14" t="n">
        <f aca="false">квітень!Q213</f>
        <v>0</v>
      </c>
      <c r="F213" s="13" t="n">
        <f aca="false">квітень!F213</f>
        <v>0</v>
      </c>
      <c r="G213" s="13" t="n">
        <f aca="false">квітень!G213</f>
        <v>62.7</v>
      </c>
      <c r="H213" s="13" t="n">
        <f aca="false">квітень!H213</f>
        <v>0</v>
      </c>
      <c r="I213" s="13" t="n">
        <f aca="false">квітень!I213</f>
        <v>4.1</v>
      </c>
      <c r="J213" s="14" t="n">
        <f aca="false">ROUND(G213*I213,2)</f>
        <v>257.07</v>
      </c>
      <c r="K213" s="14"/>
      <c r="L213" s="14"/>
      <c r="M213" s="14"/>
      <c r="N213" s="14" t="n">
        <f aca="false">ROUND((G213*I213)-K213-L213-M213,2)</f>
        <v>257.07</v>
      </c>
      <c r="O213" s="14"/>
      <c r="P213" s="14" t="n">
        <f aca="false">ROUND(IF(D213=0,IF((N213-E213-O213)&gt;0,(N213-E213-O213),0),IF((D213+N213-O213)&gt;0,(D213+N213-O213),0)),2)</f>
        <v>2515.47</v>
      </c>
      <c r="Q213" s="14" t="n">
        <f aca="false">ROUND(IF(E213=0,IF((D213+N213-O213)&lt;0,ABS(D213+N213-O213),0),IF((N213-E213-O213)&lt;0,ABS(N213-E213-O213),0)),2)</f>
        <v>0</v>
      </c>
    </row>
    <row r="214" customFormat="false" ht="15" hidden="false" customHeight="true" outlineLevel="0" collapsed="false">
      <c r="A214" s="12" t="s">
        <v>638</v>
      </c>
      <c r="B214" s="12" t="str">
        <f aca="false">квітень!B214</f>
        <v>Юдін М.В.</v>
      </c>
      <c r="C214" s="12" t="s">
        <v>640</v>
      </c>
      <c r="D214" s="14" t="n">
        <f aca="false">квітень!P214</f>
        <v>1115.2</v>
      </c>
      <c r="E214" s="14" t="n">
        <f aca="false">квітень!Q214</f>
        <v>0</v>
      </c>
      <c r="F214" s="13" t="n">
        <f aca="false">квітень!F214</f>
        <v>0</v>
      </c>
      <c r="G214" s="13" t="n">
        <f aca="false">квітень!G214</f>
        <v>68</v>
      </c>
      <c r="H214" s="13" t="n">
        <f aca="false">квітень!H214</f>
        <v>0</v>
      </c>
      <c r="I214" s="13" t="n">
        <f aca="false">квітень!I214</f>
        <v>4.1</v>
      </c>
      <c r="J214" s="14" t="n">
        <f aca="false">ROUND(G214*I214,2)</f>
        <v>278.8</v>
      </c>
      <c r="K214" s="14"/>
      <c r="L214" s="14"/>
      <c r="M214" s="14"/>
      <c r="N214" s="14" t="n">
        <f aca="false">ROUND((G214*I214)-K214-L214-M214,2)</f>
        <v>278.8</v>
      </c>
      <c r="O214" s="14"/>
      <c r="P214" s="14" t="n">
        <f aca="false">ROUND(IF(D214=0,IF((N214-E214-O214)&gt;0,(N214-E214-O214),0),IF((D214+N214-O214)&gt;0,(D214+N214-O214),0)),2)</f>
        <v>1394</v>
      </c>
      <c r="Q214" s="14" t="n">
        <f aca="false">ROUND(IF(E214=0,IF((D214+N214-O214)&lt;0,ABS(D214+N214-O214),0),IF((N214-E214-O214)&lt;0,ABS(N214-E214-O214),0)),2)</f>
        <v>0</v>
      </c>
    </row>
    <row r="215" customFormat="false" ht="15" hidden="false" customHeight="true" outlineLevel="0" collapsed="false">
      <c r="A215" s="12" t="s">
        <v>641</v>
      </c>
      <c r="B215" s="12" t="str">
        <f aca="false">квітень!B215</f>
        <v>Сергєєва Н.О.</v>
      </c>
      <c r="C215" s="12" t="s">
        <v>643</v>
      </c>
      <c r="D215" s="14" t="n">
        <f aca="false">квітень!P215</f>
        <v>1168.26</v>
      </c>
      <c r="E215" s="14" t="n">
        <f aca="false">квітень!Q215</f>
        <v>0</v>
      </c>
      <c r="F215" s="13" t="n">
        <f aca="false">квітень!F215</f>
        <v>0</v>
      </c>
      <c r="G215" s="13" t="n">
        <f aca="false">квітень!G215</f>
        <v>72.1</v>
      </c>
      <c r="H215" s="13" t="n">
        <f aca="false">квітень!H215</f>
        <v>0</v>
      </c>
      <c r="I215" s="13" t="n">
        <f aca="false">квітень!I215</f>
        <v>4.1</v>
      </c>
      <c r="J215" s="14" t="n">
        <f aca="false">ROUND(G215*I215,2)</f>
        <v>295.61</v>
      </c>
      <c r="K215" s="14"/>
      <c r="L215" s="14"/>
      <c r="M215" s="14"/>
      <c r="N215" s="14" t="n">
        <f aca="false">ROUND((G215*I215)-K215-L215-M215,2)</f>
        <v>295.61</v>
      </c>
      <c r="O215" s="14"/>
      <c r="P215" s="14" t="n">
        <f aca="false">ROUND(IF(D215=0,IF((N215-E215-O215)&gt;0,(N215-E215-O215),0),IF((D215+N215-O215)&gt;0,(D215+N215-O215),0)),2)</f>
        <v>1463.87</v>
      </c>
      <c r="Q215" s="14" t="n">
        <f aca="false">ROUND(IF(E215=0,IF((D215+N215-O215)&lt;0,ABS(D215+N215-O215),0),IF((N215-E215-O215)&lt;0,ABS(N215-E215-O215),0)),2)</f>
        <v>0</v>
      </c>
    </row>
    <row r="216" customFormat="false" ht="15" hidden="false" customHeight="true" outlineLevel="0" collapsed="false">
      <c r="A216" s="12" t="s">
        <v>644</v>
      </c>
      <c r="B216" s="12" t="str">
        <f aca="false">квітень!B216</f>
        <v>Рева І.П.</v>
      </c>
      <c r="C216" s="12" t="s">
        <v>646</v>
      </c>
      <c r="D216" s="14" t="n">
        <f aca="false">квітень!P216</f>
        <v>815.4</v>
      </c>
      <c r="E216" s="14" t="n">
        <f aca="false">квітень!Q216</f>
        <v>0</v>
      </c>
      <c r="F216" s="13" t="n">
        <f aca="false">квітень!F216</f>
        <v>0</v>
      </c>
      <c r="G216" s="13" t="n">
        <f aca="false">квітень!G216</f>
        <v>49.72</v>
      </c>
      <c r="H216" s="13" t="n">
        <f aca="false">квітень!H216</f>
        <v>0</v>
      </c>
      <c r="I216" s="13" t="n">
        <f aca="false">квітень!I216</f>
        <v>4.1</v>
      </c>
      <c r="J216" s="14" t="n">
        <f aca="false">ROUND(G216*I216,2)</f>
        <v>203.85</v>
      </c>
      <c r="K216" s="14"/>
      <c r="L216" s="14"/>
      <c r="M216" s="14"/>
      <c r="N216" s="14" t="n">
        <f aca="false">ROUND((G216*I216)-K216-L216-M216,2)</f>
        <v>203.85</v>
      </c>
      <c r="O216" s="14"/>
      <c r="P216" s="14" t="n">
        <f aca="false">ROUND(IF(D216=0,IF((N216-E216-O216)&gt;0,(N216-E216-O216),0),IF((D216+N216-O216)&gt;0,(D216+N216-O216),0)),2)</f>
        <v>1019.25</v>
      </c>
      <c r="Q216" s="14" t="n">
        <f aca="false">ROUND(IF(E216=0,IF((D216+N216-O216)&lt;0,ABS(D216+N216-O216),0),IF((N216-E216-O216)&lt;0,ABS(N216-E216-O216),0)),2)</f>
        <v>0</v>
      </c>
    </row>
    <row r="217" customFormat="false" ht="15" hidden="false" customHeight="true" outlineLevel="0" collapsed="false">
      <c r="A217" s="12" t="s">
        <v>647</v>
      </c>
      <c r="B217" s="12" t="str">
        <f aca="false">квітень!B217</f>
        <v>Почапський Ю.Т.</v>
      </c>
      <c r="C217" s="12" t="s">
        <v>649</v>
      </c>
      <c r="D217" s="14" t="n">
        <f aca="false">квітень!P217</f>
        <v>482.25</v>
      </c>
      <c r="E217" s="14" t="n">
        <f aca="false">квітень!Q217</f>
        <v>0</v>
      </c>
      <c r="F217" s="13" t="n">
        <f aca="false">квітень!F217</f>
        <v>0</v>
      </c>
      <c r="G217" s="13" t="n">
        <f aca="false">квітень!G217</f>
        <v>62.39</v>
      </c>
      <c r="H217" s="13" t="n">
        <f aca="false">квітень!H217</f>
        <v>0</v>
      </c>
      <c r="I217" s="13" t="n">
        <f aca="false">квітень!I217</f>
        <v>4.1</v>
      </c>
      <c r="J217" s="14" t="n">
        <f aca="false">ROUND(G217*I217,2)</f>
        <v>255.8</v>
      </c>
      <c r="K217" s="14"/>
      <c r="L217" s="14"/>
      <c r="M217" s="14"/>
      <c r="N217" s="14" t="n">
        <f aca="false">ROUND((G217*I217)-K217-L217-M217,2)</f>
        <v>255.8</v>
      </c>
      <c r="O217" s="14"/>
      <c r="P217" s="14" t="n">
        <f aca="false">ROUND(IF(D217=0,IF((N217-E217-O217)&gt;0,(N217-E217-O217),0),IF((D217+N217-O217)&gt;0,(D217+N217-O217),0)),2)</f>
        <v>738.05</v>
      </c>
      <c r="Q217" s="14" t="n">
        <f aca="false">ROUND(IF(E217=0,IF((D217+N217-O217)&lt;0,ABS(D217+N217-O217),0),IF((N217-E217-O217)&lt;0,ABS(N217-E217-O217),0)),2)</f>
        <v>0</v>
      </c>
    </row>
    <row r="218" customFormat="false" ht="15" hidden="false" customHeight="true" outlineLevel="0" collapsed="false">
      <c r="A218" s="12" t="s">
        <v>650</v>
      </c>
      <c r="B218" s="12" t="str">
        <f aca="false">квітень!B218</f>
        <v>Васильченко М.П.</v>
      </c>
      <c r="C218" s="12" t="s">
        <v>652</v>
      </c>
      <c r="D218" s="14" t="n">
        <f aca="false">квітень!P218</f>
        <v>13612.65</v>
      </c>
      <c r="E218" s="14" t="n">
        <f aca="false">квітень!Q218</f>
        <v>0</v>
      </c>
      <c r="F218" s="13" t="n">
        <f aca="false">квітень!F218</f>
        <v>0</v>
      </c>
      <c r="G218" s="13" t="n">
        <f aca="false">квітень!G218</f>
        <v>67.47</v>
      </c>
      <c r="H218" s="13" t="n">
        <f aca="false">квітень!H218</f>
        <v>0</v>
      </c>
      <c r="I218" s="13" t="n">
        <f aca="false">квітень!I218</f>
        <v>4.1</v>
      </c>
      <c r="J218" s="14" t="n">
        <f aca="false">ROUND(G218*I218,2)</f>
        <v>276.63</v>
      </c>
      <c r="K218" s="14"/>
      <c r="L218" s="14"/>
      <c r="M218" s="14"/>
      <c r="N218" s="14" t="n">
        <f aca="false">ROUND((G218*I218)-K218-L218-M218,2)</f>
        <v>276.63</v>
      </c>
      <c r="O218" s="14"/>
      <c r="P218" s="14" t="n">
        <f aca="false">ROUND(IF(D218=0,IF((N218-E218-O218)&gt;0,(N218-E218-O218),0),IF((D218+N218-O218)&gt;0,(D218+N218-O218),0)),2)</f>
        <v>13889.28</v>
      </c>
      <c r="Q218" s="14" t="n">
        <f aca="false">ROUND(IF(E218=0,IF((D218+N218-O218)&lt;0,ABS(D218+N218-O218),0),IF((N218-E218-O218)&lt;0,ABS(N218-E218-O218),0)),2)</f>
        <v>0</v>
      </c>
    </row>
    <row r="219" customFormat="false" ht="15" hidden="false" customHeight="true" outlineLevel="0" collapsed="false">
      <c r="A219" s="12" t="s">
        <v>653</v>
      </c>
      <c r="B219" s="12" t="str">
        <f aca="false">квітень!B219</f>
        <v>Черненко Т.А.</v>
      </c>
      <c r="C219" s="12" t="s">
        <v>655</v>
      </c>
      <c r="D219" s="14" t="n">
        <f aca="false">квітень!P219</f>
        <v>1154.72</v>
      </c>
      <c r="E219" s="14" t="n">
        <f aca="false">квітень!Q219</f>
        <v>0</v>
      </c>
      <c r="F219" s="13" t="n">
        <f aca="false">квітень!F219</f>
        <v>0</v>
      </c>
      <c r="G219" s="13" t="n">
        <f aca="false">квітень!G219</f>
        <v>70.41</v>
      </c>
      <c r="H219" s="13" t="n">
        <f aca="false">квітень!H219</f>
        <v>0</v>
      </c>
      <c r="I219" s="13" t="n">
        <f aca="false">квітень!I219</f>
        <v>4.1</v>
      </c>
      <c r="J219" s="14" t="n">
        <f aca="false">ROUND(G219*I219,2)</f>
        <v>288.68</v>
      </c>
      <c r="K219" s="14"/>
      <c r="L219" s="14"/>
      <c r="M219" s="14"/>
      <c r="N219" s="14" t="n">
        <f aca="false">ROUND((G219*I219)-K219-L219-M219,2)</f>
        <v>288.68</v>
      </c>
      <c r="O219" s="14"/>
      <c r="P219" s="14" t="n">
        <f aca="false">ROUND(IF(D219=0,IF((N219-E219-O219)&gt;0,(N219-E219-O219),0),IF((D219+N219-O219)&gt;0,(D219+N219-O219),0)),2)</f>
        <v>1443.4</v>
      </c>
      <c r="Q219" s="14" t="n">
        <f aca="false">ROUND(IF(E219=0,IF((D219+N219-O219)&lt;0,ABS(D219+N219-O219),0),IF((N219-E219-O219)&lt;0,ABS(N219-E219-O219),0)),2)</f>
        <v>0</v>
      </c>
    </row>
    <row r="220" customFormat="false" ht="15" hidden="false" customHeight="true" outlineLevel="0" collapsed="false">
      <c r="A220" s="12" t="s">
        <v>656</v>
      </c>
      <c r="B220" s="12" t="str">
        <f aca="false">квітень!B220</f>
        <v>Сиротенко Я.О.</v>
      </c>
      <c r="C220" s="12" t="s">
        <v>658</v>
      </c>
      <c r="D220" s="14" t="n">
        <f aca="false">квітень!P220</f>
        <v>4860.02</v>
      </c>
      <c r="E220" s="14" t="n">
        <f aca="false">квітень!Q220</f>
        <v>0</v>
      </c>
      <c r="F220" s="13" t="n">
        <f aca="false">квітень!F220</f>
        <v>0</v>
      </c>
      <c r="G220" s="13" t="n">
        <f aca="false">квітень!G220</f>
        <v>49.73</v>
      </c>
      <c r="H220" s="13" t="n">
        <f aca="false">квітень!H220</f>
        <v>0</v>
      </c>
      <c r="I220" s="13" t="n">
        <f aca="false">квітень!I220</f>
        <v>4.1</v>
      </c>
      <c r="J220" s="14" t="n">
        <f aca="false">ROUND(G220*I220,2)</f>
        <v>203.89</v>
      </c>
      <c r="K220" s="14"/>
      <c r="L220" s="14"/>
      <c r="M220" s="14"/>
      <c r="N220" s="14" t="n">
        <f aca="false">ROUND((G220*I220)-K220-L220-M220,2)</f>
        <v>203.89</v>
      </c>
      <c r="O220" s="14"/>
      <c r="P220" s="14" t="n">
        <f aca="false">ROUND(IF(D220=0,IF((N220-E220-O220)&gt;0,(N220-E220-O220),0),IF((D220+N220-O220)&gt;0,(D220+N220-O220),0)),2)</f>
        <v>5063.91</v>
      </c>
      <c r="Q220" s="14" t="n">
        <f aca="false">ROUND(IF(E220=0,IF((D220+N220-O220)&lt;0,ABS(D220+N220-O220),0),IF((N220-E220-O220)&lt;0,ABS(N220-E220-O220),0)),2)</f>
        <v>0</v>
      </c>
    </row>
    <row r="221" customFormat="false" ht="15.75" hidden="false" customHeight="true" outlineLevel="0" collapsed="false">
      <c r="A221" s="12" t="s">
        <v>659</v>
      </c>
      <c r="B221" s="12" t="str">
        <f aca="false">квітень!B221</f>
        <v>Корнюшенко О.О.</v>
      </c>
      <c r="C221" s="12" t="s">
        <v>661</v>
      </c>
      <c r="D221" s="14" t="n">
        <f aca="false">квітень!P221</f>
        <v>8541.6</v>
      </c>
      <c r="E221" s="14" t="n">
        <f aca="false">квітень!Q221</f>
        <v>0</v>
      </c>
      <c r="F221" s="13" t="n">
        <f aca="false">квітень!F221</f>
        <v>0</v>
      </c>
      <c r="G221" s="13" t="n">
        <f aca="false">квітень!G221</f>
        <v>62</v>
      </c>
      <c r="H221" s="13" t="n">
        <f aca="false">квітень!H221</f>
        <v>0</v>
      </c>
      <c r="I221" s="13" t="n">
        <f aca="false">квітень!I221</f>
        <v>4.1</v>
      </c>
      <c r="J221" s="14" t="n">
        <f aca="false">ROUND(G221*I221,2)</f>
        <v>254.2</v>
      </c>
      <c r="K221" s="14"/>
      <c r="L221" s="14"/>
      <c r="M221" s="14"/>
      <c r="N221" s="14" t="n">
        <f aca="false">ROUND((G221*I221)-K221-L221-M221,2)</f>
        <v>254.2</v>
      </c>
      <c r="O221" s="14"/>
      <c r="P221" s="14" t="n">
        <f aca="false">ROUND(IF(D221=0,IF((N221-E221-O221)&gt;0,(N221-E221-O221),0),IF((D221+N221-O221)&gt;0,(D221+N221-O221),0)),2)</f>
        <v>8795.8</v>
      </c>
      <c r="Q221" s="14" t="n">
        <f aca="false">ROUND(IF(E221=0,IF((D221+N221-O221)&lt;0,ABS(D221+N221-O221),0),IF((N221-E221-O221)&lt;0,ABS(N221-E221-O221),0)),2)</f>
        <v>0</v>
      </c>
    </row>
    <row r="222" customFormat="false" ht="15" hidden="false" customHeight="true" outlineLevel="0" collapsed="false">
      <c r="A222" s="15"/>
      <c r="B222" s="15"/>
      <c r="C222" s="15"/>
      <c r="D222" s="16" t="n">
        <f aca="false">SUM(D7:D221)</f>
        <v>952455.69</v>
      </c>
      <c r="E222" s="16" t="n">
        <f aca="false">SUM(E7:E221)</f>
        <v>2125.84</v>
      </c>
      <c r="F222" s="16"/>
      <c r="G222" s="20" t="n">
        <f aca="false">SUM(G7:G221)</f>
        <v>11652.42</v>
      </c>
      <c r="H222" s="16" t="n">
        <f aca="false">SUM(H7:H221)</f>
        <v>0</v>
      </c>
      <c r="I222" s="16"/>
      <c r="J222" s="16" t="n">
        <f aca="false">SUM(J7:J221)</f>
        <v>47774.99</v>
      </c>
      <c r="K222" s="16" t="n">
        <f aca="false">SUM(K7:K221)</f>
        <v>0</v>
      </c>
      <c r="L222" s="16" t="n">
        <f aca="false">SUM(L7:L221)</f>
        <v>0</v>
      </c>
      <c r="M222" s="16" t="n">
        <f aca="false">SUM(M7:M221)</f>
        <v>0</v>
      </c>
      <c r="N222" s="16" t="n">
        <f aca="false">SUM(N7:N221)</f>
        <v>47774.99</v>
      </c>
      <c r="O222" s="16" t="n">
        <f aca="false">SUM(O7:O221)</f>
        <v>0</v>
      </c>
      <c r="P222" s="16" t="n">
        <f aca="false">SUM(P7:P221)</f>
        <v>999822.32</v>
      </c>
      <c r="Q222" s="16" t="n">
        <f aca="false">SUM(Q7:Q221)</f>
        <v>1717.48</v>
      </c>
    </row>
    <row r="223" customFormat="false" ht="15.75" hidden="false" customHeight="true" outlineLevel="0" collapsed="false">
      <c r="A223" s="15"/>
      <c r="B223" s="15"/>
      <c r="C223" s="15"/>
      <c r="D223" s="16" t="n">
        <f aca="false">D222-E222</f>
        <v>950329.85</v>
      </c>
      <c r="E223" s="16"/>
      <c r="F223" s="16"/>
      <c r="G223" s="20"/>
      <c r="H223" s="16"/>
      <c r="I223" s="16"/>
      <c r="J223" s="16"/>
      <c r="K223" s="16"/>
      <c r="L223" s="16"/>
      <c r="M223" s="16"/>
      <c r="N223" s="16"/>
      <c r="O223" s="16"/>
      <c r="P223" s="16" t="n">
        <f aca="false">P222-Q222</f>
        <v>998104.84</v>
      </c>
      <c r="Q223" s="16"/>
    </row>
    <row r="224" customFormat="false" ht="15" hidden="false" customHeight="false" outlineLevel="0" collapsed="false">
      <c r="V224" s="17" t="n">
        <f aca="false">O222-U225</f>
        <v>-39575.71</v>
      </c>
    </row>
    <row r="225" customFormat="false" ht="15" hidden="false" customHeight="false" outlineLevel="0" collapsed="false">
      <c r="U225" s="17" t="n">
        <v>39575.71</v>
      </c>
    </row>
    <row r="226" customFormat="false" ht="15" hidden="false" customHeight="false" outlineLevel="0" collapsed="false">
      <c r="U226" s="17" t="n">
        <f aca="false">U225-O222</f>
        <v>39575.71</v>
      </c>
      <c r="V226" s="17"/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printOptions headings="false" gridLines="false" gridLinesSet="true" horizontalCentered="true" verticalCentered="false"/>
  <pageMargins left="0.118055555555556" right="0.118055555555556" top="0.354166666666667" bottom="0.157638888888889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7"/>
  <sheetViews>
    <sheetView showFormulas="false" showGridLines="true" showRowColHeaders="true" showZeros="false" rightToLeft="false" tabSelected="false" showOutlineSymbols="true" defaultGridColor="true" view="normal" topLeftCell="A10" colorId="64" zoomScale="90" zoomScaleNormal="90" zoomScalePageLayoutView="100" workbookViewId="0">
      <selection pane="topLeft" activeCell="P33" activeCellId="0" sqref="P3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76"/>
    <col collapsed="false" customWidth="true" hidden="false" outlineLevel="0" max="2" min="2" style="1" width="23.25"/>
    <col collapsed="false" customWidth="true" hidden="false" outlineLevel="0" max="3" min="3" style="1" width="7"/>
    <col collapsed="false" customWidth="true" hidden="false" outlineLevel="0" max="4" min="4" style="1" width="9.26"/>
    <col collapsed="false" customWidth="true" hidden="false" outlineLevel="0" max="5" min="5" style="1" width="8.37"/>
    <col collapsed="false" customWidth="true" hidden="false" outlineLevel="0" max="6" min="6" style="1" width="5.37"/>
    <col collapsed="false" customWidth="true" hidden="false" outlineLevel="0" max="7" min="7" style="1" width="6.88"/>
    <col collapsed="false" customWidth="true" hidden="false" outlineLevel="0" max="8" min="8" style="1" width="5.63"/>
    <col collapsed="false" customWidth="true" hidden="false" outlineLevel="0" max="9" min="9" style="1" width="6.25"/>
    <col collapsed="false" customWidth="true" hidden="false" outlineLevel="0" max="10" min="10" style="1" width="9.12"/>
    <col collapsed="false" customWidth="true" hidden="false" outlineLevel="0" max="11" min="11" style="1" width="6.63"/>
    <col collapsed="false" customWidth="true" hidden="false" outlineLevel="0" max="12" min="12" style="1" width="7.63"/>
    <col collapsed="false" customWidth="true" hidden="false" outlineLevel="0" max="13" min="13" style="1" width="7.13"/>
    <col collapsed="false" customWidth="true" hidden="false" outlineLevel="0" max="14" min="14" style="1" width="9.12"/>
    <col collapsed="false" customWidth="true" hidden="false" outlineLevel="0" max="15" min="15" style="1" width="9.63"/>
    <col collapsed="false" customWidth="true" hidden="false" outlineLevel="0" max="16" min="16" style="1" width="9.26"/>
    <col collapsed="false" customWidth="true" hidden="false" outlineLevel="0" max="17" min="17" style="1" width="9.12"/>
    <col collapsed="false" customWidth="true" hidden="false" outlineLevel="0" max="20" min="20" style="1" width="10.37"/>
    <col collapsed="false" customWidth="true" hidden="false" outlineLevel="0" max="21" min="21" style="1" width="11"/>
  </cols>
  <sheetData>
    <row r="1" customFormat="false" ht="15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2" t="s">
        <v>1</v>
      </c>
      <c r="O1" s="2"/>
      <c r="P1" s="2"/>
      <c r="Q1" s="2"/>
    </row>
    <row r="2" customFormat="false" ht="18" hidden="false" customHeight="true" outlineLevel="0" collapsed="false">
      <c r="A2" s="3"/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8.75" hidden="false" customHeight="true" outlineLevel="0" collapsed="false">
      <c r="A3" s="3"/>
      <c r="B3" s="4" t="s">
        <v>666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true" outlineLevel="0" collapsed="false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60" hidden="false" customHeight="true" outlineLevel="0" collapsed="false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7</v>
      </c>
      <c r="Q6" s="19" t="s">
        <v>8</v>
      </c>
    </row>
    <row r="7" customFormat="false" ht="15" hidden="false" customHeight="true" outlineLevel="0" collapsed="false">
      <c r="A7" s="12" t="s">
        <v>19</v>
      </c>
      <c r="B7" s="12" t="s">
        <v>20</v>
      </c>
      <c r="C7" s="12" t="s">
        <v>21</v>
      </c>
      <c r="D7" s="14" t="n">
        <f aca="false">травень!P7</f>
        <v>2140.5</v>
      </c>
      <c r="E7" s="14" t="n">
        <f aca="false">травень!Q7</f>
        <v>0</v>
      </c>
      <c r="F7" s="13" t="n">
        <f aca="false">травень!F7</f>
        <v>0</v>
      </c>
      <c r="G7" s="13" t="n">
        <f aca="false">травень!G7</f>
        <v>64.26</v>
      </c>
      <c r="H7" s="13" t="n">
        <f aca="false">травень!H7</f>
        <v>0</v>
      </c>
      <c r="I7" s="13" t="n">
        <f aca="false">травень!I7</f>
        <v>4.1</v>
      </c>
      <c r="J7" s="14" t="n">
        <f aca="false">ROUND(G7*I7,2)</f>
        <v>263.47</v>
      </c>
      <c r="K7" s="14"/>
      <c r="L7" s="14"/>
      <c r="M7" s="14"/>
      <c r="N7" s="14" t="n">
        <f aca="false">ROUND((G7*I7)-K7-L7-M7,2)</f>
        <v>263.47</v>
      </c>
      <c r="O7" s="14"/>
      <c r="P7" s="14" t="n">
        <f aca="false">ROUND(IF(D7=0,IF((N7-E7-O7)&gt;0,(N7-E7-O7),0),IF((D7+N7-O7)&gt;0,(D7+N7-O7),0)),2)</f>
        <v>2403.97</v>
      </c>
      <c r="Q7" s="14" t="n">
        <f aca="false">ROUND(IF(E7=0,IF((D7+N7-O7)&lt;0,ABS(D7+N7-O7),0),IF((N7-E7-O7)&lt;0,ABS(N7-E7-O7),0)),2)</f>
        <v>0</v>
      </c>
    </row>
    <row r="8" customFormat="false" ht="15" hidden="false" customHeight="true" outlineLevel="0" collapsed="false">
      <c r="A8" s="12" t="s">
        <v>22</v>
      </c>
      <c r="B8" s="12" t="s">
        <v>23</v>
      </c>
      <c r="C8" s="12" t="s">
        <v>24</v>
      </c>
      <c r="D8" s="14" t="n">
        <f aca="false">травень!P8</f>
        <v>998.55</v>
      </c>
      <c r="E8" s="14" t="n">
        <f aca="false">травень!Q8</f>
        <v>0</v>
      </c>
      <c r="F8" s="13" t="n">
        <f aca="false">травень!F8</f>
        <v>0</v>
      </c>
      <c r="G8" s="13" t="n">
        <f aca="false">травень!G8</f>
        <v>48.71</v>
      </c>
      <c r="H8" s="13" t="n">
        <f aca="false">травень!H8</f>
        <v>0</v>
      </c>
      <c r="I8" s="13" t="n">
        <f aca="false">травень!I8</f>
        <v>4.1</v>
      </c>
      <c r="J8" s="14" t="n">
        <f aca="false">ROUND(G8*I8,2)</f>
        <v>199.71</v>
      </c>
      <c r="K8" s="14"/>
      <c r="L8" s="14"/>
      <c r="M8" s="14"/>
      <c r="N8" s="14" t="n">
        <f aca="false">ROUND((G8*I8)-K8-L8-M8,2)</f>
        <v>199.71</v>
      </c>
      <c r="O8" s="14"/>
      <c r="P8" s="14" t="n">
        <f aca="false">ROUND(IF(D8=0,IF((N8-E8-O8)&gt;0,(N8-E8-O8),0),IF((D8+N8-O8)&gt;0,(D8+N8-O8),0)),2)</f>
        <v>1198.26</v>
      </c>
      <c r="Q8" s="14" t="n">
        <f aca="false">ROUND(IF(E8=0,IF((D8+N8-O8)&lt;0,ABS(D8+N8-O8),0),IF((N8-E8-O8)&lt;0,ABS(N8-E8-O8),0)),2)</f>
        <v>0</v>
      </c>
    </row>
    <row r="9" customFormat="false" ht="15" hidden="false" customHeight="true" outlineLevel="0" collapsed="false">
      <c r="A9" s="12" t="s">
        <v>25</v>
      </c>
      <c r="B9" s="12" t="s">
        <v>26</v>
      </c>
      <c r="C9" s="12" t="s">
        <v>27</v>
      </c>
      <c r="D9" s="14" t="n">
        <f aca="false">травень!P9</f>
        <v>861</v>
      </c>
      <c r="E9" s="14" t="n">
        <f aca="false">травень!Q9</f>
        <v>0</v>
      </c>
      <c r="F9" s="13" t="n">
        <f aca="false">травень!F9</f>
        <v>0</v>
      </c>
      <c r="G9" s="13" t="n">
        <f aca="false">травень!G9</f>
        <v>35</v>
      </c>
      <c r="H9" s="13" t="n">
        <f aca="false">травень!H9</f>
        <v>0</v>
      </c>
      <c r="I9" s="13" t="n">
        <f aca="false">травень!I9</f>
        <v>4.1</v>
      </c>
      <c r="J9" s="14" t="n">
        <f aca="false">ROUND(G9*I9,2)</f>
        <v>143.5</v>
      </c>
      <c r="K9" s="14"/>
      <c r="L9" s="14"/>
      <c r="M9" s="14"/>
      <c r="N9" s="14" t="n">
        <f aca="false">ROUND((G9*I9)-K9-L9-M9,2)</f>
        <v>143.5</v>
      </c>
      <c r="O9" s="14"/>
      <c r="P9" s="14" t="n">
        <f aca="false">ROUND(IF(D9=0,IF((N9-E9-O9)&gt;0,(N9-E9-O9),0),IF((D9+N9-O9)&gt;0,(D9+N9-O9),0)),2)</f>
        <v>1004.5</v>
      </c>
      <c r="Q9" s="14" t="n">
        <f aca="false">ROUND(IF(E9=0,IF((D9+N9-O9)&lt;0,ABS(D9+N9-O9),0),IF((N9-E9-O9)&lt;0,ABS(N9-E9-O9),0)),2)</f>
        <v>0</v>
      </c>
    </row>
    <row r="10" customFormat="false" ht="15" hidden="false" customHeight="true" outlineLevel="0" collapsed="false">
      <c r="A10" s="12" t="s">
        <v>28</v>
      </c>
      <c r="B10" s="12" t="s">
        <v>29</v>
      </c>
      <c r="C10" s="12" t="s">
        <v>30</v>
      </c>
      <c r="D10" s="14" t="n">
        <f aca="false">травень!P10</f>
        <v>1010.24</v>
      </c>
      <c r="E10" s="14" t="n">
        <f aca="false">травень!Q10</f>
        <v>0</v>
      </c>
      <c r="F10" s="13" t="n">
        <f aca="false">травень!F10</f>
        <v>0</v>
      </c>
      <c r="G10" s="13" t="n">
        <f aca="false">травень!G10</f>
        <v>61.6</v>
      </c>
      <c r="H10" s="13" t="n">
        <f aca="false">травень!H10</f>
        <v>0</v>
      </c>
      <c r="I10" s="13" t="n">
        <f aca="false">травень!I10</f>
        <v>4.1</v>
      </c>
      <c r="J10" s="14" t="n">
        <f aca="false">ROUND(G10*I10,2)</f>
        <v>252.56</v>
      </c>
      <c r="K10" s="14"/>
      <c r="L10" s="14"/>
      <c r="M10" s="14"/>
      <c r="N10" s="14" t="n">
        <f aca="false">ROUND((G10*I10)-K10-L10-M10,2)</f>
        <v>252.56</v>
      </c>
      <c r="O10" s="14"/>
      <c r="P10" s="14" t="n">
        <f aca="false">ROUND(IF(D10=0,IF((N10-E10-O10)&gt;0,(N10-E10-O10),0),IF((D10+N10-O10)&gt;0,(D10+N10-O10),0)),2)</f>
        <v>1262.8</v>
      </c>
      <c r="Q10" s="14" t="n">
        <f aca="false">ROUND(IF(E10=0,IF((D10+N10-O10)&lt;0,ABS(D10+N10-O10),0),IF((N10-E10-O10)&lt;0,ABS(N10-E10-O10),0)),2)</f>
        <v>0</v>
      </c>
    </row>
    <row r="11" customFormat="false" ht="15" hidden="false" customHeight="true" outlineLevel="0" collapsed="false">
      <c r="A11" s="12" t="s">
        <v>31</v>
      </c>
      <c r="B11" s="12" t="s">
        <v>32</v>
      </c>
      <c r="C11" s="12" t="s">
        <v>33</v>
      </c>
      <c r="D11" s="14" t="n">
        <f aca="false">травень!P11</f>
        <v>3224.82</v>
      </c>
      <c r="E11" s="14" t="n">
        <f aca="false">травень!Q11</f>
        <v>0</v>
      </c>
      <c r="F11" s="13" t="n">
        <f aca="false">травень!F11</f>
        <v>0</v>
      </c>
      <c r="G11" s="13" t="n">
        <f aca="false">травень!G11</f>
        <v>28.34</v>
      </c>
      <c r="H11" s="13" t="n">
        <f aca="false">травень!H11</f>
        <v>0</v>
      </c>
      <c r="I11" s="13" t="n">
        <f aca="false">травень!I11</f>
        <v>4.1</v>
      </c>
      <c r="J11" s="14" t="n">
        <f aca="false">ROUND(G11*I11,2)</f>
        <v>116.19</v>
      </c>
      <c r="K11" s="14"/>
      <c r="L11" s="14"/>
      <c r="M11" s="14"/>
      <c r="N11" s="14" t="n">
        <f aca="false">ROUND((G11*I11)-K11-L11-M11,2)</f>
        <v>116.19</v>
      </c>
      <c r="O11" s="14"/>
      <c r="P11" s="14" t="n">
        <f aca="false">ROUND(IF(D11=0,IF((N11-E11-O11)&gt;0,(N11-E11-O11),0),IF((D11+N11-O11)&gt;0,(D11+N11-O11),0)),2)</f>
        <v>3341.01</v>
      </c>
      <c r="Q11" s="14" t="n">
        <f aca="false">ROUND(IF(E11=0,IF((D11+N11-O11)&lt;0,ABS(D11+N11-O11),0),IF((N11-E11-O11)&lt;0,ABS(N11-E11-O11),0)),2)</f>
        <v>0</v>
      </c>
    </row>
    <row r="12" customFormat="false" ht="15" hidden="false" customHeight="true" outlineLevel="0" collapsed="false">
      <c r="A12" s="12" t="s">
        <v>31</v>
      </c>
      <c r="B12" s="12" t="s">
        <v>34</v>
      </c>
      <c r="C12" s="12" t="s">
        <v>35</v>
      </c>
      <c r="D12" s="14" t="n">
        <f aca="false">травень!P12</f>
        <v>1560.81</v>
      </c>
      <c r="E12" s="14" t="n">
        <f aca="false">травень!Q12</f>
        <v>0</v>
      </c>
      <c r="F12" s="13" t="n">
        <f aca="false">травень!F12</f>
        <v>0</v>
      </c>
      <c r="G12" s="13" t="n">
        <f aca="false">травень!G12</f>
        <v>36.66</v>
      </c>
      <c r="H12" s="13" t="n">
        <f aca="false">травень!H12</f>
        <v>0</v>
      </c>
      <c r="I12" s="13" t="n">
        <f aca="false">травень!I12</f>
        <v>4.1</v>
      </c>
      <c r="J12" s="14" t="n">
        <f aca="false">ROUND(G12*I12,2)</f>
        <v>150.31</v>
      </c>
      <c r="K12" s="14"/>
      <c r="L12" s="14"/>
      <c r="M12" s="14"/>
      <c r="N12" s="14" t="n">
        <f aca="false">ROUND((G12*I12)-K12-L12-M12,2)</f>
        <v>150.31</v>
      </c>
      <c r="O12" s="14"/>
      <c r="P12" s="14" t="n">
        <f aca="false">ROUND(IF(D12=0,IF((N12-E12-O12)&gt;0,(N12-E12-O12),0),IF((D12+N12-O12)&gt;0,(D12+N12-O12),0)),2)</f>
        <v>1711.12</v>
      </c>
      <c r="Q12" s="14" t="n">
        <f aca="false">ROUND(IF(E12=0,IF((D12+N12-O12)&lt;0,ABS(D12+N12-O12),0),IF((N12-E12-O12)&lt;0,ABS(N12-E12-O12),0)),2)</f>
        <v>0</v>
      </c>
    </row>
    <row r="13" customFormat="false" ht="15" hidden="false" customHeight="true" outlineLevel="0" collapsed="false">
      <c r="A13" s="12" t="s">
        <v>36</v>
      </c>
      <c r="B13" s="12" t="s">
        <v>37</v>
      </c>
      <c r="C13" s="12" t="s">
        <v>38</v>
      </c>
      <c r="D13" s="14" t="n">
        <f aca="false">травень!P13</f>
        <v>1155.46</v>
      </c>
      <c r="E13" s="14" t="n">
        <f aca="false">травень!Q13</f>
        <v>0</v>
      </c>
      <c r="F13" s="13" t="n">
        <f aca="false">травень!F13</f>
        <v>0</v>
      </c>
      <c r="G13" s="13" t="n">
        <f aca="false">травень!G13</f>
        <v>49.8</v>
      </c>
      <c r="H13" s="13" t="n">
        <f aca="false">травень!H13</f>
        <v>0</v>
      </c>
      <c r="I13" s="13" t="n">
        <f aca="false">травень!I13</f>
        <v>4.1</v>
      </c>
      <c r="J13" s="14" t="n">
        <f aca="false">ROUND(G13*I13,2)</f>
        <v>204.18</v>
      </c>
      <c r="K13" s="14"/>
      <c r="L13" s="14"/>
      <c r="M13" s="14"/>
      <c r="N13" s="14" t="n">
        <f aca="false">ROUND((G13*I13)-K13-L13-M13,2)</f>
        <v>204.18</v>
      </c>
      <c r="O13" s="14"/>
      <c r="P13" s="14" t="n">
        <f aca="false">ROUND(IF(D13=0,IF((N13-E13-O13)&gt;0,(N13-E13-O13),0),IF((D13+N13-O13)&gt;0,(D13+N13-O13),0)),2)</f>
        <v>1359.64</v>
      </c>
      <c r="Q13" s="14" t="n">
        <f aca="false">ROUND(IF(E13=0,IF((D13+N13-O13)&lt;0,ABS(D13+N13-O13),0),IF((N13-E13-O13)&lt;0,ABS(N13-E13-O13),0)),2)</f>
        <v>0</v>
      </c>
    </row>
    <row r="14" customFormat="false" ht="15" hidden="false" customHeight="true" outlineLevel="0" collapsed="false">
      <c r="A14" s="12" t="s">
        <v>39</v>
      </c>
      <c r="B14" s="12" t="s">
        <v>40</v>
      </c>
      <c r="C14" s="12" t="s">
        <v>41</v>
      </c>
      <c r="D14" s="14" t="n">
        <f aca="false">травень!P14</f>
        <v>852.42</v>
      </c>
      <c r="E14" s="14" t="n">
        <f aca="false">травень!Q14</f>
        <v>0</v>
      </c>
      <c r="F14" s="13" t="n">
        <f aca="false">травень!F14</f>
        <v>0</v>
      </c>
      <c r="G14" s="13" t="n">
        <f aca="false">травень!G14</f>
        <v>34.65</v>
      </c>
      <c r="H14" s="13" t="n">
        <f aca="false">травень!H14</f>
        <v>0</v>
      </c>
      <c r="I14" s="13" t="n">
        <f aca="false">травень!I14</f>
        <v>4.1</v>
      </c>
      <c r="J14" s="14" t="n">
        <f aca="false">ROUND(G14*I14,2)</f>
        <v>142.07</v>
      </c>
      <c r="K14" s="14"/>
      <c r="L14" s="14"/>
      <c r="M14" s="14"/>
      <c r="N14" s="14" t="n">
        <f aca="false">ROUND((G14*I14)-K14-L14-M14,2)</f>
        <v>142.07</v>
      </c>
      <c r="O14" s="14"/>
      <c r="P14" s="14" t="n">
        <f aca="false">ROUND(IF(D14=0,IF((N14-E14-O14)&gt;0,(N14-E14-O14),0),IF((D14+N14-O14)&gt;0,(D14+N14-O14),0)),2)</f>
        <v>994.49</v>
      </c>
      <c r="Q14" s="14" t="n">
        <f aca="false">ROUND(IF(E14=0,IF((D14+N14-O14)&lt;0,ABS(D14+N14-O14),0),IF((N14-E14-O14)&lt;0,ABS(N14-E14-O14),0)),2)</f>
        <v>0</v>
      </c>
    </row>
    <row r="15" customFormat="false" ht="15" hidden="false" customHeight="true" outlineLevel="0" collapsed="false">
      <c r="A15" s="12" t="s">
        <v>42</v>
      </c>
      <c r="B15" s="12" t="s">
        <v>43</v>
      </c>
      <c r="C15" s="12" t="s">
        <v>44</v>
      </c>
      <c r="D15" s="14" t="n">
        <f aca="false">травень!P15</f>
        <v>1266.82</v>
      </c>
      <c r="E15" s="14" t="n">
        <f aca="false">травень!Q15</f>
        <v>0</v>
      </c>
      <c r="F15" s="13" t="n">
        <f aca="false">травень!F15</f>
        <v>0</v>
      </c>
      <c r="G15" s="13" t="n">
        <f aca="false">травень!G15</f>
        <v>62.14</v>
      </c>
      <c r="H15" s="13" t="n">
        <f aca="false">травень!H15</f>
        <v>0</v>
      </c>
      <c r="I15" s="13" t="n">
        <f aca="false">травень!I15</f>
        <v>4.1</v>
      </c>
      <c r="J15" s="14" t="n">
        <f aca="false">ROUND(G15*I15,2)</f>
        <v>254.77</v>
      </c>
      <c r="K15" s="14"/>
      <c r="L15" s="14"/>
      <c r="M15" s="14"/>
      <c r="N15" s="14" t="n">
        <f aca="false">ROUND((G15*I15)-K15-L15-M15,2)</f>
        <v>254.77</v>
      </c>
      <c r="O15" s="14"/>
      <c r="P15" s="14" t="n">
        <f aca="false">ROUND(IF(D15=0,IF((N15-E15-O15)&gt;0,(N15-E15-O15),0),IF((D15+N15-O15)&gt;0,(D15+N15-O15),0)),2)</f>
        <v>1521.59</v>
      </c>
      <c r="Q15" s="14" t="n">
        <f aca="false">ROUND(IF(E15=0,IF((D15+N15-O15)&lt;0,ABS(D15+N15-O15),0),IF((N15-E15-O15)&lt;0,ABS(N15-E15-O15),0)),2)</f>
        <v>0</v>
      </c>
    </row>
    <row r="16" customFormat="false" ht="15" hidden="false" customHeight="true" outlineLevel="0" collapsed="false">
      <c r="A16" s="12" t="s">
        <v>45</v>
      </c>
      <c r="B16" s="12" t="s">
        <v>46</v>
      </c>
      <c r="C16" s="12" t="s">
        <v>47</v>
      </c>
      <c r="D16" s="14" t="n">
        <f aca="false">травень!P16</f>
        <v>2137.52</v>
      </c>
      <c r="E16" s="14" t="n">
        <f aca="false">травень!Q16</f>
        <v>0</v>
      </c>
      <c r="F16" s="13" t="n">
        <f aca="false">травень!F16</f>
        <v>0</v>
      </c>
      <c r="G16" s="13" t="n">
        <f aca="false">травень!G16</f>
        <v>65.16</v>
      </c>
      <c r="H16" s="13" t="n">
        <f aca="false">травень!H16</f>
        <v>0</v>
      </c>
      <c r="I16" s="13" t="n">
        <f aca="false">травень!I16</f>
        <v>4.1</v>
      </c>
      <c r="J16" s="14" t="n">
        <f aca="false">ROUND(G16*I16,2)</f>
        <v>267.16</v>
      </c>
      <c r="K16" s="14"/>
      <c r="L16" s="14"/>
      <c r="M16" s="14"/>
      <c r="N16" s="14" t="n">
        <f aca="false">ROUND((G16*I16)-K16-L16-M16,2)</f>
        <v>267.16</v>
      </c>
      <c r="O16" s="14"/>
      <c r="P16" s="14" t="n">
        <f aca="false">ROUND(IF(D16=0,IF((N16-E16-O16)&gt;0,(N16-E16-O16),0),IF((D16+N16-O16)&gt;0,(D16+N16-O16),0)),2)</f>
        <v>2404.68</v>
      </c>
      <c r="Q16" s="14" t="n">
        <f aca="false">ROUND(IF(E16=0,IF((D16+N16-O16)&lt;0,ABS(D16+N16-O16),0),IF((N16-E16-O16)&lt;0,ABS(N16-E16-O16),0)),2)</f>
        <v>0</v>
      </c>
    </row>
    <row r="17" customFormat="false" ht="15" hidden="false" customHeight="true" outlineLevel="0" collapsed="false">
      <c r="A17" s="12" t="s">
        <v>48</v>
      </c>
      <c r="B17" s="12" t="s">
        <v>49</v>
      </c>
      <c r="C17" s="12" t="s">
        <v>50</v>
      </c>
      <c r="D17" s="14" t="n">
        <f aca="false">травень!P17</f>
        <v>5903.74</v>
      </c>
      <c r="E17" s="14" t="n">
        <f aca="false">травень!Q17</f>
        <v>0</v>
      </c>
      <c r="F17" s="13" t="n">
        <f aca="false">травень!F17</f>
        <v>0</v>
      </c>
      <c r="G17" s="13" t="n">
        <f aca="false">травень!G17</f>
        <v>50.1</v>
      </c>
      <c r="H17" s="13" t="n">
        <f aca="false">травень!H17</f>
        <v>0</v>
      </c>
      <c r="I17" s="13" t="n">
        <f aca="false">травень!I17</f>
        <v>4.1</v>
      </c>
      <c r="J17" s="14" t="n">
        <f aca="false">ROUND(G17*I17,2)</f>
        <v>205.41</v>
      </c>
      <c r="K17" s="14"/>
      <c r="L17" s="14"/>
      <c r="M17" s="14"/>
      <c r="N17" s="14" t="n">
        <f aca="false">ROUND((G17*I17)-K17-L17-M17,2)</f>
        <v>205.41</v>
      </c>
      <c r="O17" s="14"/>
      <c r="P17" s="14" t="n">
        <f aca="false">ROUND(IF(D17=0,IF((N17-E17-O17)&gt;0,(N17-E17-O17),0),IF((D17+N17-O17)&gt;0,(D17+N17-O17),0)),2)</f>
        <v>6109.15</v>
      </c>
      <c r="Q17" s="14" t="n">
        <f aca="false">ROUND(IF(E17=0,IF((D17+N17-O17)&lt;0,ABS(D17+N17-O17),0),IF((N17-E17-O17)&lt;0,ABS(N17-E17-O17),0)),2)</f>
        <v>0</v>
      </c>
    </row>
    <row r="18" customFormat="false" ht="15" hidden="false" customHeight="true" outlineLevel="0" collapsed="false">
      <c r="A18" s="12" t="s">
        <v>51</v>
      </c>
      <c r="B18" s="12" t="s">
        <v>52</v>
      </c>
      <c r="C18" s="12" t="s">
        <v>53</v>
      </c>
      <c r="D18" s="14" t="n">
        <f aca="false">травень!P18</f>
        <v>2269.8</v>
      </c>
      <c r="E18" s="14" t="n">
        <f aca="false">травень!Q18</f>
        <v>0</v>
      </c>
      <c r="F18" s="13" t="n">
        <f aca="false">травень!F18</f>
        <v>0</v>
      </c>
      <c r="G18" s="13" t="n">
        <f aca="false">травень!G18</f>
        <v>35.2</v>
      </c>
      <c r="H18" s="13" t="n">
        <f aca="false">травень!H18</f>
        <v>0</v>
      </c>
      <c r="I18" s="13" t="n">
        <f aca="false">травень!I18</f>
        <v>4.1</v>
      </c>
      <c r="J18" s="14" t="n">
        <f aca="false">ROUND(G18*I18,2)</f>
        <v>144.32</v>
      </c>
      <c r="K18" s="14"/>
      <c r="L18" s="14"/>
      <c r="M18" s="14"/>
      <c r="N18" s="14" t="n">
        <f aca="false">ROUND((G18*I18)-K18-L18-M18,2)</f>
        <v>144.32</v>
      </c>
      <c r="O18" s="14"/>
      <c r="P18" s="14" t="n">
        <f aca="false">ROUND(IF(D18=0,IF((N18-E18-O18)&gt;0,(N18-E18-O18),0),IF((D18+N18-O18)&gt;0,(D18+N18-O18),0)),2)</f>
        <v>2414.12</v>
      </c>
      <c r="Q18" s="14" t="n">
        <f aca="false">ROUND(IF(E18=0,IF((D18+N18-O18)&lt;0,ABS(D18+N18-O18),0),IF((N18-E18-O18)&lt;0,ABS(N18-E18-O18),0)),2)</f>
        <v>0</v>
      </c>
    </row>
    <row r="19" customFormat="false" ht="15" hidden="false" customHeight="true" outlineLevel="0" collapsed="false">
      <c r="A19" s="12" t="s">
        <v>54</v>
      </c>
      <c r="B19" s="12" t="s">
        <v>55</v>
      </c>
      <c r="C19" s="12" t="s">
        <v>56</v>
      </c>
      <c r="D19" s="14" t="n">
        <f aca="false">травень!P19</f>
        <v>13466.61</v>
      </c>
      <c r="E19" s="14" t="n">
        <f aca="false">травень!Q19</f>
        <v>0</v>
      </c>
      <c r="F19" s="13" t="n">
        <f aca="false">травень!F19</f>
        <v>0</v>
      </c>
      <c r="G19" s="13" t="n">
        <f aca="false">травень!G19</f>
        <v>62.78</v>
      </c>
      <c r="H19" s="13" t="n">
        <f aca="false">травень!H19</f>
        <v>0</v>
      </c>
      <c r="I19" s="13" t="n">
        <f aca="false">травень!I19</f>
        <v>4.1</v>
      </c>
      <c r="J19" s="14" t="n">
        <f aca="false">ROUND(G19*I19,2)</f>
        <v>257.4</v>
      </c>
      <c r="K19" s="14"/>
      <c r="L19" s="14"/>
      <c r="M19" s="14"/>
      <c r="N19" s="14" t="n">
        <f aca="false">ROUND((G19*I19)-K19-L19-M19,2)</f>
        <v>257.4</v>
      </c>
      <c r="O19" s="14"/>
      <c r="P19" s="14" t="n">
        <f aca="false">ROUND(IF(D19=0,IF((N19-E19-O19)&gt;0,(N19-E19-O19),0),IF((D19+N19-O19)&gt;0,(D19+N19-O19),0)),2)</f>
        <v>13724.01</v>
      </c>
      <c r="Q19" s="14" t="n">
        <f aca="false">ROUND(IF(E19=0,IF((D19+N19-O19)&lt;0,ABS(D19+N19-O19),0),IF((N19-E19-O19)&lt;0,ABS(N19-E19-O19),0)),2)</f>
        <v>0</v>
      </c>
    </row>
    <row r="20" customFormat="false" ht="15" hidden="false" customHeight="true" outlineLevel="0" collapsed="false">
      <c r="A20" s="12" t="s">
        <v>57</v>
      </c>
      <c r="B20" s="12" t="s">
        <v>58</v>
      </c>
      <c r="C20" s="12" t="s">
        <v>59</v>
      </c>
      <c r="D20" s="14" t="n">
        <f aca="false">травень!P20</f>
        <v>5777.76</v>
      </c>
      <c r="E20" s="14" t="n">
        <f aca="false">травень!Q20</f>
        <v>0</v>
      </c>
      <c r="F20" s="13" t="n">
        <f aca="false">травень!F20</f>
        <v>0</v>
      </c>
      <c r="G20" s="13" t="n">
        <f aca="false">травень!G20</f>
        <v>28.23</v>
      </c>
      <c r="H20" s="13" t="n">
        <f aca="false">травень!H20</f>
        <v>0</v>
      </c>
      <c r="I20" s="13" t="n">
        <f aca="false">травень!I20</f>
        <v>4.1</v>
      </c>
      <c r="J20" s="14" t="n">
        <f aca="false">ROUND(G20*I20,2)</f>
        <v>115.74</v>
      </c>
      <c r="K20" s="14"/>
      <c r="L20" s="14"/>
      <c r="M20" s="14"/>
      <c r="N20" s="14" t="n">
        <f aca="false">ROUND((G20*I20)-K20-L20-M20,2)</f>
        <v>115.74</v>
      </c>
      <c r="O20" s="14"/>
      <c r="P20" s="14" t="n">
        <f aca="false">ROUND(IF(D20=0,IF((N20-E20-O20)&gt;0,(N20-E20-O20),0),IF((D20+N20-O20)&gt;0,(D20+N20-O20),0)),2)</f>
        <v>5893.5</v>
      </c>
      <c r="Q20" s="14" t="n">
        <f aca="false">ROUND(IF(E20=0,IF((D20+N20-O20)&lt;0,ABS(D20+N20-O20),0),IF((N20-E20-O20)&lt;0,ABS(N20-E20-O20),0)),2)</f>
        <v>0</v>
      </c>
    </row>
    <row r="21" customFormat="false" ht="15" hidden="false" customHeight="true" outlineLevel="0" collapsed="false">
      <c r="A21" s="12" t="s">
        <v>57</v>
      </c>
      <c r="B21" s="12" t="s">
        <v>60</v>
      </c>
      <c r="C21" s="12" t="s">
        <v>61</v>
      </c>
      <c r="D21" s="14" t="n">
        <f aca="false">травень!P21</f>
        <v>6227.38</v>
      </c>
      <c r="E21" s="14" t="n">
        <f aca="false">травень!Q21</f>
        <v>0</v>
      </c>
      <c r="F21" s="13" t="n">
        <f aca="false">травень!F21</f>
        <v>0</v>
      </c>
      <c r="G21" s="13" t="n">
        <f aca="false">травень!G21</f>
        <v>37.84</v>
      </c>
      <c r="H21" s="13" t="n">
        <f aca="false">травень!H21</f>
        <v>0</v>
      </c>
      <c r="I21" s="13" t="n">
        <f aca="false">травень!I21</f>
        <v>4.1</v>
      </c>
      <c r="J21" s="14" t="n">
        <f aca="false">ROUND(G21*I21,2)</f>
        <v>155.14</v>
      </c>
      <c r="K21" s="14"/>
      <c r="L21" s="14"/>
      <c r="M21" s="14"/>
      <c r="N21" s="14" t="n">
        <f aca="false">ROUND((G21*I21)-K21-L21-M21,2)</f>
        <v>155.14</v>
      </c>
      <c r="O21" s="14"/>
      <c r="P21" s="14" t="n">
        <f aca="false">ROUND(IF(D21=0,IF((N21-E21-O21)&gt;0,(N21-E21-O21),0),IF((D21+N21-O21)&gt;0,(D21+N21-O21),0)),2)</f>
        <v>6382.52</v>
      </c>
      <c r="Q21" s="14" t="n">
        <f aca="false">ROUND(IF(E21=0,IF((D21+N21-O21)&lt;0,ABS(D21+N21-O21),0),IF((N21-E21-O21)&lt;0,ABS(N21-E21-O21),0)),2)</f>
        <v>0</v>
      </c>
    </row>
    <row r="22" customFormat="false" ht="15" hidden="false" customHeight="true" outlineLevel="0" collapsed="false">
      <c r="A22" s="12" t="s">
        <v>62</v>
      </c>
      <c r="B22" s="12" t="s">
        <v>63</v>
      </c>
      <c r="C22" s="12" t="s">
        <v>64</v>
      </c>
      <c r="D22" s="14" t="n">
        <f aca="false">травень!P22</f>
        <v>1075.96</v>
      </c>
      <c r="E22" s="14" t="n">
        <f aca="false">травень!Q22</f>
        <v>0</v>
      </c>
      <c r="F22" s="13" t="n">
        <f aca="false">травень!F22</f>
        <v>0</v>
      </c>
      <c r="G22" s="13" t="n">
        <f aca="false">травень!G22</f>
        <v>49.24</v>
      </c>
      <c r="H22" s="13" t="n">
        <f aca="false">травень!H22</f>
        <v>0</v>
      </c>
      <c r="I22" s="13" t="n">
        <f aca="false">травень!I22</f>
        <v>4.1</v>
      </c>
      <c r="J22" s="14" t="n">
        <f aca="false">ROUND(G22*I22,2)</f>
        <v>201.88</v>
      </c>
      <c r="K22" s="14"/>
      <c r="L22" s="14"/>
      <c r="M22" s="14"/>
      <c r="N22" s="14" t="n">
        <f aca="false">ROUND((G22*I22)-K22-L22-M22,2)</f>
        <v>201.88</v>
      </c>
      <c r="O22" s="14"/>
      <c r="P22" s="14" t="n">
        <f aca="false">ROUND(IF(D22=0,IF((N22-E22-O22)&gt;0,(N22-E22-O22),0),IF((D22+N22-O22)&gt;0,(D22+N22-O22),0)),2)</f>
        <v>1277.84</v>
      </c>
      <c r="Q22" s="14" t="n">
        <f aca="false">ROUND(IF(E22=0,IF((D22+N22-O22)&lt;0,ABS(D22+N22-O22),0),IF((N22-E22-O22)&lt;0,ABS(N22-E22-O22),0)),2)</f>
        <v>0</v>
      </c>
    </row>
    <row r="23" customFormat="false" ht="15" hidden="false" customHeight="true" outlineLevel="0" collapsed="false">
      <c r="A23" s="12" t="s">
        <v>65</v>
      </c>
      <c r="B23" s="12" t="s">
        <v>66</v>
      </c>
      <c r="C23" s="12" t="s">
        <v>67</v>
      </c>
      <c r="D23" s="14" t="n">
        <f aca="false">травень!P23</f>
        <v>1155.35</v>
      </c>
      <c r="E23" s="14" t="n">
        <f aca="false">травень!Q23</f>
        <v>0</v>
      </c>
      <c r="F23" s="13" t="n">
        <f aca="false">травень!F23</f>
        <v>0</v>
      </c>
      <c r="G23" s="13" t="n">
        <f aca="false">травень!G23</f>
        <v>35.1</v>
      </c>
      <c r="H23" s="13" t="n">
        <f aca="false">травень!H23</f>
        <v>0</v>
      </c>
      <c r="I23" s="13" t="n">
        <f aca="false">травень!I23</f>
        <v>4.1</v>
      </c>
      <c r="J23" s="14" t="n">
        <f aca="false">ROUND(G23*I23,2)</f>
        <v>143.91</v>
      </c>
      <c r="K23" s="14"/>
      <c r="L23" s="14"/>
      <c r="M23" s="14"/>
      <c r="N23" s="14" t="n">
        <f aca="false">ROUND((G23*I23)-K23-L23-M23,2)</f>
        <v>143.91</v>
      </c>
      <c r="O23" s="14"/>
      <c r="P23" s="14" t="n">
        <f aca="false">ROUND(IF(D23=0,IF((N23-E23-O23)&gt;0,(N23-E23-O23),0),IF((D23+N23-O23)&gt;0,(D23+N23-O23),0)),2)</f>
        <v>1299.26</v>
      </c>
      <c r="Q23" s="14" t="n">
        <f aca="false">ROUND(IF(E23=0,IF((D23+N23-O23)&lt;0,ABS(D23+N23-O23),0),IF((N23-E23-O23)&lt;0,ABS(N23-E23-O23),0)),2)</f>
        <v>0</v>
      </c>
    </row>
    <row r="24" customFormat="false" ht="15" hidden="false" customHeight="true" outlineLevel="0" collapsed="false">
      <c r="A24" s="12" t="s">
        <v>68</v>
      </c>
      <c r="B24" s="12" t="s">
        <v>69</v>
      </c>
      <c r="C24" s="12" t="s">
        <v>70</v>
      </c>
      <c r="D24" s="14" t="n">
        <f aca="false">травень!P24</f>
        <v>5968.95</v>
      </c>
      <c r="E24" s="14" t="n">
        <f aca="false">травень!Q24</f>
        <v>0</v>
      </c>
      <c r="F24" s="13" t="n">
        <f aca="false">травень!F24</f>
        <v>0</v>
      </c>
      <c r="G24" s="13" t="n">
        <f aca="false">травень!G24</f>
        <v>61.9</v>
      </c>
      <c r="H24" s="13" t="n">
        <f aca="false">травень!H24</f>
        <v>0</v>
      </c>
      <c r="I24" s="13" t="n">
        <f aca="false">травень!I24</f>
        <v>4.1</v>
      </c>
      <c r="J24" s="14" t="n">
        <f aca="false">ROUND(G24*I24,2)</f>
        <v>253.79</v>
      </c>
      <c r="K24" s="14"/>
      <c r="L24" s="14"/>
      <c r="M24" s="14"/>
      <c r="N24" s="14" t="n">
        <f aca="false">ROUND((G24*I24)-K24-L24-M24,2)</f>
        <v>253.79</v>
      </c>
      <c r="O24" s="14"/>
      <c r="P24" s="14" t="n">
        <f aca="false">ROUND(IF(D24=0,IF((N24-E24-O24)&gt;0,(N24-E24-O24),0),IF((D24+N24-O24)&gt;0,(D24+N24-O24),0)),2)</f>
        <v>6222.74</v>
      </c>
      <c r="Q24" s="14" t="n">
        <f aca="false">ROUND(IF(E24=0,IF((D24+N24-O24)&lt;0,ABS(D24+N24-O24),0),IF((N24-E24-O24)&lt;0,ABS(N24-E24-O24),0)),2)</f>
        <v>0</v>
      </c>
    </row>
    <row r="25" customFormat="false" ht="15" hidden="false" customHeight="true" outlineLevel="0" collapsed="false">
      <c r="A25" s="12" t="s">
        <v>71</v>
      </c>
      <c r="B25" s="12" t="s">
        <v>72</v>
      </c>
      <c r="C25" s="12" t="s">
        <v>73</v>
      </c>
      <c r="D25" s="14" t="n">
        <f aca="false">травень!P25</f>
        <v>1630.98</v>
      </c>
      <c r="E25" s="14" t="n">
        <f aca="false">травень!Q25</f>
        <v>0</v>
      </c>
      <c r="F25" s="13" t="n">
        <f aca="false">травень!F25</f>
        <v>0</v>
      </c>
      <c r="G25" s="13" t="n">
        <f aca="false">травень!G25</f>
        <v>66.3</v>
      </c>
      <c r="H25" s="13" t="n">
        <f aca="false">травень!H25</f>
        <v>0</v>
      </c>
      <c r="I25" s="13" t="n">
        <f aca="false">травень!I25</f>
        <v>4.1</v>
      </c>
      <c r="J25" s="14" t="n">
        <f aca="false">ROUND(G25*I25,2)</f>
        <v>271.83</v>
      </c>
      <c r="K25" s="14"/>
      <c r="L25" s="14"/>
      <c r="M25" s="14"/>
      <c r="N25" s="14" t="n">
        <f aca="false">ROUND((G25*I25)-K25-L25-M25,2)</f>
        <v>271.83</v>
      </c>
      <c r="O25" s="14"/>
      <c r="P25" s="14" t="n">
        <f aca="false">ROUND(IF(D25=0,IF((N25-E25-O25)&gt;0,(N25-E25-O25),0),IF((D25+N25-O25)&gt;0,(D25+N25-O25),0)),2)</f>
        <v>1902.81</v>
      </c>
      <c r="Q25" s="14" t="n">
        <f aca="false">ROUND(IF(E25=0,IF((D25+N25-O25)&lt;0,ABS(D25+N25-O25),0),IF((N25-E25-O25)&lt;0,ABS(N25-E25-O25),0)),2)</f>
        <v>0</v>
      </c>
    </row>
    <row r="26" customFormat="false" ht="15" hidden="false" customHeight="true" outlineLevel="0" collapsed="false">
      <c r="A26" s="12" t="s">
        <v>74</v>
      </c>
      <c r="B26" s="12" t="s">
        <v>75</v>
      </c>
      <c r="C26" s="12" t="s">
        <v>76</v>
      </c>
      <c r="D26" s="14" t="n">
        <f aca="false">травень!P26</f>
        <v>1055.35</v>
      </c>
      <c r="E26" s="14" t="n">
        <f aca="false">травень!Q26</f>
        <v>0</v>
      </c>
      <c r="F26" s="13" t="n">
        <f aca="false">травень!F26</f>
        <v>0</v>
      </c>
      <c r="G26" s="13" t="n">
        <f aca="false">травень!G26</f>
        <v>51.48</v>
      </c>
      <c r="H26" s="13" t="n">
        <f aca="false">травень!H26</f>
        <v>0</v>
      </c>
      <c r="I26" s="13" t="n">
        <f aca="false">травень!I26</f>
        <v>4.1</v>
      </c>
      <c r="J26" s="14" t="n">
        <f aca="false">ROUND(G26*I26,2)</f>
        <v>211.07</v>
      </c>
      <c r="K26" s="14"/>
      <c r="L26" s="14"/>
      <c r="M26" s="14"/>
      <c r="N26" s="14" t="n">
        <f aca="false">ROUND((G26*I26)-K26-L26-M26,2)</f>
        <v>211.07</v>
      </c>
      <c r="O26" s="14"/>
      <c r="P26" s="14" t="n">
        <f aca="false">ROUND(IF(D26=0,IF((N26-E26-O26)&gt;0,(N26-E26-O26),0),IF((D26+N26-O26)&gt;0,(D26+N26-O26),0)),2)</f>
        <v>1266.42</v>
      </c>
      <c r="Q26" s="14" t="n">
        <f aca="false">ROUND(IF(E26=0,IF((D26+N26-O26)&lt;0,ABS(D26+N26-O26),0),IF((N26-E26-O26)&lt;0,ABS(N26-E26-O26),0)),2)</f>
        <v>0</v>
      </c>
    </row>
    <row r="27" customFormat="false" ht="15" hidden="false" customHeight="true" outlineLevel="0" collapsed="false">
      <c r="A27" s="12" t="s">
        <v>77</v>
      </c>
      <c r="B27" s="12" t="s">
        <v>78</v>
      </c>
      <c r="C27" s="12" t="s">
        <v>79</v>
      </c>
      <c r="D27" s="14" t="n">
        <f aca="false">травень!P27</f>
        <v>148.69</v>
      </c>
      <c r="E27" s="14" t="n">
        <f aca="false">травень!Q27</f>
        <v>0</v>
      </c>
      <c r="F27" s="13" t="n">
        <f aca="false">травень!F27</f>
        <v>0</v>
      </c>
      <c r="G27" s="13" t="n">
        <f aca="false">травень!G27</f>
        <v>35.1</v>
      </c>
      <c r="H27" s="13" t="n">
        <f aca="false">травень!H27</f>
        <v>0</v>
      </c>
      <c r="I27" s="13" t="n">
        <f aca="false">травень!I27</f>
        <v>4.1</v>
      </c>
      <c r="J27" s="14" t="n">
        <f aca="false">ROUND(G27*I27,2)</f>
        <v>143.91</v>
      </c>
      <c r="K27" s="14"/>
      <c r="L27" s="14"/>
      <c r="M27" s="14"/>
      <c r="N27" s="14" t="n">
        <f aca="false">ROUND((G27*I27)-K27-L27-M27,2)</f>
        <v>143.91</v>
      </c>
      <c r="O27" s="14"/>
      <c r="P27" s="14" t="n">
        <f aca="false">ROUND(IF(D27=0,IF((N27-E27-O27)&gt;0,(N27-E27-O27),0),IF((D27+N27-O27)&gt;0,(D27+N27-O27),0)),2)</f>
        <v>292.6</v>
      </c>
      <c r="Q27" s="14" t="n">
        <f aca="false">ROUND(IF(E27=0,IF((D27+N27-O27)&lt;0,ABS(D27+N27-O27),0),IF((N27-E27-O27)&lt;0,ABS(N27-E27-O27),0)),2)</f>
        <v>0</v>
      </c>
    </row>
    <row r="28" customFormat="false" ht="15" hidden="false" customHeight="true" outlineLevel="0" collapsed="false">
      <c r="A28" s="12" t="s">
        <v>80</v>
      </c>
      <c r="B28" s="12" t="s">
        <v>81</v>
      </c>
      <c r="C28" s="12" t="s">
        <v>82</v>
      </c>
      <c r="D28" s="14" t="n">
        <f aca="false">травень!P28</f>
        <v>1285.35</v>
      </c>
      <c r="E28" s="14" t="n">
        <f aca="false">травень!Q28</f>
        <v>0</v>
      </c>
      <c r="F28" s="13" t="n">
        <f aca="false">травень!F28</f>
        <v>0</v>
      </c>
      <c r="G28" s="13" t="n">
        <f aca="false">травень!G28</f>
        <v>62.7</v>
      </c>
      <c r="H28" s="13" t="n">
        <f aca="false">травень!H28</f>
        <v>0</v>
      </c>
      <c r="I28" s="13" t="n">
        <f aca="false">травень!I28</f>
        <v>4.1</v>
      </c>
      <c r="J28" s="14" t="n">
        <f aca="false">ROUND(G28*I28,2)</f>
        <v>257.07</v>
      </c>
      <c r="K28" s="14"/>
      <c r="L28" s="14"/>
      <c r="M28" s="14"/>
      <c r="N28" s="14" t="n">
        <f aca="false">ROUND((G28*I28)-K28-L28-M28,2)</f>
        <v>257.07</v>
      </c>
      <c r="O28" s="14"/>
      <c r="P28" s="14" t="n">
        <f aca="false">ROUND(IF(D28=0,IF((N28-E28-O28)&gt;0,(N28-E28-O28),0),IF((D28+N28-O28)&gt;0,(D28+N28-O28),0)),2)</f>
        <v>1542.42</v>
      </c>
      <c r="Q28" s="14" t="n">
        <f aca="false">ROUND(IF(E28=0,IF((D28+N28-O28)&lt;0,ABS(D28+N28-O28),0),IF((N28-E28-O28)&lt;0,ABS(N28-E28-O28),0)),2)</f>
        <v>0</v>
      </c>
    </row>
    <row r="29" customFormat="false" ht="15" hidden="false" customHeight="true" outlineLevel="0" collapsed="false">
      <c r="A29" s="12" t="s">
        <v>83</v>
      </c>
      <c r="B29" s="12" t="s">
        <v>84</v>
      </c>
      <c r="C29" s="12" t="s">
        <v>85</v>
      </c>
      <c r="D29" s="14" t="n">
        <f aca="false">травень!P29</f>
        <v>1606.86</v>
      </c>
      <c r="E29" s="14" t="n">
        <f aca="false">травень!Q29</f>
        <v>0</v>
      </c>
      <c r="F29" s="13" t="n">
        <f aca="false">травень!F29</f>
        <v>0</v>
      </c>
      <c r="G29" s="13" t="n">
        <f aca="false">травень!G29</f>
        <v>65.32</v>
      </c>
      <c r="H29" s="13" t="n">
        <f aca="false">травень!H29</f>
        <v>0</v>
      </c>
      <c r="I29" s="13" t="n">
        <f aca="false">травень!I29</f>
        <v>4.1</v>
      </c>
      <c r="J29" s="14" t="n">
        <f aca="false">ROUND(G29*I29,2)</f>
        <v>267.81</v>
      </c>
      <c r="K29" s="14"/>
      <c r="L29" s="14"/>
      <c r="M29" s="14"/>
      <c r="N29" s="14" t="n">
        <f aca="false">ROUND((G29*I29)-K29-L29-M29,2)</f>
        <v>267.81</v>
      </c>
      <c r="O29" s="14"/>
      <c r="P29" s="14" t="n">
        <f aca="false">ROUND(IF(D29=0,IF((N29-E29-O29)&gt;0,(N29-E29-O29),0),IF((D29+N29-O29)&gt;0,(D29+N29-O29),0)),2)</f>
        <v>1874.67</v>
      </c>
      <c r="Q29" s="14" t="n">
        <f aca="false">ROUND(IF(E29=0,IF((D29+N29-O29)&lt;0,ABS(D29+N29-O29),0),IF((N29-E29-O29)&lt;0,ABS(N29-E29-O29),0)),2)</f>
        <v>0</v>
      </c>
    </row>
    <row r="30" customFormat="false" ht="15" hidden="false" customHeight="true" outlineLevel="0" collapsed="false">
      <c r="A30" s="12" t="s">
        <v>86</v>
      </c>
      <c r="B30" s="12" t="s">
        <v>87</v>
      </c>
      <c r="C30" s="12" t="s">
        <v>88</v>
      </c>
      <c r="D30" s="14" t="n">
        <f aca="false">травень!P30</f>
        <v>968.33</v>
      </c>
      <c r="E30" s="14" t="n">
        <f aca="false">травень!Q30</f>
        <v>0</v>
      </c>
      <c r="F30" s="13" t="n">
        <f aca="false">травень!F30</f>
        <v>0</v>
      </c>
      <c r="G30" s="13" t="n">
        <f aca="false">травень!G30</f>
        <v>49.7</v>
      </c>
      <c r="H30" s="13" t="n">
        <f aca="false">травень!H30</f>
        <v>0</v>
      </c>
      <c r="I30" s="13" t="n">
        <f aca="false">травень!I30</f>
        <v>4.1</v>
      </c>
      <c r="J30" s="14" t="n">
        <f aca="false">ROUND(G30*I30,2)</f>
        <v>203.77</v>
      </c>
      <c r="K30" s="14"/>
      <c r="L30" s="14"/>
      <c r="M30" s="14"/>
      <c r="N30" s="14" t="n">
        <f aca="false">ROUND((G30*I30)-K30-L30-M30,2)</f>
        <v>203.77</v>
      </c>
      <c r="O30" s="14"/>
      <c r="P30" s="14" t="n">
        <f aca="false">ROUND(IF(D30=0,IF((N30-E30-O30)&gt;0,(N30-E30-O30),0),IF((D30+N30-O30)&gt;0,(D30+N30-O30),0)),2)</f>
        <v>1172.1</v>
      </c>
      <c r="Q30" s="14" t="n">
        <f aca="false">ROUND(IF(E30=0,IF((D30+N30-O30)&lt;0,ABS(D30+N30-O30),0),IF((N30-E30-O30)&lt;0,ABS(N30-E30-O30),0)),2)</f>
        <v>0</v>
      </c>
    </row>
    <row r="31" customFormat="false" ht="15" hidden="false" customHeight="true" outlineLevel="0" collapsed="false">
      <c r="A31" s="12" t="s">
        <v>89</v>
      </c>
      <c r="B31" s="12" t="s">
        <v>90</v>
      </c>
      <c r="C31" s="12" t="s">
        <v>91</v>
      </c>
      <c r="D31" s="14" t="n">
        <f aca="false">травень!P31</f>
        <v>4400.31</v>
      </c>
      <c r="E31" s="14" t="n">
        <f aca="false">травень!Q31</f>
        <v>0</v>
      </c>
      <c r="F31" s="13" t="n">
        <f aca="false">травень!F31</f>
        <v>0</v>
      </c>
      <c r="G31" s="13" t="n">
        <f aca="false">травень!G31</f>
        <v>35.1</v>
      </c>
      <c r="H31" s="13" t="n">
        <f aca="false">травень!H31</f>
        <v>0</v>
      </c>
      <c r="I31" s="13" t="n">
        <f aca="false">травень!I31</f>
        <v>4.1</v>
      </c>
      <c r="J31" s="14" t="n">
        <f aca="false">ROUND(G31*I31,2)</f>
        <v>143.91</v>
      </c>
      <c r="K31" s="14"/>
      <c r="L31" s="14"/>
      <c r="M31" s="14"/>
      <c r="N31" s="14" t="n">
        <f aca="false">ROUND((G31*I31)-K31-L31-M31,2)</f>
        <v>143.91</v>
      </c>
      <c r="O31" s="14"/>
      <c r="P31" s="14" t="n">
        <f aca="false">ROUND(IF(D31=0,IF((N31-E31-O31)&gt;0,(N31-E31-O31),0),IF((D31+N31-O31)&gt;0,(D31+N31-O31),0)),2)</f>
        <v>4544.22</v>
      </c>
      <c r="Q31" s="14" t="n">
        <f aca="false">ROUND(IF(E31=0,IF((D31+N31-O31)&lt;0,ABS(D31+N31-O31),0),IF((N31-E31-O31)&lt;0,ABS(N31-E31-O31),0)),2)</f>
        <v>0</v>
      </c>
    </row>
    <row r="32" customFormat="false" ht="15" hidden="false" customHeight="true" outlineLevel="0" collapsed="false">
      <c r="A32" s="12" t="s">
        <v>92</v>
      </c>
      <c r="B32" s="12" t="s">
        <v>93</v>
      </c>
      <c r="C32" s="12" t="s">
        <v>94</v>
      </c>
      <c r="D32" s="14" t="n">
        <f aca="false">травень!P32</f>
        <v>1532.77</v>
      </c>
      <c r="E32" s="14" t="n">
        <f aca="false">травень!Q32</f>
        <v>0</v>
      </c>
      <c r="F32" s="13" t="n">
        <f aca="false">травень!F32</f>
        <v>0</v>
      </c>
      <c r="G32" s="13" t="n">
        <f aca="false">травень!G32</f>
        <v>62.31</v>
      </c>
      <c r="H32" s="13" t="n">
        <f aca="false">травень!H32</f>
        <v>0</v>
      </c>
      <c r="I32" s="13" t="n">
        <f aca="false">травень!I32</f>
        <v>4.1</v>
      </c>
      <c r="J32" s="14" t="n">
        <f aca="false">ROUND(G32*I32,2)</f>
        <v>255.47</v>
      </c>
      <c r="K32" s="14"/>
      <c r="L32" s="14"/>
      <c r="M32" s="14"/>
      <c r="N32" s="14" t="n">
        <f aca="false">ROUND((G32*I32)-K32-L32-M32,2)</f>
        <v>255.47</v>
      </c>
      <c r="O32" s="14"/>
      <c r="P32" s="14" t="n">
        <f aca="false">ROUND(IF(D32=0,IF((N32-E32-O32)&gt;0,(N32-E32-O32),0),IF((D32+N32-O32)&gt;0,(D32+N32-O32),0)),2)</f>
        <v>1788.24</v>
      </c>
      <c r="Q32" s="14" t="n">
        <f aca="false">ROUND(IF(E32=0,IF((D32+N32-O32)&lt;0,ABS(D32+N32-O32),0),IF((N32-E32-O32)&lt;0,ABS(N32-E32-O32),0)),2)</f>
        <v>0</v>
      </c>
    </row>
    <row r="33" customFormat="false" ht="15" hidden="false" customHeight="true" outlineLevel="0" collapsed="false">
      <c r="A33" s="12" t="s">
        <v>95</v>
      </c>
      <c r="B33" s="12" t="s">
        <v>96</v>
      </c>
      <c r="C33" s="12" t="s">
        <v>97</v>
      </c>
      <c r="D33" s="14" t="n">
        <f aca="false">травень!P33</f>
        <v>13720.54</v>
      </c>
      <c r="E33" s="14" t="n">
        <f aca="false">травень!Q33</f>
        <v>0</v>
      </c>
      <c r="F33" s="13" t="n">
        <f aca="false">травень!F33</f>
        <v>0</v>
      </c>
      <c r="G33" s="13" t="n">
        <f aca="false">травень!G33</f>
        <v>65.04</v>
      </c>
      <c r="H33" s="13" t="n">
        <f aca="false">травень!H33</f>
        <v>0</v>
      </c>
      <c r="I33" s="13" t="n">
        <f aca="false">травень!I33</f>
        <v>4.1</v>
      </c>
      <c r="J33" s="14" t="n">
        <f aca="false">ROUND(G33*I33,2)</f>
        <v>266.66</v>
      </c>
      <c r="K33" s="14"/>
      <c r="L33" s="14"/>
      <c r="M33" s="14"/>
      <c r="N33" s="14" t="n">
        <f aca="false">ROUND((G33*I33)-K33-L33-M33,2)</f>
        <v>266.66</v>
      </c>
      <c r="O33" s="14"/>
      <c r="P33" s="14" t="n">
        <f aca="false">ROUND(IF(D33=0,IF((N33-E33-O33)&gt;0,(N33-E33-O33),0),IF((D33+N33-O33)&gt;0,(D33+N33-O33),0)),2)</f>
        <v>13987.2</v>
      </c>
      <c r="Q33" s="14" t="n">
        <f aca="false">ROUND(IF(E33=0,IF((D33+N33-O33)&lt;0,ABS(D33+N33-O33),0),IF((N33-E33-O33)&lt;0,ABS(N33-E33-O33),0)),2)</f>
        <v>0</v>
      </c>
    </row>
    <row r="34" customFormat="false" ht="15" hidden="false" customHeight="true" outlineLevel="0" collapsed="false">
      <c r="A34" s="12" t="s">
        <v>98</v>
      </c>
      <c r="B34" s="12" t="s">
        <v>99</v>
      </c>
      <c r="C34" s="12" t="s">
        <v>100</v>
      </c>
      <c r="D34" s="14" t="n">
        <f aca="false">травень!P34</f>
        <v>1429.26</v>
      </c>
      <c r="E34" s="14" t="n">
        <f aca="false">травень!Q34</f>
        <v>0</v>
      </c>
      <c r="F34" s="13" t="n">
        <f aca="false">травень!F34</f>
        <v>0</v>
      </c>
      <c r="G34" s="13" t="n">
        <f aca="false">травень!G34</f>
        <v>49.8</v>
      </c>
      <c r="H34" s="13" t="n">
        <f aca="false">травень!H34</f>
        <v>0</v>
      </c>
      <c r="I34" s="13" t="n">
        <f aca="false">травень!I34</f>
        <v>4.1</v>
      </c>
      <c r="J34" s="14" t="n">
        <f aca="false">ROUND(G34*I34,2)</f>
        <v>204.18</v>
      </c>
      <c r="K34" s="14"/>
      <c r="L34" s="14"/>
      <c r="M34" s="14"/>
      <c r="N34" s="14" t="n">
        <f aca="false">ROUND((G34*I34)-K34-L34-M34,2)</f>
        <v>204.18</v>
      </c>
      <c r="O34" s="14"/>
      <c r="P34" s="14" t="n">
        <f aca="false">ROUND(IF(D34=0,IF((N34-E34-O34)&gt;0,(N34-E34-O34),0),IF((D34+N34-O34)&gt;0,(D34+N34-O34),0)),2)</f>
        <v>1633.44</v>
      </c>
      <c r="Q34" s="14" t="n">
        <f aca="false">ROUND(IF(E34=0,IF((D34+N34-O34)&lt;0,ABS(D34+N34-O34),0),IF((N34-E34-O34)&lt;0,ABS(N34-E34-O34),0)),2)</f>
        <v>0</v>
      </c>
    </row>
    <row r="35" customFormat="false" ht="15" hidden="false" customHeight="true" outlineLevel="0" collapsed="false">
      <c r="A35" s="12" t="s">
        <v>101</v>
      </c>
      <c r="B35" s="12" t="s">
        <v>102</v>
      </c>
      <c r="C35" s="12" t="s">
        <v>103</v>
      </c>
      <c r="D35" s="14" t="n">
        <f aca="false">травень!P35</f>
        <v>1009.4</v>
      </c>
      <c r="E35" s="14" t="n">
        <f aca="false">травень!Q35</f>
        <v>0</v>
      </c>
      <c r="F35" s="13" t="n">
        <f aca="false">травень!F35</f>
        <v>0</v>
      </c>
      <c r="G35" s="13" t="n">
        <f aca="false">травень!G35</f>
        <v>35.17</v>
      </c>
      <c r="H35" s="13" t="n">
        <f aca="false">травень!H35</f>
        <v>0</v>
      </c>
      <c r="I35" s="13" t="n">
        <f aca="false">травень!I35</f>
        <v>4.1</v>
      </c>
      <c r="J35" s="14" t="n">
        <f aca="false">ROUND(G35*I35,2)</f>
        <v>144.2</v>
      </c>
      <c r="K35" s="14"/>
      <c r="L35" s="14"/>
      <c r="M35" s="14"/>
      <c r="N35" s="14" t="n">
        <f aca="false">ROUND((G35*I35)-K35-L35-M35,2)</f>
        <v>144.2</v>
      </c>
      <c r="O35" s="14"/>
      <c r="P35" s="14" t="n">
        <f aca="false">ROUND(IF(D35=0,IF((N35-E35-O35)&gt;0,(N35-E35-O35),0),IF((D35+N35-O35)&gt;0,(D35+N35-O35),0)),2)</f>
        <v>1153.6</v>
      </c>
      <c r="Q35" s="14" t="n">
        <f aca="false">ROUND(IF(E35=0,IF((D35+N35-O35)&lt;0,ABS(D35+N35-O35),0),IF((N35-E35-O35)&lt;0,ABS(N35-E35-O35),0)),2)</f>
        <v>0</v>
      </c>
    </row>
    <row r="36" customFormat="false" ht="15" hidden="false" customHeight="true" outlineLevel="0" collapsed="false">
      <c r="A36" s="12" t="s">
        <v>104</v>
      </c>
      <c r="B36" s="12" t="s">
        <v>105</v>
      </c>
      <c r="C36" s="12" t="s">
        <v>106</v>
      </c>
      <c r="D36" s="14" t="n">
        <f aca="false">травень!P36</f>
        <v>1280.65</v>
      </c>
      <c r="E36" s="14" t="n">
        <f aca="false">травень!Q36</f>
        <v>0</v>
      </c>
      <c r="F36" s="13" t="n">
        <f aca="false">травень!F36</f>
        <v>0</v>
      </c>
      <c r="G36" s="13" t="n">
        <f aca="false">травень!G36</f>
        <v>62.47</v>
      </c>
      <c r="H36" s="13" t="n">
        <f aca="false">травень!H36</f>
        <v>0</v>
      </c>
      <c r="I36" s="13" t="n">
        <f aca="false">травень!I36</f>
        <v>4.1</v>
      </c>
      <c r="J36" s="14" t="n">
        <f aca="false">ROUND(G36*I36,2)</f>
        <v>256.13</v>
      </c>
      <c r="K36" s="14"/>
      <c r="L36" s="14"/>
      <c r="M36" s="14"/>
      <c r="N36" s="14" t="n">
        <f aca="false">ROUND((G36*I36)-K36-L36-M36,2)</f>
        <v>256.13</v>
      </c>
      <c r="O36" s="14"/>
      <c r="P36" s="14" t="n">
        <f aca="false">ROUND(IF(D36=0,IF((N36-E36-O36)&gt;0,(N36-E36-O36),0),IF((D36+N36-O36)&gt;0,(D36+N36-O36),0)),2)</f>
        <v>1536.78</v>
      </c>
      <c r="Q36" s="14" t="n">
        <f aca="false">ROUND(IF(E36=0,IF((D36+N36-O36)&lt;0,ABS(D36+N36-O36),0),IF((N36-E36-O36)&lt;0,ABS(N36-E36-O36),0)),2)</f>
        <v>0</v>
      </c>
    </row>
    <row r="37" customFormat="false" ht="15" hidden="false" customHeight="true" outlineLevel="0" collapsed="false">
      <c r="A37" s="12" t="s">
        <v>107</v>
      </c>
      <c r="B37" s="12" t="s">
        <v>108</v>
      </c>
      <c r="C37" s="12" t="s">
        <v>109</v>
      </c>
      <c r="D37" s="14" t="n">
        <f aca="false">травень!P37</f>
        <v>8331.42</v>
      </c>
      <c r="E37" s="14" t="n">
        <f aca="false">травень!Q37</f>
        <v>0</v>
      </c>
      <c r="F37" s="13" t="n">
        <f aca="false">травень!F37</f>
        <v>0</v>
      </c>
      <c r="G37" s="13" t="n">
        <f aca="false">травень!G37</f>
        <v>65.75</v>
      </c>
      <c r="H37" s="13" t="n">
        <f aca="false">травень!H37</f>
        <v>0</v>
      </c>
      <c r="I37" s="13" t="n">
        <f aca="false">травень!I37</f>
        <v>4.1</v>
      </c>
      <c r="J37" s="14" t="n">
        <f aca="false">ROUND(G37*I37,2)</f>
        <v>269.58</v>
      </c>
      <c r="K37" s="14"/>
      <c r="L37" s="14"/>
      <c r="M37" s="14"/>
      <c r="N37" s="14" t="n">
        <f aca="false">ROUND((G37*I37)-K37-L37-M37,2)</f>
        <v>269.58</v>
      </c>
      <c r="O37" s="14"/>
      <c r="P37" s="14" t="n">
        <f aca="false">ROUND(IF(D37=0,IF((N37-E37-O37)&gt;0,(N37-E37-O37),0),IF((D37+N37-O37)&gt;0,(D37+N37-O37),0)),2)</f>
        <v>8601</v>
      </c>
      <c r="Q37" s="14" t="n">
        <f aca="false">ROUND(IF(E37=0,IF((D37+N37-O37)&lt;0,ABS(D37+N37-O37),0),IF((N37-E37-O37)&lt;0,ABS(N37-E37-O37),0)),2)</f>
        <v>0</v>
      </c>
    </row>
    <row r="38" customFormat="false" ht="15" hidden="false" customHeight="true" outlineLevel="0" collapsed="false">
      <c r="A38" s="12" t="s">
        <v>110</v>
      </c>
      <c r="B38" s="12" t="s">
        <v>111</v>
      </c>
      <c r="C38" s="12" t="s">
        <v>112</v>
      </c>
      <c r="D38" s="14" t="n">
        <f aca="false">травень!P38</f>
        <v>10587.4</v>
      </c>
      <c r="E38" s="14" t="n">
        <f aca="false">травень!Q38</f>
        <v>0</v>
      </c>
      <c r="F38" s="13" t="n">
        <f aca="false">травень!F38</f>
        <v>0</v>
      </c>
      <c r="G38" s="13" t="n">
        <f aca="false">травень!G38</f>
        <v>49.7</v>
      </c>
      <c r="H38" s="13" t="n">
        <f aca="false">травень!H38</f>
        <v>0</v>
      </c>
      <c r="I38" s="13" t="n">
        <f aca="false">травень!I38</f>
        <v>4.1</v>
      </c>
      <c r="J38" s="14" t="n">
        <f aca="false">ROUND(G38*I38,2)</f>
        <v>203.77</v>
      </c>
      <c r="K38" s="14"/>
      <c r="L38" s="14"/>
      <c r="M38" s="14"/>
      <c r="N38" s="14" t="n">
        <f aca="false">ROUND((G38*I38)-K38-L38-M38,2)</f>
        <v>203.77</v>
      </c>
      <c r="O38" s="14"/>
      <c r="P38" s="14" t="n">
        <f aca="false">ROUND(IF(D38=0,IF((N38-E38-O38)&gt;0,(N38-E38-O38),0),IF((D38+N38-O38)&gt;0,(D38+N38-O38),0)),2)</f>
        <v>10791.17</v>
      </c>
      <c r="Q38" s="14" t="n">
        <f aca="false">ROUND(IF(E38=0,IF((D38+N38-O38)&lt;0,ABS(D38+N38-O38),0),IF((N38-E38-O38)&lt;0,ABS(N38-E38-O38),0)),2)</f>
        <v>0</v>
      </c>
    </row>
    <row r="39" customFormat="false" ht="15" hidden="false" customHeight="true" outlineLevel="0" collapsed="false">
      <c r="A39" s="12" t="s">
        <v>113</v>
      </c>
      <c r="B39" s="12" t="s">
        <v>114</v>
      </c>
      <c r="C39" s="12" t="s">
        <v>115</v>
      </c>
      <c r="D39" s="14" t="n">
        <f aca="false">травень!P39</f>
        <v>719.55</v>
      </c>
      <c r="E39" s="14" t="n">
        <f aca="false">травень!Q39</f>
        <v>0</v>
      </c>
      <c r="F39" s="13" t="n">
        <f aca="false">травень!F39</f>
        <v>0</v>
      </c>
      <c r="G39" s="13" t="n">
        <f aca="false">травень!G39</f>
        <v>35.1</v>
      </c>
      <c r="H39" s="13" t="n">
        <f aca="false">травень!H39</f>
        <v>0</v>
      </c>
      <c r="I39" s="13" t="n">
        <f aca="false">травень!I39</f>
        <v>4.1</v>
      </c>
      <c r="J39" s="14" t="n">
        <f aca="false">ROUND(G39*I39,2)</f>
        <v>143.91</v>
      </c>
      <c r="K39" s="14"/>
      <c r="L39" s="14"/>
      <c r="M39" s="14"/>
      <c r="N39" s="14" t="n">
        <f aca="false">ROUND((G39*I39)-K39-L39-M39,2)</f>
        <v>143.91</v>
      </c>
      <c r="O39" s="14"/>
      <c r="P39" s="14" t="n">
        <f aca="false">ROUND(IF(D39=0,IF((N39-E39-O39)&gt;0,(N39-E39-O39),0),IF((D39+N39-O39)&gt;0,(D39+N39-O39),0)),2)</f>
        <v>863.46</v>
      </c>
      <c r="Q39" s="14" t="n">
        <f aca="false">ROUND(IF(E39=0,IF((D39+N39-O39)&lt;0,ABS(D39+N39-O39),0),IF((N39-E39-O39)&lt;0,ABS(N39-E39-O39),0)),2)</f>
        <v>0</v>
      </c>
    </row>
    <row r="40" customFormat="false" ht="15" hidden="false" customHeight="true" outlineLevel="0" collapsed="false">
      <c r="A40" s="12" t="s">
        <v>116</v>
      </c>
      <c r="B40" s="12" t="s">
        <v>117</v>
      </c>
      <c r="C40" s="12" t="s">
        <v>118</v>
      </c>
      <c r="D40" s="14" t="n">
        <f aca="false">травень!P40</f>
        <v>2187.06</v>
      </c>
      <c r="E40" s="14" t="n">
        <f aca="false">травень!Q40</f>
        <v>0</v>
      </c>
      <c r="F40" s="13" t="n">
        <f aca="false">травень!F40</f>
        <v>0</v>
      </c>
      <c r="G40" s="13" t="n">
        <f aca="false">травень!G40</f>
        <v>61.9</v>
      </c>
      <c r="H40" s="13" t="n">
        <f aca="false">травень!H40</f>
        <v>0</v>
      </c>
      <c r="I40" s="13" t="n">
        <f aca="false">травень!I40</f>
        <v>4.1</v>
      </c>
      <c r="J40" s="14" t="n">
        <f aca="false">ROUND(G40*I40,2)</f>
        <v>253.79</v>
      </c>
      <c r="K40" s="14"/>
      <c r="L40" s="14"/>
      <c r="M40" s="14"/>
      <c r="N40" s="14" t="n">
        <f aca="false">ROUND((G40*I40)-K40-L40-M40,2)</f>
        <v>253.79</v>
      </c>
      <c r="O40" s="14"/>
      <c r="P40" s="14" t="n">
        <f aca="false">ROUND(IF(D40=0,IF((N40-E40-O40)&gt;0,(N40-E40-O40),0),IF((D40+N40-O40)&gt;0,(D40+N40-O40),0)),2)</f>
        <v>2440.85</v>
      </c>
      <c r="Q40" s="14" t="n">
        <f aca="false">ROUND(IF(E40=0,IF((D40+N40-O40)&lt;0,ABS(D40+N40-O40),0),IF((N40-E40-O40)&lt;0,ABS(N40-E40-O40),0)),2)</f>
        <v>0</v>
      </c>
    </row>
    <row r="41" customFormat="false" ht="15" hidden="false" customHeight="true" outlineLevel="0" collapsed="false">
      <c r="A41" s="12" t="s">
        <v>119</v>
      </c>
      <c r="B41" s="12" t="s">
        <v>120</v>
      </c>
      <c r="C41" s="12" t="s">
        <v>121</v>
      </c>
      <c r="D41" s="14" t="n">
        <f aca="false">травень!P41</f>
        <v>10904.76</v>
      </c>
      <c r="E41" s="14" t="n">
        <f aca="false">травень!Q41</f>
        <v>0</v>
      </c>
      <c r="F41" s="13" t="n">
        <f aca="false">травень!F41</f>
        <v>0</v>
      </c>
      <c r="G41" s="13" t="n">
        <f aca="false">травень!G41</f>
        <v>65.53</v>
      </c>
      <c r="H41" s="13" t="n">
        <f aca="false">травень!H41</f>
        <v>0</v>
      </c>
      <c r="I41" s="13" t="n">
        <f aca="false">травень!I41</f>
        <v>4.1</v>
      </c>
      <c r="J41" s="14" t="n">
        <f aca="false">ROUND(G41*I41,2)</f>
        <v>268.67</v>
      </c>
      <c r="K41" s="14"/>
      <c r="L41" s="14"/>
      <c r="M41" s="14"/>
      <c r="N41" s="14" t="n">
        <f aca="false">ROUND((G41*I41)-K41-L41-M41,2)</f>
        <v>268.67</v>
      </c>
      <c r="O41" s="14"/>
      <c r="P41" s="14" t="n">
        <f aca="false">ROUND(IF(D41=0,IF((N41-E41-O41)&gt;0,(N41-E41-O41),0),IF((D41+N41-O41)&gt;0,(D41+N41-O41),0)),2)</f>
        <v>11173.43</v>
      </c>
      <c r="Q41" s="14" t="n">
        <f aca="false">ROUND(IF(E41=0,IF((D41+N41-O41)&lt;0,ABS(D41+N41-O41),0),IF((N41-E41-O41)&lt;0,ABS(N41-E41-O41),0)),2)</f>
        <v>0</v>
      </c>
    </row>
    <row r="42" customFormat="false" ht="15" hidden="false" customHeight="true" outlineLevel="0" collapsed="false">
      <c r="A42" s="12" t="s">
        <v>122</v>
      </c>
      <c r="B42" s="12" t="s">
        <v>123</v>
      </c>
      <c r="C42" s="12" t="s">
        <v>124</v>
      </c>
      <c r="D42" s="14" t="n">
        <f aca="false">травень!P42</f>
        <v>9280.31</v>
      </c>
      <c r="E42" s="14" t="n">
        <f aca="false">травень!Q42</f>
        <v>0</v>
      </c>
      <c r="F42" s="13" t="n">
        <f aca="false">травень!F42</f>
        <v>0</v>
      </c>
      <c r="G42" s="13" t="n">
        <f aca="false">травень!G42</f>
        <v>49.7</v>
      </c>
      <c r="H42" s="13" t="n">
        <f aca="false">травень!H42</f>
        <v>0</v>
      </c>
      <c r="I42" s="13" t="n">
        <f aca="false">травень!I42</f>
        <v>4.1</v>
      </c>
      <c r="J42" s="14" t="n">
        <f aca="false">ROUND(G42*I42,2)</f>
        <v>203.77</v>
      </c>
      <c r="K42" s="14"/>
      <c r="L42" s="14"/>
      <c r="M42" s="14"/>
      <c r="N42" s="14" t="n">
        <f aca="false">ROUND((G42*I42)-K42-L42-M42,2)</f>
        <v>203.77</v>
      </c>
      <c r="O42" s="14"/>
      <c r="P42" s="14" t="n">
        <f aca="false">ROUND(IF(D42=0,IF((N42-E42-O42)&gt;0,(N42-E42-O42),0),IF((D42+N42-O42)&gt;0,(D42+N42-O42),0)),2)</f>
        <v>9484.08</v>
      </c>
      <c r="Q42" s="14" t="n">
        <f aca="false">ROUND(IF(E42=0,IF((D42+N42-O42)&lt;0,ABS(D42+N42-O42),0),IF((N42-E42-O42)&lt;0,ABS(N42-E42-O42),0)),2)</f>
        <v>0</v>
      </c>
    </row>
    <row r="43" customFormat="false" ht="15" hidden="false" customHeight="true" outlineLevel="0" collapsed="false">
      <c r="A43" s="12" t="s">
        <v>125</v>
      </c>
      <c r="B43" s="12" t="s">
        <v>126</v>
      </c>
      <c r="C43" s="12" t="s">
        <v>127</v>
      </c>
      <c r="D43" s="14" t="n">
        <f aca="false">травень!P43</f>
        <v>2596.11</v>
      </c>
      <c r="E43" s="14" t="n">
        <f aca="false">травень!Q43</f>
        <v>0</v>
      </c>
      <c r="F43" s="13" t="n">
        <f aca="false">травень!F43</f>
        <v>0</v>
      </c>
      <c r="G43" s="13" t="n">
        <f aca="false">травень!G43</f>
        <v>35.1</v>
      </c>
      <c r="H43" s="13" t="n">
        <f aca="false">травень!H43</f>
        <v>0</v>
      </c>
      <c r="I43" s="13" t="n">
        <f aca="false">травень!I43</f>
        <v>4.1</v>
      </c>
      <c r="J43" s="14" t="n">
        <f aca="false">ROUND(G43*I43,2)</f>
        <v>143.91</v>
      </c>
      <c r="K43" s="14"/>
      <c r="L43" s="14"/>
      <c r="M43" s="14"/>
      <c r="N43" s="14" t="n">
        <f aca="false">ROUND((G43*I43)-K43-L43-M43,2)</f>
        <v>143.91</v>
      </c>
      <c r="O43" s="14"/>
      <c r="P43" s="14" t="n">
        <f aca="false">ROUND(IF(D43=0,IF((N43-E43-O43)&gt;0,(N43-E43-O43),0),IF((D43+N43-O43)&gt;0,(D43+N43-O43),0)),2)</f>
        <v>2740.02</v>
      </c>
      <c r="Q43" s="14" t="n">
        <f aca="false">ROUND(IF(E43=0,IF((D43+N43-O43)&lt;0,ABS(D43+N43-O43),0),IF((N43-E43-O43)&lt;0,ABS(N43-E43-O43),0)),2)</f>
        <v>0</v>
      </c>
    </row>
    <row r="44" customFormat="false" ht="15" hidden="false" customHeight="true" outlineLevel="0" collapsed="false">
      <c r="A44" s="12" t="s">
        <v>128</v>
      </c>
      <c r="B44" s="12" t="s">
        <v>129</v>
      </c>
      <c r="C44" s="12" t="s">
        <v>130</v>
      </c>
      <c r="D44" s="14" t="n">
        <f aca="false">травень!P44</f>
        <v>12489.94</v>
      </c>
      <c r="E44" s="14" t="n">
        <f aca="false">травень!Q44</f>
        <v>0</v>
      </c>
      <c r="F44" s="13" t="n">
        <f aca="false">травень!F44</f>
        <v>0</v>
      </c>
      <c r="G44" s="13" t="n">
        <f aca="false">травень!G44</f>
        <v>61.88</v>
      </c>
      <c r="H44" s="13" t="n">
        <f aca="false">травень!H44</f>
        <v>0</v>
      </c>
      <c r="I44" s="13" t="n">
        <f aca="false">травень!I44</f>
        <v>4.1</v>
      </c>
      <c r="J44" s="14" t="n">
        <f aca="false">ROUND(G44*I44,2)</f>
        <v>253.71</v>
      </c>
      <c r="K44" s="14"/>
      <c r="L44" s="14"/>
      <c r="M44" s="14"/>
      <c r="N44" s="14" t="n">
        <f aca="false">ROUND((G44*I44)-K44-L44-M44,2)</f>
        <v>253.71</v>
      </c>
      <c r="O44" s="14"/>
      <c r="P44" s="14" t="n">
        <f aca="false">ROUND(IF(D44=0,IF((N44-E44-O44)&gt;0,(N44-E44-O44),0),IF((D44+N44-O44)&gt;0,(D44+N44-O44),0)),2)</f>
        <v>12743.65</v>
      </c>
      <c r="Q44" s="14" t="n">
        <f aca="false">ROUND(IF(E44=0,IF((D44+N44-O44)&lt;0,ABS(D44+N44-O44),0),IF((N44-E44-O44)&lt;0,ABS(N44-E44-O44),0)),2)</f>
        <v>0</v>
      </c>
    </row>
    <row r="45" customFormat="false" ht="15" hidden="false" customHeight="true" outlineLevel="0" collapsed="false">
      <c r="A45" s="12" t="s">
        <v>131</v>
      </c>
      <c r="B45" s="12" t="s">
        <v>132</v>
      </c>
      <c r="C45" s="12" t="s">
        <v>133</v>
      </c>
      <c r="D45" s="14" t="n">
        <f aca="false">травень!P45</f>
        <v>958.73</v>
      </c>
      <c r="E45" s="14" t="n">
        <f aca="false">травень!Q45</f>
        <v>0</v>
      </c>
      <c r="F45" s="13" t="n">
        <f aca="false">травень!F45</f>
        <v>0</v>
      </c>
      <c r="G45" s="13" t="n">
        <f aca="false">травень!G45</f>
        <v>62.2</v>
      </c>
      <c r="H45" s="13" t="n">
        <f aca="false">травень!H45</f>
        <v>0</v>
      </c>
      <c r="I45" s="13" t="n">
        <f aca="false">травень!I45</f>
        <v>4.1</v>
      </c>
      <c r="J45" s="14" t="n">
        <f aca="false">ROUND(G45*I45,2)</f>
        <v>255.02</v>
      </c>
      <c r="K45" s="14"/>
      <c r="L45" s="14"/>
      <c r="M45" s="14"/>
      <c r="N45" s="14" t="n">
        <f aca="false">ROUND((G45*I45)-K45-L45-M45,2)</f>
        <v>255.02</v>
      </c>
      <c r="O45" s="14"/>
      <c r="P45" s="14" t="n">
        <f aca="false">ROUND(IF(D45=0,IF((N45-E45-O45)&gt;0,(N45-E45-O45),0),IF((D45+N45-O45)&gt;0,(D45+N45-O45),0)),2)</f>
        <v>1213.75</v>
      </c>
      <c r="Q45" s="14" t="n">
        <f aca="false">ROUND(IF(E45=0,IF((D45+N45-O45)&lt;0,ABS(D45+N45-O45),0),IF((N45-E45-O45)&lt;0,ABS(N45-E45-O45),0)),2)</f>
        <v>0</v>
      </c>
    </row>
    <row r="46" customFormat="false" ht="15" hidden="false" customHeight="true" outlineLevel="0" collapsed="false">
      <c r="A46" s="12" t="s">
        <v>134</v>
      </c>
      <c r="B46" s="12" t="s">
        <v>135</v>
      </c>
      <c r="C46" s="12" t="s">
        <v>136</v>
      </c>
      <c r="D46" s="14" t="n">
        <f aca="false">травень!P46</f>
        <v>358.54</v>
      </c>
      <c r="E46" s="14" t="n">
        <f aca="false">травень!Q46</f>
        <v>0</v>
      </c>
      <c r="F46" s="13" t="n">
        <f aca="false">травень!F46</f>
        <v>0</v>
      </c>
      <c r="G46" s="13" t="n">
        <f aca="false">травень!G46</f>
        <v>34.9</v>
      </c>
      <c r="H46" s="13" t="n">
        <f aca="false">травень!H46</f>
        <v>0</v>
      </c>
      <c r="I46" s="13" t="n">
        <f aca="false">травень!I46</f>
        <v>4.1</v>
      </c>
      <c r="J46" s="14" t="n">
        <f aca="false">ROUND(G46*I46,2)</f>
        <v>143.09</v>
      </c>
      <c r="K46" s="14"/>
      <c r="L46" s="14"/>
      <c r="M46" s="14"/>
      <c r="N46" s="14" t="n">
        <f aca="false">ROUND((G46*I46)-K46-L46-M46,2)</f>
        <v>143.09</v>
      </c>
      <c r="O46" s="14"/>
      <c r="P46" s="14" t="n">
        <f aca="false">ROUND(IF(D46=0,IF((N46-E46-O46)&gt;0,(N46-E46-O46),0),IF((D46+N46-O46)&gt;0,(D46+N46-O46),0)),2)</f>
        <v>501.63</v>
      </c>
      <c r="Q46" s="14" t="n">
        <f aca="false">ROUND(IF(E46=0,IF((D46+N46-O46)&lt;0,ABS(D46+N46-O46),0),IF((N46-E46-O46)&lt;0,ABS(N46-E46-O46),0)),2)</f>
        <v>0</v>
      </c>
    </row>
    <row r="47" customFormat="false" ht="15" hidden="false" customHeight="true" outlineLevel="0" collapsed="false">
      <c r="A47" s="12" t="s">
        <v>137</v>
      </c>
      <c r="B47" s="12" t="s">
        <v>138</v>
      </c>
      <c r="C47" s="12" t="s">
        <v>139</v>
      </c>
      <c r="D47" s="14" t="n">
        <f aca="false">травень!P47</f>
        <v>1000.4</v>
      </c>
      <c r="E47" s="14" t="n">
        <f aca="false">травень!Q47</f>
        <v>0</v>
      </c>
      <c r="F47" s="13" t="n">
        <f aca="false">травень!F47</f>
        <v>0</v>
      </c>
      <c r="G47" s="13" t="n">
        <f aca="false">травень!G47</f>
        <v>48.8</v>
      </c>
      <c r="H47" s="13" t="n">
        <f aca="false">травень!H47</f>
        <v>0</v>
      </c>
      <c r="I47" s="13" t="n">
        <f aca="false">травень!I47</f>
        <v>4.1</v>
      </c>
      <c r="J47" s="14" t="n">
        <f aca="false">ROUND(G47*I47,2)</f>
        <v>200.08</v>
      </c>
      <c r="K47" s="14"/>
      <c r="L47" s="14"/>
      <c r="M47" s="14"/>
      <c r="N47" s="14" t="n">
        <f aca="false">ROUND((G47*I47)-K47-L47-M47,2)</f>
        <v>200.08</v>
      </c>
      <c r="O47" s="14"/>
      <c r="P47" s="14" t="n">
        <f aca="false">ROUND(IF(D47=0,IF((N47-E47-O47)&gt;0,(N47-E47-O47),0),IF((D47+N47-O47)&gt;0,(D47+N47-O47),0)),2)</f>
        <v>1200.48</v>
      </c>
      <c r="Q47" s="14" t="n">
        <f aca="false">ROUND(IF(E47=0,IF((D47+N47-O47)&lt;0,ABS(D47+N47-O47),0),IF((N47-E47-O47)&lt;0,ABS(N47-E47-O47),0)),2)</f>
        <v>0</v>
      </c>
    </row>
    <row r="48" customFormat="false" ht="15" hidden="false" customHeight="true" outlineLevel="0" collapsed="false">
      <c r="A48" s="12" t="s">
        <v>140</v>
      </c>
      <c r="B48" s="12" t="s">
        <v>141</v>
      </c>
      <c r="C48" s="12" t="s">
        <v>142</v>
      </c>
      <c r="D48" s="14" t="n">
        <f aca="false">травень!P48</f>
        <v>1174.65</v>
      </c>
      <c r="E48" s="14" t="n">
        <f aca="false">травень!Q48</f>
        <v>0</v>
      </c>
      <c r="F48" s="13" t="n">
        <f aca="false">травень!F48</f>
        <v>0</v>
      </c>
      <c r="G48" s="13" t="n">
        <f aca="false">травень!G48</f>
        <v>57.3</v>
      </c>
      <c r="H48" s="13" t="n">
        <f aca="false">травень!H48</f>
        <v>0</v>
      </c>
      <c r="I48" s="13" t="n">
        <f aca="false">травень!I48</f>
        <v>4.1</v>
      </c>
      <c r="J48" s="14" t="n">
        <f aca="false">ROUND(G48*I48,2)</f>
        <v>234.93</v>
      </c>
      <c r="K48" s="14"/>
      <c r="L48" s="14"/>
      <c r="M48" s="14"/>
      <c r="N48" s="14" t="n">
        <f aca="false">ROUND((G48*I48)-K48-L48-M48,2)</f>
        <v>234.93</v>
      </c>
      <c r="O48" s="14"/>
      <c r="P48" s="14" t="n">
        <f aca="false">ROUND(IF(D48=0,IF((N48-E48-O48)&gt;0,(N48-E48-O48),0),IF((D48+N48-O48)&gt;0,(D48+N48-O48),0)),2)</f>
        <v>1409.58</v>
      </c>
      <c r="Q48" s="14" t="n">
        <f aca="false">ROUND(IF(E48=0,IF((D48+N48-O48)&lt;0,ABS(D48+N48-O48),0),IF((N48-E48-O48)&lt;0,ABS(N48-E48-O48),0)),2)</f>
        <v>0</v>
      </c>
    </row>
    <row r="49" customFormat="false" ht="15" hidden="false" customHeight="true" outlineLevel="0" collapsed="false">
      <c r="A49" s="12" t="s">
        <v>143</v>
      </c>
      <c r="B49" s="12" t="s">
        <v>144</v>
      </c>
      <c r="C49" s="12" t="s">
        <v>145</v>
      </c>
      <c r="D49" s="14" t="n">
        <f aca="false">травень!P49</f>
        <v>4410.3</v>
      </c>
      <c r="E49" s="14" t="n">
        <f aca="false">травень!Q49</f>
        <v>0</v>
      </c>
      <c r="F49" s="13" t="n">
        <f aca="false">травень!F49</f>
        <v>0</v>
      </c>
      <c r="G49" s="13" t="n">
        <f aca="false">травень!G49</f>
        <v>63.3</v>
      </c>
      <c r="H49" s="13" t="n">
        <f aca="false">травень!H49</f>
        <v>0</v>
      </c>
      <c r="I49" s="13" t="n">
        <f aca="false">травень!I49</f>
        <v>4.1</v>
      </c>
      <c r="J49" s="14" t="n">
        <f aca="false">ROUND(G49*I49,2)</f>
        <v>259.53</v>
      </c>
      <c r="K49" s="14"/>
      <c r="L49" s="14"/>
      <c r="M49" s="14"/>
      <c r="N49" s="14" t="n">
        <f aca="false">ROUND((G49*I49)-K49-L49-M49,2)</f>
        <v>259.53</v>
      </c>
      <c r="O49" s="14"/>
      <c r="P49" s="14" t="n">
        <f aca="false">ROUND(IF(D49=0,IF((N49-E49-O49)&gt;0,(N49-E49-O49),0),IF((D49+N49-O49)&gt;0,(D49+N49-O49),0)),2)</f>
        <v>4669.83</v>
      </c>
      <c r="Q49" s="14" t="n">
        <f aca="false">ROUND(IF(E49=0,IF((D49+N49-O49)&lt;0,ABS(D49+N49-O49),0),IF((N49-E49-O49)&lt;0,ABS(N49-E49-O49),0)),2)</f>
        <v>0</v>
      </c>
    </row>
    <row r="50" customFormat="false" ht="15" hidden="false" customHeight="true" outlineLevel="0" collapsed="false">
      <c r="A50" s="12" t="s">
        <v>146</v>
      </c>
      <c r="B50" s="12" t="s">
        <v>147</v>
      </c>
      <c r="C50" s="12" t="s">
        <v>148</v>
      </c>
      <c r="D50" s="14" t="n">
        <f aca="false">травень!P50</f>
        <v>731.45</v>
      </c>
      <c r="E50" s="14" t="n">
        <f aca="false">травень!Q50</f>
        <v>0</v>
      </c>
      <c r="F50" s="13" t="n">
        <f aca="false">травень!F50</f>
        <v>0</v>
      </c>
      <c r="G50" s="13" t="n">
        <f aca="false">травень!G50</f>
        <v>35.68</v>
      </c>
      <c r="H50" s="13" t="n">
        <f aca="false">травень!H50</f>
        <v>0</v>
      </c>
      <c r="I50" s="13" t="n">
        <f aca="false">травень!I50</f>
        <v>4.1</v>
      </c>
      <c r="J50" s="14" t="n">
        <f aca="false">ROUND(G50*I50,2)</f>
        <v>146.29</v>
      </c>
      <c r="K50" s="14"/>
      <c r="L50" s="14"/>
      <c r="M50" s="14"/>
      <c r="N50" s="14" t="n">
        <f aca="false">ROUND((G50*I50)-K50-L50-M50,2)</f>
        <v>146.29</v>
      </c>
      <c r="O50" s="14"/>
      <c r="P50" s="14" t="n">
        <f aca="false">ROUND(IF(D50=0,IF((N50-E50-O50)&gt;0,(N50-E50-O50),0),IF((D50+N50-O50)&gt;0,(D50+N50-O50),0)),2)</f>
        <v>877.74</v>
      </c>
      <c r="Q50" s="14" t="n">
        <f aca="false">ROUND(IF(E50=0,IF((D50+N50-O50)&lt;0,ABS(D50+N50-O50),0),IF((N50-E50-O50)&lt;0,ABS(N50-E50-O50),0)),2)</f>
        <v>0</v>
      </c>
    </row>
    <row r="51" customFormat="false" ht="15" hidden="false" customHeight="true" outlineLevel="0" collapsed="false">
      <c r="A51" s="12" t="s">
        <v>149</v>
      </c>
      <c r="B51" s="12" t="s">
        <v>150</v>
      </c>
      <c r="C51" s="12" t="s">
        <v>151</v>
      </c>
      <c r="D51" s="14" t="n">
        <f aca="false">травень!P51</f>
        <v>3841.3</v>
      </c>
      <c r="E51" s="14" t="n">
        <f aca="false">травень!Q51</f>
        <v>0</v>
      </c>
      <c r="F51" s="13" t="n">
        <f aca="false">травень!F51</f>
        <v>0</v>
      </c>
      <c r="G51" s="13" t="n">
        <f aca="false">травень!G51</f>
        <v>49.8</v>
      </c>
      <c r="H51" s="13" t="n">
        <f aca="false">травень!H51</f>
        <v>0</v>
      </c>
      <c r="I51" s="13" t="n">
        <f aca="false">травень!I51</f>
        <v>4.1</v>
      </c>
      <c r="J51" s="14" t="n">
        <f aca="false">ROUND(G51*I51,2)</f>
        <v>204.18</v>
      </c>
      <c r="K51" s="14"/>
      <c r="L51" s="14"/>
      <c r="M51" s="14"/>
      <c r="N51" s="14" t="n">
        <f aca="false">ROUND((G51*I51)-K51-L51-M51,2)</f>
        <v>204.18</v>
      </c>
      <c r="O51" s="14"/>
      <c r="P51" s="14" t="n">
        <f aca="false">ROUND(IF(D51=0,IF((N51-E51-O51)&gt;0,(N51-E51-O51),0),IF((D51+N51-O51)&gt;0,(D51+N51-O51),0)),2)</f>
        <v>4045.48</v>
      </c>
      <c r="Q51" s="14" t="n">
        <f aca="false">ROUND(IF(E51=0,IF((D51+N51-O51)&lt;0,ABS(D51+N51-O51),0),IF((N51-E51-O51)&lt;0,ABS(N51-E51-O51),0)),2)</f>
        <v>0</v>
      </c>
    </row>
    <row r="52" customFormat="false" ht="15" hidden="false" customHeight="true" outlineLevel="0" collapsed="false">
      <c r="A52" s="12" t="s">
        <v>152</v>
      </c>
      <c r="B52" s="12" t="s">
        <v>153</v>
      </c>
      <c r="C52" s="12" t="s">
        <v>154</v>
      </c>
      <c r="D52" s="14" t="n">
        <f aca="false">травень!P52</f>
        <v>7076.42</v>
      </c>
      <c r="E52" s="14" t="n">
        <f aca="false">травень!Q52</f>
        <v>0</v>
      </c>
      <c r="F52" s="13" t="n">
        <f aca="false">травень!F52</f>
        <v>0</v>
      </c>
      <c r="G52" s="13" t="n">
        <f aca="false">травень!G52</f>
        <v>65.9</v>
      </c>
      <c r="H52" s="13" t="n">
        <f aca="false">травень!H52</f>
        <v>0</v>
      </c>
      <c r="I52" s="13" t="n">
        <f aca="false">травень!I52</f>
        <v>4.1</v>
      </c>
      <c r="J52" s="14" t="n">
        <f aca="false">ROUND(G52*I52,2)</f>
        <v>270.19</v>
      </c>
      <c r="K52" s="14"/>
      <c r="L52" s="14"/>
      <c r="M52" s="14"/>
      <c r="N52" s="14" t="n">
        <f aca="false">ROUND((G52*I52)-K52-L52-M52,2)</f>
        <v>270.19</v>
      </c>
      <c r="O52" s="14"/>
      <c r="P52" s="14" t="n">
        <f aca="false">ROUND(IF(D52=0,IF((N52-E52-O52)&gt;0,(N52-E52-O52),0),IF((D52+N52-O52)&gt;0,(D52+N52-O52),0)),2)</f>
        <v>7346.61</v>
      </c>
      <c r="Q52" s="14" t="n">
        <f aca="false">ROUND(IF(E52=0,IF((D52+N52-O52)&lt;0,ABS(D52+N52-O52),0),IF((N52-E52-O52)&lt;0,ABS(N52-E52-O52),0)),2)</f>
        <v>0</v>
      </c>
    </row>
    <row r="53" customFormat="false" ht="15" hidden="false" customHeight="true" outlineLevel="0" collapsed="false">
      <c r="A53" s="12" t="s">
        <v>155</v>
      </c>
      <c r="B53" s="12" t="s">
        <v>156</v>
      </c>
      <c r="C53" s="12" t="s">
        <v>157</v>
      </c>
      <c r="D53" s="14" t="n">
        <f aca="false">травень!P53</f>
        <v>1271</v>
      </c>
      <c r="E53" s="14" t="n">
        <f aca="false">травень!Q53</f>
        <v>0</v>
      </c>
      <c r="F53" s="13" t="n">
        <f aca="false">травень!F53</f>
        <v>0</v>
      </c>
      <c r="G53" s="13" t="n">
        <f aca="false">травень!G53</f>
        <v>62</v>
      </c>
      <c r="H53" s="13" t="n">
        <f aca="false">травень!H53</f>
        <v>0</v>
      </c>
      <c r="I53" s="13" t="n">
        <f aca="false">травень!I53</f>
        <v>4.1</v>
      </c>
      <c r="J53" s="14" t="n">
        <f aca="false">ROUND(G53*I53,2)</f>
        <v>254.2</v>
      </c>
      <c r="K53" s="14"/>
      <c r="L53" s="14"/>
      <c r="M53" s="14"/>
      <c r="N53" s="14" t="n">
        <f aca="false">ROUND((G53*I53)-K53-L53-M53,2)</f>
        <v>254.2</v>
      </c>
      <c r="O53" s="14"/>
      <c r="P53" s="14" t="n">
        <f aca="false">ROUND(IF(D53=0,IF((N53-E53-O53)&gt;0,(N53-E53-O53),0),IF((D53+N53-O53)&gt;0,(D53+N53-O53),0)),2)</f>
        <v>1525.2</v>
      </c>
      <c r="Q53" s="14" t="n">
        <f aca="false">ROUND(IF(E53=0,IF((D53+N53-O53)&lt;0,ABS(D53+N53-O53),0),IF((N53-E53-O53)&lt;0,ABS(N53-E53-O53),0)),2)</f>
        <v>0</v>
      </c>
    </row>
    <row r="54" customFormat="false" ht="15" hidden="false" customHeight="true" outlineLevel="0" collapsed="false">
      <c r="A54" s="12" t="s">
        <v>158</v>
      </c>
      <c r="B54" s="12" t="s">
        <v>159</v>
      </c>
      <c r="C54" s="12" t="s">
        <v>160</v>
      </c>
      <c r="D54" s="14" t="n">
        <f aca="false">травень!P54</f>
        <v>719.55</v>
      </c>
      <c r="E54" s="14" t="n">
        <f aca="false">травень!Q54</f>
        <v>0</v>
      </c>
      <c r="F54" s="13" t="n">
        <f aca="false">травень!F54</f>
        <v>0</v>
      </c>
      <c r="G54" s="13" t="n">
        <f aca="false">травень!G54</f>
        <v>35.1</v>
      </c>
      <c r="H54" s="13" t="n">
        <f aca="false">травень!H54</f>
        <v>0</v>
      </c>
      <c r="I54" s="13" t="n">
        <f aca="false">травень!I54</f>
        <v>4.1</v>
      </c>
      <c r="J54" s="14" t="n">
        <f aca="false">ROUND(G54*I54,2)</f>
        <v>143.91</v>
      </c>
      <c r="K54" s="14"/>
      <c r="L54" s="14"/>
      <c r="M54" s="14"/>
      <c r="N54" s="14" t="n">
        <f aca="false">ROUND((G54*I54)-K54-L54-M54,2)</f>
        <v>143.91</v>
      </c>
      <c r="O54" s="14"/>
      <c r="P54" s="14" t="n">
        <f aca="false">ROUND(IF(D54=0,IF((N54-E54-O54)&gt;0,(N54-E54-O54),0),IF((D54+N54-O54)&gt;0,(D54+N54-O54),0)),2)</f>
        <v>863.46</v>
      </c>
      <c r="Q54" s="14" t="n">
        <f aca="false">ROUND(IF(E54=0,IF((D54+N54-O54)&lt;0,ABS(D54+N54-O54),0),IF((N54-E54-O54)&lt;0,ABS(N54-E54-O54),0)),2)</f>
        <v>0</v>
      </c>
    </row>
    <row r="55" customFormat="false" ht="15" hidden="false" customHeight="true" outlineLevel="0" collapsed="false">
      <c r="A55" s="12" t="s">
        <v>161</v>
      </c>
      <c r="B55" s="12" t="s">
        <v>162</v>
      </c>
      <c r="C55" s="12" t="s">
        <v>163</v>
      </c>
      <c r="D55" s="14" t="n">
        <f aca="false">травень!P55</f>
        <v>1016.8</v>
      </c>
      <c r="E55" s="14" t="n">
        <f aca="false">травень!Q55</f>
        <v>0</v>
      </c>
      <c r="F55" s="13" t="n">
        <f aca="false">травень!F55</f>
        <v>0</v>
      </c>
      <c r="G55" s="13" t="n">
        <f aca="false">травень!G55</f>
        <v>49.6</v>
      </c>
      <c r="H55" s="13" t="n">
        <f aca="false">травень!H55</f>
        <v>0</v>
      </c>
      <c r="I55" s="13" t="n">
        <f aca="false">травень!I55</f>
        <v>4.1</v>
      </c>
      <c r="J55" s="14" t="n">
        <f aca="false">ROUND(G55*I55,2)</f>
        <v>203.36</v>
      </c>
      <c r="K55" s="14"/>
      <c r="L55" s="14"/>
      <c r="M55" s="14"/>
      <c r="N55" s="14" t="n">
        <f aca="false">ROUND((G55*I55)-K55-L55-M55,2)</f>
        <v>203.36</v>
      </c>
      <c r="O55" s="14"/>
      <c r="P55" s="14" t="n">
        <f aca="false">ROUND(IF(D55=0,IF((N55-E55-O55)&gt;0,(N55-E55-O55),0),IF((D55+N55-O55)&gt;0,(D55+N55-O55),0)),2)</f>
        <v>1220.16</v>
      </c>
      <c r="Q55" s="14" t="n">
        <f aca="false">ROUND(IF(E55=0,IF((D55+N55-O55)&lt;0,ABS(D55+N55-O55),0),IF((N55-E55-O55)&lt;0,ABS(N55-E55-O55),0)),2)</f>
        <v>0</v>
      </c>
    </row>
    <row r="56" customFormat="false" ht="15" hidden="false" customHeight="true" outlineLevel="0" collapsed="false">
      <c r="A56" s="12" t="s">
        <v>164</v>
      </c>
      <c r="B56" s="12" t="s">
        <v>165</v>
      </c>
      <c r="C56" s="12" t="s">
        <v>166</v>
      </c>
      <c r="D56" s="14" t="n">
        <f aca="false">травень!P56</f>
        <v>1362</v>
      </c>
      <c r="E56" s="14" t="n">
        <f aca="false">травень!Q56</f>
        <v>0</v>
      </c>
      <c r="F56" s="13" t="n">
        <f aca="false">травень!F56</f>
        <v>0</v>
      </c>
      <c r="G56" s="13" t="n">
        <f aca="false">травень!G56</f>
        <v>66.44</v>
      </c>
      <c r="H56" s="13" t="n">
        <f aca="false">травень!H56</f>
        <v>0</v>
      </c>
      <c r="I56" s="13" t="n">
        <f aca="false">травень!I56</f>
        <v>4.1</v>
      </c>
      <c r="J56" s="14" t="n">
        <f aca="false">ROUND(G56*I56,2)</f>
        <v>272.4</v>
      </c>
      <c r="K56" s="14"/>
      <c r="L56" s="14"/>
      <c r="M56" s="14"/>
      <c r="N56" s="14" t="n">
        <f aca="false">ROUND((G56*I56)-K56-L56-M56,2)</f>
        <v>272.4</v>
      </c>
      <c r="O56" s="14"/>
      <c r="P56" s="14" t="n">
        <f aca="false">ROUND(IF(D56=0,IF((N56-E56-O56)&gt;0,(N56-E56-O56),0),IF((D56+N56-O56)&gt;0,(D56+N56-O56),0)),2)</f>
        <v>1634.4</v>
      </c>
      <c r="Q56" s="14" t="n">
        <f aca="false">ROUND(IF(E56=0,IF((D56+N56-O56)&lt;0,ABS(D56+N56-O56),0),IF((N56-E56-O56)&lt;0,ABS(N56-E56-O56),0)),2)</f>
        <v>0</v>
      </c>
    </row>
    <row r="57" customFormat="false" ht="15" hidden="false" customHeight="true" outlineLevel="0" collapsed="false">
      <c r="A57" s="12" t="s">
        <v>167</v>
      </c>
      <c r="B57" s="12" t="s">
        <v>168</v>
      </c>
      <c r="C57" s="12" t="s">
        <v>169</v>
      </c>
      <c r="D57" s="14" t="n">
        <f aca="false">травень!P57</f>
        <v>1699.28</v>
      </c>
      <c r="E57" s="14" t="n">
        <f aca="false">травень!Q57</f>
        <v>0</v>
      </c>
      <c r="F57" s="13" t="n">
        <f aca="false">травень!F57</f>
        <v>0</v>
      </c>
      <c r="G57" s="13" t="n">
        <f aca="false">травень!G57</f>
        <v>62.1</v>
      </c>
      <c r="H57" s="13" t="n">
        <f aca="false">травень!H57</f>
        <v>0</v>
      </c>
      <c r="I57" s="13" t="n">
        <f aca="false">травень!I57</f>
        <v>4.1</v>
      </c>
      <c r="J57" s="14" t="n">
        <f aca="false">ROUND(G57*I57,2)</f>
        <v>254.61</v>
      </c>
      <c r="K57" s="14"/>
      <c r="L57" s="14"/>
      <c r="M57" s="14"/>
      <c r="N57" s="14" t="n">
        <f aca="false">ROUND((G57*I57)-K57-L57-M57,2)</f>
        <v>254.61</v>
      </c>
      <c r="O57" s="14"/>
      <c r="P57" s="14" t="n">
        <f aca="false">ROUND(IF(D57=0,IF((N57-E57-O57)&gt;0,(N57-E57-O57),0),IF((D57+N57-O57)&gt;0,(D57+N57-O57),0)),2)</f>
        <v>1953.89</v>
      </c>
      <c r="Q57" s="14" t="n">
        <f aca="false">ROUND(IF(E57=0,IF((D57+N57-O57)&lt;0,ABS(D57+N57-O57),0),IF((N57-E57-O57)&lt;0,ABS(N57-E57-O57),0)),2)</f>
        <v>0</v>
      </c>
    </row>
    <row r="58" customFormat="false" ht="15" hidden="false" customHeight="true" outlineLevel="0" collapsed="false">
      <c r="A58" s="12" t="s">
        <v>170</v>
      </c>
      <c r="B58" s="12" t="s">
        <v>171</v>
      </c>
      <c r="C58" s="12" t="s">
        <v>172</v>
      </c>
      <c r="D58" s="14" t="n">
        <f aca="false">травень!P58</f>
        <v>1928.45</v>
      </c>
      <c r="E58" s="14" t="n">
        <f aca="false">травень!Q58</f>
        <v>0</v>
      </c>
      <c r="F58" s="13" t="n">
        <f aca="false">травень!F58</f>
        <v>0</v>
      </c>
      <c r="G58" s="13" t="n">
        <f aca="false">травень!G58</f>
        <v>34.9</v>
      </c>
      <c r="H58" s="13" t="n">
        <f aca="false">травень!H58</f>
        <v>0</v>
      </c>
      <c r="I58" s="13" t="n">
        <f aca="false">травень!I58</f>
        <v>4.1</v>
      </c>
      <c r="J58" s="14" t="n">
        <f aca="false">ROUND(G58*I58,2)</f>
        <v>143.09</v>
      </c>
      <c r="K58" s="14"/>
      <c r="L58" s="14"/>
      <c r="M58" s="14"/>
      <c r="N58" s="14" t="n">
        <f aca="false">ROUND((G58*I58)-K58-L58-M58,2)</f>
        <v>143.09</v>
      </c>
      <c r="O58" s="14"/>
      <c r="P58" s="14" t="n">
        <f aca="false">ROUND(IF(D58=0,IF((N58-E58-O58)&gt;0,(N58-E58-O58),0),IF((D58+N58-O58)&gt;0,(D58+N58-O58),0)),2)</f>
        <v>2071.54</v>
      </c>
      <c r="Q58" s="14" t="n">
        <f aca="false">ROUND(IF(E58=0,IF((D58+N58-O58)&lt;0,ABS(D58+N58-O58),0),IF((N58-E58-O58)&lt;0,ABS(N58-E58-O58),0)),2)</f>
        <v>0</v>
      </c>
    </row>
    <row r="59" customFormat="false" ht="15" hidden="false" customHeight="true" outlineLevel="0" collapsed="false">
      <c r="A59" s="12" t="s">
        <v>173</v>
      </c>
      <c r="B59" s="12" t="s">
        <v>174</v>
      </c>
      <c r="C59" s="12" t="s">
        <v>175</v>
      </c>
      <c r="D59" s="14" t="n">
        <f aca="false">травень!P59</f>
        <v>4348.75</v>
      </c>
      <c r="E59" s="14" t="n">
        <f aca="false">травень!Q59</f>
        <v>0</v>
      </c>
      <c r="F59" s="13" t="n">
        <f aca="false">травень!F59</f>
        <v>0</v>
      </c>
      <c r="G59" s="13" t="n">
        <f aca="false">травень!G59</f>
        <v>49.22</v>
      </c>
      <c r="H59" s="13" t="n">
        <f aca="false">травень!H59</f>
        <v>0</v>
      </c>
      <c r="I59" s="13" t="n">
        <f aca="false">травень!I59</f>
        <v>4.1</v>
      </c>
      <c r="J59" s="14" t="n">
        <f aca="false">ROUND(G59*I59,2)</f>
        <v>201.8</v>
      </c>
      <c r="K59" s="14"/>
      <c r="L59" s="14"/>
      <c r="M59" s="14"/>
      <c r="N59" s="14" t="n">
        <f aca="false">ROUND((G59*I59)-K59-L59-M59,2)</f>
        <v>201.8</v>
      </c>
      <c r="O59" s="14"/>
      <c r="P59" s="14" t="n">
        <f aca="false">ROUND(IF(D59=0,IF((N59-E59-O59)&gt;0,(N59-E59-O59),0),IF((D59+N59-O59)&gt;0,(D59+N59-O59),0)),2)</f>
        <v>4550.55</v>
      </c>
      <c r="Q59" s="14" t="n">
        <f aca="false">ROUND(IF(E59=0,IF((D59+N59-O59)&lt;0,ABS(D59+N59-O59),0),IF((N59-E59-O59)&lt;0,ABS(N59-E59-O59),0)),2)</f>
        <v>0</v>
      </c>
    </row>
    <row r="60" customFormat="false" ht="15" hidden="false" customHeight="true" outlineLevel="0" collapsed="false">
      <c r="A60" s="12" t="s">
        <v>176</v>
      </c>
      <c r="B60" s="12" t="s">
        <v>177</v>
      </c>
      <c r="C60" s="12" t="s">
        <v>178</v>
      </c>
      <c r="D60" s="14" t="n">
        <f aca="false">травень!P60</f>
        <v>10211.86</v>
      </c>
      <c r="E60" s="14" t="n">
        <f aca="false">травень!Q60</f>
        <v>0</v>
      </c>
      <c r="F60" s="13" t="n">
        <f aca="false">травень!F60</f>
        <v>0</v>
      </c>
      <c r="G60" s="13" t="n">
        <f aca="false">травень!G60</f>
        <v>65.5</v>
      </c>
      <c r="H60" s="13" t="n">
        <f aca="false">травень!H60</f>
        <v>0</v>
      </c>
      <c r="I60" s="13" t="n">
        <f aca="false">травень!I60</f>
        <v>4.1</v>
      </c>
      <c r="J60" s="14" t="n">
        <f aca="false">ROUND(G60*I60,2)</f>
        <v>268.55</v>
      </c>
      <c r="K60" s="14"/>
      <c r="L60" s="14"/>
      <c r="M60" s="14"/>
      <c r="N60" s="14" t="n">
        <f aca="false">ROUND((G60*I60)-K60-L60-M60,2)</f>
        <v>268.55</v>
      </c>
      <c r="O60" s="14"/>
      <c r="P60" s="14" t="n">
        <f aca="false">ROUND(IF(D60=0,IF((N60-E60-O60)&gt;0,(N60-E60-O60),0),IF((D60+N60-O60)&gt;0,(D60+N60-O60),0)),2)</f>
        <v>10480.41</v>
      </c>
      <c r="Q60" s="14" t="n">
        <f aca="false">ROUND(IF(E60=0,IF((D60+N60-O60)&lt;0,ABS(D60+N60-O60),0),IF((N60-E60-O60)&lt;0,ABS(N60-E60-O60),0)),2)</f>
        <v>0</v>
      </c>
    </row>
    <row r="61" customFormat="false" ht="15" hidden="false" customHeight="true" outlineLevel="0" collapsed="false">
      <c r="A61" s="12" t="s">
        <v>179</v>
      </c>
      <c r="B61" s="12" t="s">
        <v>180</v>
      </c>
      <c r="C61" s="12" t="s">
        <v>181</v>
      </c>
      <c r="D61" s="14" t="n">
        <f aca="false">травень!P61</f>
        <v>638.1</v>
      </c>
      <c r="E61" s="14" t="n">
        <f aca="false">травень!Q61</f>
        <v>0</v>
      </c>
      <c r="F61" s="13" t="n">
        <f aca="false">травень!F61</f>
        <v>0</v>
      </c>
      <c r="G61" s="13" t="n">
        <f aca="false">травень!G61</f>
        <v>62.64</v>
      </c>
      <c r="H61" s="13" t="n">
        <f aca="false">травень!H61</f>
        <v>0</v>
      </c>
      <c r="I61" s="13" t="n">
        <f aca="false">травень!I61</f>
        <v>4.1</v>
      </c>
      <c r="J61" s="14" t="n">
        <f aca="false">ROUND(G61*I61,2)</f>
        <v>256.82</v>
      </c>
      <c r="K61" s="14"/>
      <c r="L61" s="14"/>
      <c r="M61" s="14"/>
      <c r="N61" s="14" t="n">
        <f aca="false">ROUND((G61*I61)-K61-L61-M61,2)</f>
        <v>256.82</v>
      </c>
      <c r="O61" s="14"/>
      <c r="P61" s="14" t="n">
        <f aca="false">ROUND(IF(D61=0,IF((N61-E61-O61)&gt;0,(N61-E61-O61),0),IF((D61+N61-O61)&gt;0,(D61+N61-O61),0)),2)</f>
        <v>894.92</v>
      </c>
      <c r="Q61" s="14" t="n">
        <f aca="false">ROUND(IF(E61=0,IF((D61+N61-O61)&lt;0,ABS(D61+N61-O61),0),IF((N61-E61-O61)&lt;0,ABS(N61-E61-O61),0)),2)</f>
        <v>0</v>
      </c>
    </row>
    <row r="62" customFormat="false" ht="15" hidden="false" customHeight="true" outlineLevel="0" collapsed="false">
      <c r="A62" s="12" t="s">
        <v>182</v>
      </c>
      <c r="B62" s="12" t="s">
        <v>183</v>
      </c>
      <c r="C62" s="12" t="s">
        <v>184</v>
      </c>
      <c r="D62" s="14" t="n">
        <f aca="false">травень!P62</f>
        <v>1728.08</v>
      </c>
      <c r="E62" s="14" t="n">
        <f aca="false">травень!Q62</f>
        <v>0</v>
      </c>
      <c r="F62" s="13" t="n">
        <f aca="false">травень!F62</f>
        <v>0</v>
      </c>
      <c r="G62" s="13" t="n">
        <f aca="false">травень!G62</f>
        <v>34.9</v>
      </c>
      <c r="H62" s="13" t="n">
        <f aca="false">травень!H62</f>
        <v>0</v>
      </c>
      <c r="I62" s="13" t="n">
        <f aca="false">травень!I62</f>
        <v>4.1</v>
      </c>
      <c r="J62" s="14" t="n">
        <f aca="false">ROUND(G62*I62,2)</f>
        <v>143.09</v>
      </c>
      <c r="K62" s="14"/>
      <c r="L62" s="14"/>
      <c r="M62" s="14"/>
      <c r="N62" s="14" t="n">
        <f aca="false">ROUND((G62*I62)-K62-L62-M62,2)</f>
        <v>143.09</v>
      </c>
      <c r="O62" s="14"/>
      <c r="P62" s="14" t="n">
        <f aca="false">ROUND(IF(D62=0,IF((N62-E62-O62)&gt;0,(N62-E62-O62),0),IF((D62+N62-O62)&gt;0,(D62+N62-O62),0)),2)</f>
        <v>1871.17</v>
      </c>
      <c r="Q62" s="14" t="n">
        <f aca="false">ROUND(IF(E62=0,IF((D62+N62-O62)&lt;0,ABS(D62+N62-O62),0),IF((N62-E62-O62)&lt;0,ABS(N62-E62-O62),0)),2)</f>
        <v>0</v>
      </c>
    </row>
    <row r="63" customFormat="false" ht="15" hidden="false" customHeight="true" outlineLevel="0" collapsed="false">
      <c r="A63" s="12" t="s">
        <v>185</v>
      </c>
      <c r="B63" s="12" t="s">
        <v>186</v>
      </c>
      <c r="C63" s="12" t="s">
        <v>187</v>
      </c>
      <c r="D63" s="14" t="n">
        <f aca="false">травень!P63</f>
        <v>1837.26</v>
      </c>
      <c r="E63" s="14" t="n">
        <f aca="false">травень!Q63</f>
        <v>0</v>
      </c>
      <c r="F63" s="13" t="n">
        <f aca="false">травень!F63</f>
        <v>0</v>
      </c>
      <c r="G63" s="13" t="n">
        <f aca="false">травень!G63</f>
        <v>49.79</v>
      </c>
      <c r="H63" s="13" t="n">
        <f aca="false">травень!H63</f>
        <v>0</v>
      </c>
      <c r="I63" s="13" t="n">
        <f aca="false">травень!I63</f>
        <v>4.1</v>
      </c>
      <c r="J63" s="14" t="n">
        <f aca="false">ROUND(G63*I63,2)</f>
        <v>204.14</v>
      </c>
      <c r="K63" s="14"/>
      <c r="L63" s="14"/>
      <c r="M63" s="14"/>
      <c r="N63" s="14" t="n">
        <f aca="false">ROUND((G63*I63)-K63-L63-M63,2)</f>
        <v>204.14</v>
      </c>
      <c r="O63" s="14"/>
      <c r="P63" s="14" t="n">
        <f aca="false">ROUND(IF(D63=0,IF((N63-E63-O63)&gt;0,(N63-E63-O63),0),IF((D63+N63-O63)&gt;0,(D63+N63-O63),0)),2)</f>
        <v>2041.4</v>
      </c>
      <c r="Q63" s="14" t="n">
        <f aca="false">ROUND(IF(E63=0,IF((D63+N63-O63)&lt;0,ABS(D63+N63-O63),0),IF((N63-E63-O63)&lt;0,ABS(N63-E63-O63),0)),2)</f>
        <v>0</v>
      </c>
    </row>
    <row r="64" customFormat="false" ht="15" hidden="false" customHeight="true" outlineLevel="0" collapsed="false">
      <c r="A64" s="12" t="s">
        <v>188</v>
      </c>
      <c r="B64" s="12" t="s">
        <v>189</v>
      </c>
      <c r="C64" s="12" t="s">
        <v>190</v>
      </c>
      <c r="D64" s="14" t="n">
        <f aca="false">травень!P64</f>
        <v>4811.76</v>
      </c>
      <c r="E64" s="14" t="n">
        <f aca="false">травень!Q64</f>
        <v>0</v>
      </c>
      <c r="F64" s="13" t="n">
        <f aca="false">травень!F64</f>
        <v>0</v>
      </c>
      <c r="G64" s="13" t="n">
        <f aca="false">травень!G64</f>
        <v>65.2</v>
      </c>
      <c r="H64" s="13" t="n">
        <f aca="false">травень!H64</f>
        <v>0</v>
      </c>
      <c r="I64" s="13" t="n">
        <f aca="false">травень!I64</f>
        <v>4.1</v>
      </c>
      <c r="J64" s="14" t="n">
        <f aca="false">ROUND(G64*I64,2)</f>
        <v>267.32</v>
      </c>
      <c r="K64" s="14"/>
      <c r="L64" s="14"/>
      <c r="M64" s="14"/>
      <c r="N64" s="14" t="n">
        <f aca="false">ROUND((G64*I64)-K64-L64-M64,2)</f>
        <v>267.32</v>
      </c>
      <c r="O64" s="14"/>
      <c r="P64" s="14" t="n">
        <f aca="false">ROUND(IF(D64=0,IF((N64-E64-O64)&gt;0,(N64-E64-O64),0),IF((D64+N64-O64)&gt;0,(D64+N64-O64),0)),2)</f>
        <v>5079.08</v>
      </c>
      <c r="Q64" s="14" t="n">
        <f aca="false">ROUND(IF(E64=0,IF((D64+N64-O64)&lt;0,ABS(D64+N64-O64),0),IF((N64-E64-O64)&lt;0,ABS(N64-E64-O64),0)),2)</f>
        <v>0</v>
      </c>
    </row>
    <row r="65" customFormat="false" ht="15" hidden="false" customHeight="true" outlineLevel="0" collapsed="false">
      <c r="A65" s="12" t="s">
        <v>191</v>
      </c>
      <c r="B65" s="12" t="s">
        <v>192</v>
      </c>
      <c r="C65" s="12" t="s">
        <v>193</v>
      </c>
      <c r="D65" s="14" t="n">
        <f aca="false">травень!P65</f>
        <v>11311.57</v>
      </c>
      <c r="E65" s="14" t="n">
        <f aca="false">травень!Q65</f>
        <v>0</v>
      </c>
      <c r="F65" s="13" t="n">
        <f aca="false">травень!F65</f>
        <v>0</v>
      </c>
      <c r="G65" s="13" t="n">
        <f aca="false">травень!G65</f>
        <v>61.88</v>
      </c>
      <c r="H65" s="13" t="n">
        <f aca="false">травень!H65</f>
        <v>0</v>
      </c>
      <c r="I65" s="13" t="n">
        <f aca="false">травень!I65</f>
        <v>4.1</v>
      </c>
      <c r="J65" s="14" t="n">
        <f aca="false">ROUND(G65*I65,2)</f>
        <v>253.71</v>
      </c>
      <c r="K65" s="14"/>
      <c r="L65" s="14"/>
      <c r="M65" s="14"/>
      <c r="N65" s="14" t="n">
        <f aca="false">ROUND((G65*I65)-K65-L65-M65,2)</f>
        <v>253.71</v>
      </c>
      <c r="O65" s="14"/>
      <c r="P65" s="14" t="n">
        <f aca="false">ROUND(IF(D65=0,IF((N65-E65-O65)&gt;0,(N65-E65-O65),0),IF((D65+N65-O65)&gt;0,(D65+N65-O65),0)),2)</f>
        <v>11565.28</v>
      </c>
      <c r="Q65" s="14" t="n">
        <f aca="false">ROUND(IF(E65=0,IF((D65+N65-O65)&lt;0,ABS(D65+N65-O65),0),IF((N65-E65-O65)&lt;0,ABS(N65-E65-O65),0)),2)</f>
        <v>0</v>
      </c>
    </row>
    <row r="66" customFormat="false" ht="15" hidden="false" customHeight="true" outlineLevel="0" collapsed="false">
      <c r="A66" s="12" t="s">
        <v>194</v>
      </c>
      <c r="B66" s="12" t="s">
        <v>195</v>
      </c>
      <c r="C66" s="12" t="s">
        <v>196</v>
      </c>
      <c r="D66" s="14" t="n">
        <f aca="false">травень!P66</f>
        <v>6301.41</v>
      </c>
      <c r="E66" s="14" t="n">
        <f aca="false">травень!Q66</f>
        <v>0</v>
      </c>
      <c r="F66" s="13" t="n">
        <f aca="false">травень!F66</f>
        <v>0</v>
      </c>
      <c r="G66" s="13" t="n">
        <f aca="false">травень!G66</f>
        <v>35</v>
      </c>
      <c r="H66" s="13" t="n">
        <f aca="false">травень!H66</f>
        <v>0</v>
      </c>
      <c r="I66" s="13" t="n">
        <f aca="false">травень!I66</f>
        <v>4.1</v>
      </c>
      <c r="J66" s="14" t="n">
        <f aca="false">ROUND(G66*I66,2)</f>
        <v>143.5</v>
      </c>
      <c r="K66" s="14"/>
      <c r="L66" s="14"/>
      <c r="M66" s="14"/>
      <c r="N66" s="14" t="n">
        <f aca="false">ROUND((G66*I66)-K66-L66-M66,2)</f>
        <v>143.5</v>
      </c>
      <c r="O66" s="14"/>
      <c r="P66" s="14" t="n">
        <f aca="false">ROUND(IF(D66=0,IF((N66-E66-O66)&gt;0,(N66-E66-O66),0),IF((D66+N66-O66)&gt;0,(D66+N66-O66),0)),2)</f>
        <v>6444.91</v>
      </c>
      <c r="Q66" s="14" t="n">
        <f aca="false">ROUND(IF(E66=0,IF((D66+N66-O66)&lt;0,ABS(D66+N66-O66),0),IF((N66-E66-O66)&lt;0,ABS(N66-E66-O66),0)),2)</f>
        <v>0</v>
      </c>
    </row>
    <row r="67" customFormat="false" ht="15" hidden="false" customHeight="true" outlineLevel="0" collapsed="false">
      <c r="A67" s="12" t="s">
        <v>197</v>
      </c>
      <c r="B67" s="12" t="s">
        <v>198</v>
      </c>
      <c r="C67" s="12" t="s">
        <v>199</v>
      </c>
      <c r="D67" s="14" t="n">
        <f aca="false">травень!P67</f>
        <v>3031.95</v>
      </c>
      <c r="E67" s="14" t="n">
        <f aca="false">травень!Q67</f>
        <v>0</v>
      </c>
      <c r="F67" s="13" t="n">
        <f aca="false">травень!F67</f>
        <v>0</v>
      </c>
      <c r="G67" s="13" t="n">
        <f aca="false">травень!G67</f>
        <v>49.3</v>
      </c>
      <c r="H67" s="13" t="n">
        <f aca="false">травень!H67</f>
        <v>0</v>
      </c>
      <c r="I67" s="13" t="n">
        <f aca="false">травень!I67</f>
        <v>4.1</v>
      </c>
      <c r="J67" s="14" t="n">
        <f aca="false">ROUND(G67*I67,2)</f>
        <v>202.13</v>
      </c>
      <c r="K67" s="14"/>
      <c r="L67" s="14"/>
      <c r="M67" s="14"/>
      <c r="N67" s="14" t="n">
        <f aca="false">ROUND((G67*I67)-K67-L67-M67,2)</f>
        <v>202.13</v>
      </c>
      <c r="O67" s="14"/>
      <c r="P67" s="14" t="n">
        <f aca="false">ROUND(IF(D67=0,IF((N67-E67-O67)&gt;0,(N67-E67-O67),0),IF((D67+N67-O67)&gt;0,(D67+N67-O67),0)),2)</f>
        <v>3234.08</v>
      </c>
      <c r="Q67" s="14" t="n">
        <f aca="false">ROUND(IF(E67=0,IF((D67+N67-O67)&lt;0,ABS(D67+N67-O67),0),IF((N67-E67-O67)&lt;0,ABS(N67-E67-O67),0)),2)</f>
        <v>0</v>
      </c>
    </row>
    <row r="68" customFormat="false" ht="15" hidden="false" customHeight="true" outlineLevel="0" collapsed="false">
      <c r="A68" s="12" t="s">
        <v>200</v>
      </c>
      <c r="B68" s="12" t="s">
        <v>201</v>
      </c>
      <c r="C68" s="12" t="s">
        <v>202</v>
      </c>
      <c r="D68" s="14" t="n">
        <f aca="false">травень!P68</f>
        <v>1365.3</v>
      </c>
      <c r="E68" s="14" t="n">
        <f aca="false">травень!Q68</f>
        <v>0</v>
      </c>
      <c r="F68" s="13" t="n">
        <f aca="false">травень!F68</f>
        <v>0</v>
      </c>
      <c r="G68" s="13" t="n">
        <f aca="false">травень!G68</f>
        <v>66.6</v>
      </c>
      <c r="H68" s="13" t="n">
        <f aca="false">травень!H68</f>
        <v>0</v>
      </c>
      <c r="I68" s="13" t="n">
        <f aca="false">травень!I68</f>
        <v>4.1</v>
      </c>
      <c r="J68" s="14" t="n">
        <f aca="false">ROUND(G68*I68,2)</f>
        <v>273.06</v>
      </c>
      <c r="K68" s="14"/>
      <c r="L68" s="14"/>
      <c r="M68" s="14"/>
      <c r="N68" s="14" t="n">
        <f aca="false">ROUND((G68*I68)-K68-L68-M68,2)</f>
        <v>273.06</v>
      </c>
      <c r="O68" s="14"/>
      <c r="P68" s="14" t="n">
        <f aca="false">ROUND(IF(D68=0,IF((N68-E68-O68)&gt;0,(N68-E68-O68),0),IF((D68+N68-O68)&gt;0,(D68+N68-O68),0)),2)</f>
        <v>1638.36</v>
      </c>
      <c r="Q68" s="14" t="n">
        <f aca="false">ROUND(IF(E68=0,IF((D68+N68-O68)&lt;0,ABS(D68+N68-O68),0),IF((N68-E68-O68)&lt;0,ABS(N68-E68-O68),0)),2)</f>
        <v>0</v>
      </c>
    </row>
    <row r="69" customFormat="false" ht="15" hidden="false" customHeight="true" outlineLevel="0" collapsed="false">
      <c r="A69" s="12" t="s">
        <v>203</v>
      </c>
      <c r="B69" s="12" t="s">
        <v>204</v>
      </c>
      <c r="C69" s="12" t="s">
        <v>205</v>
      </c>
      <c r="D69" s="14" t="n">
        <f aca="false">травень!P69</f>
        <v>2682.79</v>
      </c>
      <c r="E69" s="14" t="n">
        <f aca="false">травень!Q69</f>
        <v>0</v>
      </c>
      <c r="F69" s="13" t="n">
        <f aca="false">травень!F69</f>
        <v>0</v>
      </c>
      <c r="G69" s="13" t="n">
        <f aca="false">травень!G69</f>
        <v>61.88</v>
      </c>
      <c r="H69" s="13" t="n">
        <f aca="false">травень!H69</f>
        <v>0</v>
      </c>
      <c r="I69" s="13" t="n">
        <f aca="false">травень!I69</f>
        <v>4.1</v>
      </c>
      <c r="J69" s="14" t="n">
        <f aca="false">ROUND(G69*I69,2)</f>
        <v>253.71</v>
      </c>
      <c r="K69" s="14"/>
      <c r="L69" s="14"/>
      <c r="M69" s="14"/>
      <c r="N69" s="14" t="n">
        <f aca="false">ROUND((G69*I69)-K69-L69-M69,2)</f>
        <v>253.71</v>
      </c>
      <c r="O69" s="14"/>
      <c r="P69" s="14" t="n">
        <f aca="false">ROUND(IF(D69=0,IF((N69-E69-O69)&gt;0,(N69-E69-O69),0),IF((D69+N69-O69)&gt;0,(D69+N69-O69),0)),2)</f>
        <v>2936.5</v>
      </c>
      <c r="Q69" s="14" t="n">
        <f aca="false">ROUND(IF(E69=0,IF((D69+N69-O69)&lt;0,ABS(D69+N69-O69),0),IF((N69-E69-O69)&lt;0,ABS(N69-E69-O69),0)),2)</f>
        <v>0</v>
      </c>
    </row>
    <row r="70" customFormat="false" ht="15" hidden="false" customHeight="true" outlineLevel="0" collapsed="false">
      <c r="A70" s="12" t="s">
        <v>206</v>
      </c>
      <c r="B70" s="12" t="s">
        <v>207</v>
      </c>
      <c r="C70" s="12" t="s">
        <v>208</v>
      </c>
      <c r="D70" s="14" t="n">
        <f aca="false">травень!P70</f>
        <v>1720.08</v>
      </c>
      <c r="E70" s="14" t="n">
        <f aca="false">травень!Q70</f>
        <v>0</v>
      </c>
      <c r="F70" s="13" t="n">
        <f aca="false">травень!F70</f>
        <v>0</v>
      </c>
      <c r="G70" s="13" t="n">
        <f aca="false">травень!G70</f>
        <v>34.96</v>
      </c>
      <c r="H70" s="13" t="n">
        <f aca="false">травень!H70</f>
        <v>0</v>
      </c>
      <c r="I70" s="13" t="n">
        <f aca="false">травень!I70</f>
        <v>4.1</v>
      </c>
      <c r="J70" s="14" t="n">
        <f aca="false">ROUND(G70*I70,2)</f>
        <v>143.34</v>
      </c>
      <c r="K70" s="14"/>
      <c r="L70" s="14"/>
      <c r="M70" s="14"/>
      <c r="N70" s="14" t="n">
        <f aca="false">ROUND((G70*I70)-K70-L70-M70,2)</f>
        <v>143.34</v>
      </c>
      <c r="O70" s="14"/>
      <c r="P70" s="14" t="n">
        <f aca="false">ROUND(IF(D70=0,IF((N70-E70-O70)&gt;0,(N70-E70-O70),0),IF((D70+N70-O70)&gt;0,(D70+N70-O70),0)),2)</f>
        <v>1863.42</v>
      </c>
      <c r="Q70" s="14" t="n">
        <f aca="false">ROUND(IF(E70=0,IF((D70+N70-O70)&lt;0,ABS(D70+N70-O70),0),IF((N70-E70-O70)&lt;0,ABS(N70-E70-O70),0)),2)</f>
        <v>0</v>
      </c>
    </row>
    <row r="71" customFormat="false" ht="15" hidden="false" customHeight="true" outlineLevel="0" collapsed="false">
      <c r="A71" s="12" t="s">
        <v>209</v>
      </c>
      <c r="B71" s="12" t="s">
        <v>210</v>
      </c>
      <c r="C71" s="12" t="s">
        <v>211</v>
      </c>
      <c r="D71" s="14" t="n">
        <f aca="false">травень!P71</f>
        <v>820.48</v>
      </c>
      <c r="E71" s="14" t="n">
        <f aca="false">травень!Q71</f>
        <v>0</v>
      </c>
      <c r="F71" s="13" t="n">
        <f aca="false">травень!F71</f>
        <v>0</v>
      </c>
      <c r="G71" s="13" t="n">
        <f aca="false">травень!G71</f>
        <v>50.03</v>
      </c>
      <c r="H71" s="13" t="n">
        <f aca="false">травень!H71</f>
        <v>0</v>
      </c>
      <c r="I71" s="13" t="n">
        <f aca="false">травень!I71</f>
        <v>4.1</v>
      </c>
      <c r="J71" s="14" t="n">
        <f aca="false">ROUND(G71*I71,2)</f>
        <v>205.12</v>
      </c>
      <c r="K71" s="14"/>
      <c r="L71" s="14"/>
      <c r="M71" s="14"/>
      <c r="N71" s="14" t="n">
        <f aca="false">ROUND((G71*I71)-K71-L71-M71,2)</f>
        <v>205.12</v>
      </c>
      <c r="O71" s="14"/>
      <c r="P71" s="14" t="n">
        <f aca="false">ROUND(IF(D71=0,IF((N71-E71-O71)&gt;0,(N71-E71-O71),0),IF((D71+N71-O71)&gt;0,(D71+N71-O71),0)),2)</f>
        <v>1025.6</v>
      </c>
      <c r="Q71" s="14" t="n">
        <f aca="false">ROUND(IF(E71=0,IF((D71+N71-O71)&lt;0,ABS(D71+N71-O71),0),IF((N71-E71-O71)&lt;0,ABS(N71-E71-O71),0)),2)</f>
        <v>0</v>
      </c>
    </row>
    <row r="72" customFormat="false" ht="15" hidden="false" customHeight="true" outlineLevel="0" collapsed="false">
      <c r="A72" s="12" t="s">
        <v>212</v>
      </c>
      <c r="B72" s="12" t="s">
        <v>213</v>
      </c>
      <c r="C72" s="12" t="s">
        <v>214</v>
      </c>
      <c r="D72" s="14" t="n">
        <f aca="false">травень!P72</f>
        <v>13860.57</v>
      </c>
      <c r="E72" s="14" t="n">
        <f aca="false">травень!Q72</f>
        <v>0</v>
      </c>
      <c r="F72" s="13" t="n">
        <f aca="false">травень!F72</f>
        <v>0</v>
      </c>
      <c r="G72" s="13" t="n">
        <f aca="false">травень!G72</f>
        <v>65.15</v>
      </c>
      <c r="H72" s="13" t="n">
        <f aca="false">травень!H72</f>
        <v>0</v>
      </c>
      <c r="I72" s="13" t="n">
        <f aca="false">травень!I72</f>
        <v>4.1</v>
      </c>
      <c r="J72" s="14" t="n">
        <f aca="false">ROUND(G72*I72,2)</f>
        <v>267.12</v>
      </c>
      <c r="K72" s="14"/>
      <c r="L72" s="14"/>
      <c r="M72" s="14"/>
      <c r="N72" s="14" t="n">
        <f aca="false">ROUND((G72*I72)-K72-L72-M72,2)</f>
        <v>267.12</v>
      </c>
      <c r="O72" s="14"/>
      <c r="P72" s="14" t="n">
        <f aca="false">ROUND(IF(D72=0,IF((N72-E72-O72)&gt;0,(N72-E72-O72),0),IF((D72+N72-O72)&gt;0,(D72+N72-O72),0)),2)</f>
        <v>14127.69</v>
      </c>
      <c r="Q72" s="14" t="n">
        <f aca="false">ROUND(IF(E72=0,IF((D72+N72-O72)&lt;0,ABS(D72+N72-O72),0),IF((N72-E72-O72)&lt;0,ABS(N72-E72-O72),0)),2)</f>
        <v>0</v>
      </c>
    </row>
    <row r="73" customFormat="false" ht="15" hidden="false" customHeight="true" outlineLevel="0" collapsed="false">
      <c r="A73" s="12" t="s">
        <v>215</v>
      </c>
      <c r="B73" s="12" t="s">
        <v>216</v>
      </c>
      <c r="C73" s="12" t="s">
        <v>217</v>
      </c>
      <c r="D73" s="14" t="n">
        <f aca="false">травень!P73</f>
        <v>2847.87</v>
      </c>
      <c r="E73" s="14" t="n">
        <f aca="false">травень!Q73</f>
        <v>0</v>
      </c>
      <c r="F73" s="13" t="n">
        <f aca="false">травень!F73</f>
        <v>0</v>
      </c>
      <c r="G73" s="13" t="n">
        <f aca="false">травень!G73</f>
        <v>63.41</v>
      </c>
      <c r="H73" s="13" t="n">
        <f aca="false">травень!H73</f>
        <v>0</v>
      </c>
      <c r="I73" s="13" t="n">
        <f aca="false">травень!I73</f>
        <v>4.1</v>
      </c>
      <c r="J73" s="14" t="n">
        <f aca="false">ROUND(G73*I73,2)</f>
        <v>259.98</v>
      </c>
      <c r="K73" s="14"/>
      <c r="L73" s="14"/>
      <c r="M73" s="14"/>
      <c r="N73" s="14" t="n">
        <f aca="false">ROUND((G73*I73)-K73-L73-M73,2)</f>
        <v>259.98</v>
      </c>
      <c r="O73" s="14"/>
      <c r="P73" s="14" t="n">
        <f aca="false">ROUND(IF(D73=0,IF((N73-E73-O73)&gt;0,(N73-E73-O73),0),IF((D73+N73-O73)&gt;0,(D73+N73-O73),0)),2)</f>
        <v>3107.85</v>
      </c>
      <c r="Q73" s="14" t="n">
        <f aca="false">ROUND(IF(E73=0,IF((D73+N73-O73)&lt;0,ABS(D73+N73-O73),0),IF((N73-E73-O73)&lt;0,ABS(N73-E73-O73),0)),2)</f>
        <v>0</v>
      </c>
    </row>
    <row r="74" customFormat="false" ht="15" hidden="false" customHeight="true" outlineLevel="0" collapsed="false">
      <c r="A74" s="12" t="s">
        <v>218</v>
      </c>
      <c r="B74" s="12" t="s">
        <v>219</v>
      </c>
      <c r="C74" s="12" t="s">
        <v>220</v>
      </c>
      <c r="D74" s="14" t="n">
        <f aca="false">травень!P74</f>
        <v>675.64</v>
      </c>
      <c r="E74" s="14" t="n">
        <f aca="false">травень!Q74</f>
        <v>0</v>
      </c>
      <c r="F74" s="13" t="n">
        <f aca="false">травень!F74</f>
        <v>0</v>
      </c>
      <c r="G74" s="13" t="n">
        <f aca="false">травень!G74</f>
        <v>35.19</v>
      </c>
      <c r="H74" s="13" t="n">
        <f aca="false">травень!H74</f>
        <v>0</v>
      </c>
      <c r="I74" s="13" t="n">
        <f aca="false">травень!I74</f>
        <v>4.1</v>
      </c>
      <c r="J74" s="14" t="n">
        <f aca="false">ROUND(G74*I74,2)</f>
        <v>144.28</v>
      </c>
      <c r="K74" s="14"/>
      <c r="L74" s="14"/>
      <c r="M74" s="14"/>
      <c r="N74" s="14" t="n">
        <f aca="false">ROUND((G74*I74)-K74-L74-M74,2)</f>
        <v>144.28</v>
      </c>
      <c r="O74" s="14"/>
      <c r="P74" s="14" t="n">
        <f aca="false">ROUND(IF(D74=0,IF((N74-E74-O74)&gt;0,(N74-E74-O74),0),IF((D74+N74-O74)&gt;0,(D74+N74-O74),0)),2)</f>
        <v>819.92</v>
      </c>
      <c r="Q74" s="14" t="n">
        <f aca="false">ROUND(IF(E74=0,IF((D74+N74-O74)&lt;0,ABS(D74+N74-O74),0),IF((N74-E74-O74)&lt;0,ABS(N74-E74-O74),0)),2)</f>
        <v>0</v>
      </c>
    </row>
    <row r="75" customFormat="false" ht="15" hidden="false" customHeight="true" outlineLevel="0" collapsed="false">
      <c r="A75" s="12" t="s">
        <v>221</v>
      </c>
      <c r="B75" s="12" t="s">
        <v>222</v>
      </c>
      <c r="C75" s="12" t="s">
        <v>223</v>
      </c>
      <c r="D75" s="14" t="n">
        <f aca="false">травень!P75</f>
        <v>10903.82</v>
      </c>
      <c r="E75" s="14" t="n">
        <f aca="false">травень!Q75</f>
        <v>0</v>
      </c>
      <c r="F75" s="13" t="n">
        <f aca="false">травень!F75</f>
        <v>0</v>
      </c>
      <c r="G75" s="13" t="n">
        <f aca="false">травень!G75</f>
        <v>49.89</v>
      </c>
      <c r="H75" s="13" t="n">
        <f aca="false">травень!H75</f>
        <v>0</v>
      </c>
      <c r="I75" s="13" t="n">
        <f aca="false">травень!I75</f>
        <v>4.1</v>
      </c>
      <c r="J75" s="14" t="n">
        <f aca="false">ROUND(G75*I75,2)</f>
        <v>204.55</v>
      </c>
      <c r="K75" s="14"/>
      <c r="L75" s="14"/>
      <c r="M75" s="14"/>
      <c r="N75" s="14" t="n">
        <f aca="false">ROUND((G75*I75)-K75-L75-M75,2)</f>
        <v>204.55</v>
      </c>
      <c r="O75" s="14"/>
      <c r="P75" s="14" t="n">
        <f aca="false">ROUND(IF(D75=0,IF((N75-E75-O75)&gt;0,(N75-E75-O75),0),IF((D75+N75-O75)&gt;0,(D75+N75-O75),0)),2)</f>
        <v>11108.37</v>
      </c>
      <c r="Q75" s="14" t="n">
        <f aca="false">ROUND(IF(E75=0,IF((D75+N75-O75)&lt;0,ABS(D75+N75-O75),0),IF((N75-E75-O75)&lt;0,ABS(N75-E75-O75),0)),2)</f>
        <v>0</v>
      </c>
    </row>
    <row r="76" customFormat="false" ht="15" hidden="false" customHeight="true" outlineLevel="0" collapsed="false">
      <c r="A76" s="12" t="s">
        <v>224</v>
      </c>
      <c r="B76" s="12" t="s">
        <v>225</v>
      </c>
      <c r="C76" s="12" t="s">
        <v>226</v>
      </c>
      <c r="D76" s="14" t="n">
        <f aca="false">травень!P76</f>
        <v>2399.58</v>
      </c>
      <c r="E76" s="14" t="n">
        <f aca="false">травень!Q76</f>
        <v>0</v>
      </c>
      <c r="F76" s="13" t="n">
        <f aca="false">травень!F76</f>
        <v>0</v>
      </c>
      <c r="G76" s="13" t="n">
        <f aca="false">травень!G76</f>
        <v>65.03</v>
      </c>
      <c r="H76" s="13" t="n">
        <f aca="false">травень!H76</f>
        <v>0</v>
      </c>
      <c r="I76" s="13" t="n">
        <f aca="false">травень!I76</f>
        <v>4.1</v>
      </c>
      <c r="J76" s="14" t="n">
        <f aca="false">ROUND(G76*I76,2)</f>
        <v>266.62</v>
      </c>
      <c r="K76" s="14"/>
      <c r="L76" s="14"/>
      <c r="M76" s="14"/>
      <c r="N76" s="14" t="n">
        <f aca="false">ROUND((G76*I76)-K76-L76-M76,2)</f>
        <v>266.62</v>
      </c>
      <c r="O76" s="14"/>
      <c r="P76" s="14" t="n">
        <f aca="false">ROUND(IF(D76=0,IF((N76-E76-O76)&gt;0,(N76-E76-O76),0),IF((D76+N76-O76)&gt;0,(D76+N76-O76),0)),2)</f>
        <v>2666.2</v>
      </c>
      <c r="Q76" s="14" t="n">
        <f aca="false">ROUND(IF(E76=0,IF((D76+N76-O76)&lt;0,ABS(D76+N76-O76),0),IF((N76-E76-O76)&lt;0,ABS(N76-E76-O76),0)),2)</f>
        <v>0</v>
      </c>
    </row>
    <row r="77" customFormat="false" ht="15" hidden="false" customHeight="true" outlineLevel="0" collapsed="false">
      <c r="A77" s="12" t="s">
        <v>227</v>
      </c>
      <c r="B77" s="12" t="s">
        <v>228</v>
      </c>
      <c r="C77" s="12" t="s">
        <v>229</v>
      </c>
      <c r="D77" s="14" t="n">
        <f aca="false">травень!P77</f>
        <v>1102.55</v>
      </c>
      <c r="E77" s="14" t="n">
        <f aca="false">травень!Q77</f>
        <v>0</v>
      </c>
      <c r="F77" s="13" t="n">
        <f aca="false">травень!F77</f>
        <v>0</v>
      </c>
      <c r="G77" s="13" t="n">
        <f aca="false">травень!G77</f>
        <v>62.11</v>
      </c>
      <c r="H77" s="13" t="n">
        <f aca="false">травень!H77</f>
        <v>0</v>
      </c>
      <c r="I77" s="13" t="n">
        <f aca="false">травень!I77</f>
        <v>4.1</v>
      </c>
      <c r="J77" s="14" t="n">
        <f aca="false">ROUND(G77*I77,2)</f>
        <v>254.65</v>
      </c>
      <c r="K77" s="14"/>
      <c r="L77" s="14"/>
      <c r="M77" s="14"/>
      <c r="N77" s="14" t="n">
        <f aca="false">ROUND((G77*I77)-K77-L77-M77,2)</f>
        <v>254.65</v>
      </c>
      <c r="O77" s="14"/>
      <c r="P77" s="14" t="n">
        <f aca="false">ROUND(IF(D77=0,IF((N77-E77-O77)&gt;0,(N77-E77-O77),0),IF((D77+N77-O77)&gt;0,(D77+N77-O77),0)),2)</f>
        <v>1357.2</v>
      </c>
      <c r="Q77" s="14" t="n">
        <f aca="false">ROUND(IF(E77=0,IF((D77+N77-O77)&lt;0,ABS(D77+N77-O77),0),IF((N77-E77-O77)&lt;0,ABS(N77-E77-O77),0)),2)</f>
        <v>0</v>
      </c>
    </row>
    <row r="78" customFormat="false" ht="15" hidden="false" customHeight="true" outlineLevel="0" collapsed="false">
      <c r="A78" s="12" t="s">
        <v>230</v>
      </c>
      <c r="B78" s="12" t="s">
        <v>231</v>
      </c>
      <c r="C78" s="12" t="s">
        <v>232</v>
      </c>
      <c r="D78" s="14" t="n">
        <f aca="false">травень!P78</f>
        <v>6905.44</v>
      </c>
      <c r="E78" s="14" t="n">
        <f aca="false">травень!Q78</f>
        <v>0</v>
      </c>
      <c r="F78" s="13" t="n">
        <f aca="false">травень!F78</f>
        <v>0</v>
      </c>
      <c r="G78" s="13" t="n">
        <f aca="false">травень!G78</f>
        <v>34.9</v>
      </c>
      <c r="H78" s="13" t="n">
        <f aca="false">травень!H78</f>
        <v>0</v>
      </c>
      <c r="I78" s="13" t="n">
        <f aca="false">травень!I78</f>
        <v>4.1</v>
      </c>
      <c r="J78" s="14" t="n">
        <f aca="false">ROUND(G78*I78,2)</f>
        <v>143.09</v>
      </c>
      <c r="K78" s="14"/>
      <c r="L78" s="14"/>
      <c r="M78" s="14"/>
      <c r="N78" s="14" t="n">
        <f aca="false">ROUND((G78*I78)-K78-L78-M78,2)</f>
        <v>143.09</v>
      </c>
      <c r="O78" s="14"/>
      <c r="P78" s="14" t="n">
        <f aca="false">ROUND(IF(D78=0,IF((N78-E78-O78)&gt;0,(N78-E78-O78),0),IF((D78+N78-O78)&gt;0,(D78+N78-O78),0)),2)</f>
        <v>7048.53</v>
      </c>
      <c r="Q78" s="14" t="n">
        <f aca="false">ROUND(IF(E78=0,IF((D78+N78-O78)&lt;0,ABS(D78+N78-O78),0),IF((N78-E78-O78)&lt;0,ABS(N78-E78-O78),0)),2)</f>
        <v>0</v>
      </c>
    </row>
    <row r="79" customFormat="false" ht="15" hidden="false" customHeight="true" outlineLevel="0" collapsed="false">
      <c r="A79" s="12" t="s">
        <v>233</v>
      </c>
      <c r="B79" s="12" t="s">
        <v>234</v>
      </c>
      <c r="C79" s="12" t="s">
        <v>235</v>
      </c>
      <c r="D79" s="14" t="n">
        <f aca="false">травень!P79</f>
        <v>1008.6</v>
      </c>
      <c r="E79" s="14" t="n">
        <f aca="false">травень!Q79</f>
        <v>0</v>
      </c>
      <c r="F79" s="13" t="n">
        <f aca="false">травень!F79</f>
        <v>0</v>
      </c>
      <c r="G79" s="13" t="n">
        <f aca="false">травень!G79</f>
        <v>49.2</v>
      </c>
      <c r="H79" s="13" t="n">
        <f aca="false">травень!H79</f>
        <v>0</v>
      </c>
      <c r="I79" s="13" t="n">
        <f aca="false">травень!I79</f>
        <v>4.1</v>
      </c>
      <c r="J79" s="14" t="n">
        <f aca="false">ROUND(G79*I79,2)</f>
        <v>201.72</v>
      </c>
      <c r="K79" s="14"/>
      <c r="L79" s="14"/>
      <c r="M79" s="14"/>
      <c r="N79" s="14" t="n">
        <f aca="false">ROUND((G79*I79)-K79-L79-M79,2)</f>
        <v>201.72</v>
      </c>
      <c r="O79" s="14"/>
      <c r="P79" s="14" t="n">
        <f aca="false">ROUND(IF(D79=0,IF((N79-E79-O79)&gt;0,(N79-E79-O79),0),IF((D79+N79-O79)&gt;0,(D79+N79-O79),0)),2)</f>
        <v>1210.32</v>
      </c>
      <c r="Q79" s="14" t="n">
        <f aca="false">ROUND(IF(E79=0,IF((D79+N79-O79)&lt;0,ABS(D79+N79-O79),0),IF((N79-E79-O79)&lt;0,ABS(N79-E79-O79),0)),2)</f>
        <v>0</v>
      </c>
    </row>
    <row r="80" customFormat="false" ht="15" hidden="false" customHeight="true" outlineLevel="0" collapsed="false">
      <c r="A80" s="12" t="s">
        <v>236</v>
      </c>
      <c r="B80" s="12" t="s">
        <v>237</v>
      </c>
      <c r="C80" s="12" t="s">
        <v>238</v>
      </c>
      <c r="D80" s="14" t="n">
        <f aca="false">травень!P80</f>
        <v>1609.56</v>
      </c>
      <c r="E80" s="14" t="n">
        <f aca="false">травень!Q80</f>
        <v>0</v>
      </c>
      <c r="F80" s="13" t="n">
        <f aca="false">травень!F80</f>
        <v>0</v>
      </c>
      <c r="G80" s="13" t="n">
        <f aca="false">травень!G80</f>
        <v>65.43</v>
      </c>
      <c r="H80" s="13" t="n">
        <f aca="false">травень!H80</f>
        <v>0</v>
      </c>
      <c r="I80" s="13" t="n">
        <f aca="false">травень!I80</f>
        <v>4.1</v>
      </c>
      <c r="J80" s="14" t="n">
        <f aca="false">ROUND(G80*I80,2)</f>
        <v>268.26</v>
      </c>
      <c r="K80" s="14"/>
      <c r="L80" s="14"/>
      <c r="M80" s="14"/>
      <c r="N80" s="14" t="n">
        <f aca="false">ROUND((G80*I80)-K80-L80-M80,2)</f>
        <v>268.26</v>
      </c>
      <c r="O80" s="14"/>
      <c r="P80" s="14" t="n">
        <f aca="false">ROUND(IF(D80=0,IF((N80-E80-O80)&gt;0,(N80-E80-O80),0),IF((D80+N80-O80)&gt;0,(D80+N80-O80),0)),2)</f>
        <v>1877.82</v>
      </c>
      <c r="Q80" s="14" t="n">
        <f aca="false">ROUND(IF(E80=0,IF((D80+N80-O80)&lt;0,ABS(D80+N80-O80),0),IF((N80-E80-O80)&lt;0,ABS(N80-E80-O80),0)),2)</f>
        <v>0</v>
      </c>
    </row>
    <row r="81" customFormat="false" ht="15" hidden="false" customHeight="true" outlineLevel="0" collapsed="false">
      <c r="A81" s="12" t="s">
        <v>239</v>
      </c>
      <c r="B81" s="12" t="s">
        <v>240</v>
      </c>
      <c r="C81" s="12" t="s">
        <v>241</v>
      </c>
      <c r="D81" s="14" t="n">
        <f aca="false">травень!P81</f>
        <v>2334.55</v>
      </c>
      <c r="E81" s="14" t="n">
        <f aca="false">травень!Q81</f>
        <v>0</v>
      </c>
      <c r="F81" s="13" t="n">
        <f aca="false">травень!F81</f>
        <v>0</v>
      </c>
      <c r="G81" s="13" t="n">
        <f aca="false">травень!G81</f>
        <v>64.5</v>
      </c>
      <c r="H81" s="13" t="n">
        <f aca="false">травень!H81</f>
        <v>0</v>
      </c>
      <c r="I81" s="13" t="n">
        <f aca="false">травень!I81</f>
        <v>4.1</v>
      </c>
      <c r="J81" s="14" t="n">
        <f aca="false">ROUND(G81*I81,2)</f>
        <v>264.45</v>
      </c>
      <c r="K81" s="14"/>
      <c r="L81" s="14"/>
      <c r="M81" s="14"/>
      <c r="N81" s="14" t="n">
        <f aca="false">ROUND((G81*I81)-K81-L81-M81,2)</f>
        <v>264.45</v>
      </c>
      <c r="O81" s="14"/>
      <c r="P81" s="14" t="n">
        <f aca="false">ROUND(IF(D81=0,IF((N81-E81-O81)&gt;0,(N81-E81-O81),0),IF((D81+N81-O81)&gt;0,(D81+N81-O81),0)),2)</f>
        <v>2599</v>
      </c>
      <c r="Q81" s="14" t="n">
        <f aca="false">ROUND(IF(E81=0,IF((D81+N81-O81)&lt;0,ABS(D81+N81-O81),0),IF((N81-E81-O81)&lt;0,ABS(N81-E81-O81),0)),2)</f>
        <v>0</v>
      </c>
    </row>
    <row r="82" customFormat="false" ht="15" hidden="false" customHeight="true" outlineLevel="0" collapsed="false">
      <c r="A82" s="12" t="s">
        <v>242</v>
      </c>
      <c r="B82" s="12" t="s">
        <v>243</v>
      </c>
      <c r="C82" s="12" t="s">
        <v>244</v>
      </c>
      <c r="D82" s="14" t="n">
        <f aca="false">травень!P82</f>
        <v>1038.48</v>
      </c>
      <c r="E82" s="14" t="n">
        <f aca="false">травень!Q82</f>
        <v>0</v>
      </c>
      <c r="F82" s="13" t="n">
        <f aca="false">травень!F82</f>
        <v>0</v>
      </c>
      <c r="G82" s="13" t="n">
        <f aca="false">травень!G82</f>
        <v>50.8</v>
      </c>
      <c r="H82" s="13" t="n">
        <f aca="false">травень!H82</f>
        <v>0</v>
      </c>
      <c r="I82" s="13" t="n">
        <f aca="false">травень!I82</f>
        <v>4.1</v>
      </c>
      <c r="J82" s="14" t="n">
        <f aca="false">ROUND(G82*I82,2)</f>
        <v>208.28</v>
      </c>
      <c r="K82" s="14"/>
      <c r="L82" s="14"/>
      <c r="M82" s="14"/>
      <c r="N82" s="14" t="n">
        <f aca="false">ROUND((G82*I82)-K82-L82-M82,2)</f>
        <v>208.28</v>
      </c>
      <c r="O82" s="14"/>
      <c r="P82" s="14" t="n">
        <f aca="false">ROUND(IF(D82=0,IF((N82-E82-O82)&gt;0,(N82-E82-O82),0),IF((D82+N82-O82)&gt;0,(D82+N82-O82),0)),2)</f>
        <v>1246.76</v>
      </c>
      <c r="Q82" s="14" t="n">
        <f aca="false">ROUND(IF(E82=0,IF((D82+N82-O82)&lt;0,ABS(D82+N82-O82),0),IF((N82-E82-O82)&lt;0,ABS(N82-E82-O82),0)),2)</f>
        <v>0</v>
      </c>
    </row>
    <row r="83" customFormat="false" ht="15" hidden="false" customHeight="true" outlineLevel="0" collapsed="false">
      <c r="A83" s="12" t="s">
        <v>245</v>
      </c>
      <c r="B83" s="12" t="s">
        <v>246</v>
      </c>
      <c r="C83" s="12" t="s">
        <v>247</v>
      </c>
      <c r="D83" s="14" t="n">
        <f aca="false">травень!P83</f>
        <v>4432.96</v>
      </c>
      <c r="E83" s="14" t="n">
        <f aca="false">травень!Q83</f>
        <v>0</v>
      </c>
      <c r="F83" s="13" t="n">
        <f aca="false">травень!F83</f>
        <v>0</v>
      </c>
      <c r="G83" s="13" t="n">
        <f aca="false">травень!G83</f>
        <v>34.9</v>
      </c>
      <c r="H83" s="13" t="n">
        <f aca="false">травень!H83</f>
        <v>0</v>
      </c>
      <c r="I83" s="13" t="n">
        <f aca="false">травень!I83</f>
        <v>4.1</v>
      </c>
      <c r="J83" s="14" t="n">
        <f aca="false">ROUND(G83*I83,2)</f>
        <v>143.09</v>
      </c>
      <c r="K83" s="14"/>
      <c r="L83" s="14"/>
      <c r="M83" s="14"/>
      <c r="N83" s="14" t="n">
        <f aca="false">ROUND((G83*I83)-K83-L83-M83,2)</f>
        <v>143.09</v>
      </c>
      <c r="O83" s="14"/>
      <c r="P83" s="14" t="n">
        <f aca="false">ROUND(IF(D83=0,IF((N83-E83-O83)&gt;0,(N83-E83-O83),0),IF((D83+N83-O83)&gt;0,(D83+N83-O83),0)),2)</f>
        <v>4576.05</v>
      </c>
      <c r="Q83" s="14" t="n">
        <f aca="false">ROUND(IF(E83=0,IF((D83+N83-O83)&lt;0,ABS(D83+N83-O83),0),IF((N83-E83-O83)&lt;0,ABS(N83-E83-O83),0)),2)</f>
        <v>0</v>
      </c>
    </row>
    <row r="84" customFormat="false" ht="15" hidden="false" customHeight="true" outlineLevel="0" collapsed="false">
      <c r="A84" s="12" t="s">
        <v>248</v>
      </c>
      <c r="B84" s="12" t="s">
        <v>249</v>
      </c>
      <c r="C84" s="12" t="s">
        <v>250</v>
      </c>
      <c r="D84" s="14" t="n">
        <f aca="false">травень!P84</f>
        <v>1250.6</v>
      </c>
      <c r="E84" s="14" t="n">
        <f aca="false">травень!Q84</f>
        <v>0</v>
      </c>
      <c r="F84" s="13" t="n">
        <f aca="false">травень!F84</f>
        <v>0</v>
      </c>
      <c r="G84" s="13" t="n">
        <f aca="false">травень!G84</f>
        <v>61</v>
      </c>
      <c r="H84" s="13" t="n">
        <f aca="false">травень!H84</f>
        <v>0</v>
      </c>
      <c r="I84" s="13" t="n">
        <f aca="false">травень!I84</f>
        <v>4.1</v>
      </c>
      <c r="J84" s="14" t="n">
        <f aca="false">ROUND(G84*I84,2)</f>
        <v>250.1</v>
      </c>
      <c r="K84" s="14"/>
      <c r="L84" s="14"/>
      <c r="M84" s="14"/>
      <c r="N84" s="14" t="n">
        <f aca="false">ROUND((G84*I84)-K84-L84-M84,2)</f>
        <v>250.1</v>
      </c>
      <c r="O84" s="14"/>
      <c r="P84" s="14" t="n">
        <f aca="false">ROUND(IF(D84=0,IF((N84-E84-O84)&gt;0,(N84-E84-O84),0),IF((D84+N84-O84)&gt;0,(D84+N84-O84),0)),2)</f>
        <v>1500.7</v>
      </c>
      <c r="Q84" s="14" t="n">
        <f aca="false">ROUND(IF(E84=0,IF((D84+N84-O84)&lt;0,ABS(D84+N84-O84),0),IF((N84-E84-O84)&lt;0,ABS(N84-E84-O84),0)),2)</f>
        <v>0</v>
      </c>
    </row>
    <row r="85" customFormat="false" ht="15" hidden="false" customHeight="true" outlineLevel="0" collapsed="false">
      <c r="A85" s="12" t="s">
        <v>251</v>
      </c>
      <c r="B85" s="12" t="s">
        <v>252</v>
      </c>
      <c r="C85" s="12" t="s">
        <v>253</v>
      </c>
      <c r="D85" s="14" t="n">
        <f aca="false">травень!P85</f>
        <v>1723.4</v>
      </c>
      <c r="E85" s="14" t="n">
        <f aca="false">травень!Q85</f>
        <v>0</v>
      </c>
      <c r="F85" s="13" t="n">
        <f aca="false">травень!F85</f>
        <v>0</v>
      </c>
      <c r="G85" s="13" t="n">
        <f aca="false">травень!G85</f>
        <v>64.5</v>
      </c>
      <c r="H85" s="13" t="n">
        <f aca="false">травень!H85</f>
        <v>0</v>
      </c>
      <c r="I85" s="13" t="n">
        <f aca="false">травень!I85</f>
        <v>4.1</v>
      </c>
      <c r="J85" s="14" t="n">
        <f aca="false">ROUND(G85*I85,2)</f>
        <v>264.45</v>
      </c>
      <c r="K85" s="14"/>
      <c r="L85" s="14"/>
      <c r="M85" s="14"/>
      <c r="N85" s="14" t="n">
        <f aca="false">ROUND((G85*I85)-K85-L85-M85,2)</f>
        <v>264.45</v>
      </c>
      <c r="O85" s="14"/>
      <c r="P85" s="14" t="n">
        <f aca="false">ROUND(IF(D85=0,IF((N85-E85-O85)&gt;0,(N85-E85-O85),0),IF((D85+N85-O85)&gt;0,(D85+N85-O85),0)),2)</f>
        <v>1987.85</v>
      </c>
      <c r="Q85" s="14" t="n">
        <f aca="false">ROUND(IF(E85=0,IF((D85+N85-O85)&lt;0,ABS(D85+N85-O85),0),IF((N85-E85-O85)&lt;0,ABS(N85-E85-O85),0)),2)</f>
        <v>0</v>
      </c>
    </row>
    <row r="86" customFormat="false" ht="15" hidden="false" customHeight="true" outlineLevel="0" collapsed="false">
      <c r="A86" s="12" t="s">
        <v>254</v>
      </c>
      <c r="B86" s="12" t="s">
        <v>255</v>
      </c>
      <c r="C86" s="12" t="s">
        <v>256</v>
      </c>
      <c r="D86" s="14" t="n">
        <f aca="false">травень!P86</f>
        <v>994.91</v>
      </c>
      <c r="E86" s="14" t="n">
        <f aca="false">травень!Q86</f>
        <v>0</v>
      </c>
      <c r="F86" s="13" t="n">
        <f aca="false">травень!F86</f>
        <v>0</v>
      </c>
      <c r="G86" s="13" t="n">
        <f aca="false">травень!G86</f>
        <v>49.3</v>
      </c>
      <c r="H86" s="13" t="n">
        <f aca="false">травень!H86</f>
        <v>0</v>
      </c>
      <c r="I86" s="13" t="n">
        <f aca="false">травень!I86</f>
        <v>4.1</v>
      </c>
      <c r="J86" s="14" t="n">
        <f aca="false">ROUND(G86*I86,2)</f>
        <v>202.13</v>
      </c>
      <c r="K86" s="14"/>
      <c r="L86" s="14"/>
      <c r="M86" s="14"/>
      <c r="N86" s="14" t="n">
        <f aca="false">ROUND((G86*I86)-K86-L86-M86,2)</f>
        <v>202.13</v>
      </c>
      <c r="O86" s="14"/>
      <c r="P86" s="14" t="n">
        <f aca="false">ROUND(IF(D86=0,IF((N86-E86-O86)&gt;0,(N86-E86-O86),0),IF((D86+N86-O86)&gt;0,(D86+N86-O86),0)),2)</f>
        <v>1197.04</v>
      </c>
      <c r="Q86" s="14" t="n">
        <f aca="false">ROUND(IF(E86=0,IF((D86+N86-O86)&lt;0,ABS(D86+N86-O86),0),IF((N86-E86-O86)&lt;0,ABS(N86-E86-O86),0)),2)</f>
        <v>0</v>
      </c>
    </row>
    <row r="87" customFormat="false" ht="15" hidden="false" customHeight="true" outlineLevel="0" collapsed="false">
      <c r="A87" s="12" t="s">
        <v>257</v>
      </c>
      <c r="B87" s="12" t="s">
        <v>258</v>
      </c>
      <c r="C87" s="12" t="s">
        <v>259</v>
      </c>
      <c r="D87" s="14" t="n">
        <f aca="false">травень!P87</f>
        <v>861</v>
      </c>
      <c r="E87" s="14" t="n">
        <f aca="false">травень!Q87</f>
        <v>0</v>
      </c>
      <c r="F87" s="13" t="n">
        <f aca="false">травень!F87</f>
        <v>0</v>
      </c>
      <c r="G87" s="13" t="n">
        <f aca="false">травень!G87</f>
        <v>35</v>
      </c>
      <c r="H87" s="13" t="n">
        <f aca="false">травень!H87</f>
        <v>0</v>
      </c>
      <c r="I87" s="13" t="n">
        <f aca="false">травень!I87</f>
        <v>4.1</v>
      </c>
      <c r="J87" s="14" t="n">
        <f aca="false">ROUND(G87*I87,2)</f>
        <v>143.5</v>
      </c>
      <c r="K87" s="14"/>
      <c r="L87" s="14"/>
      <c r="M87" s="14"/>
      <c r="N87" s="14" t="n">
        <f aca="false">ROUND((G87*I87)-K87-L87-M87,2)</f>
        <v>143.5</v>
      </c>
      <c r="O87" s="14"/>
      <c r="P87" s="14" t="n">
        <f aca="false">ROUND(IF(D87=0,IF((N87-E87-O87)&gt;0,(N87-E87-O87),0),IF((D87+N87-O87)&gt;0,(D87+N87-O87),0)),2)</f>
        <v>1004.5</v>
      </c>
      <c r="Q87" s="14" t="n">
        <f aca="false">ROUND(IF(E87=0,IF((D87+N87-O87)&lt;0,ABS(D87+N87-O87),0),IF((N87-E87-O87)&lt;0,ABS(N87-E87-O87),0)),2)</f>
        <v>0</v>
      </c>
    </row>
    <row r="88" customFormat="false" ht="15" hidden="false" customHeight="true" outlineLevel="0" collapsed="false">
      <c r="A88" s="12" t="s">
        <v>260</v>
      </c>
      <c r="B88" s="12" t="s">
        <v>261</v>
      </c>
      <c r="C88" s="12" t="s">
        <v>262</v>
      </c>
      <c r="D88" s="14" t="n">
        <f aca="false">травень!P88</f>
        <v>1520.28</v>
      </c>
      <c r="E88" s="14" t="n">
        <f aca="false">травень!Q88</f>
        <v>0</v>
      </c>
      <c r="F88" s="13" t="n">
        <f aca="false">травень!F88</f>
        <v>0</v>
      </c>
      <c r="G88" s="13" t="n">
        <f aca="false">травень!G88</f>
        <v>61.8</v>
      </c>
      <c r="H88" s="13" t="n">
        <f aca="false">травень!H88</f>
        <v>0</v>
      </c>
      <c r="I88" s="13" t="n">
        <f aca="false">травень!I88</f>
        <v>4.1</v>
      </c>
      <c r="J88" s="14" t="n">
        <f aca="false">ROUND(G88*I88,2)</f>
        <v>253.38</v>
      </c>
      <c r="K88" s="14"/>
      <c r="L88" s="14"/>
      <c r="M88" s="14"/>
      <c r="N88" s="14" t="n">
        <f aca="false">ROUND((G88*I88)-K88-L88-M88,2)</f>
        <v>253.38</v>
      </c>
      <c r="O88" s="14"/>
      <c r="P88" s="14" t="n">
        <f aca="false">ROUND(IF(D88=0,IF((N88-E88-O88)&gt;0,(N88-E88-O88),0),IF((D88+N88-O88)&gt;0,(D88+N88-O88),0)),2)</f>
        <v>1773.66</v>
      </c>
      <c r="Q88" s="14" t="n">
        <f aca="false">ROUND(IF(E88=0,IF((D88+N88-O88)&lt;0,ABS(D88+N88-O88),0),IF((N88-E88-O88)&lt;0,ABS(N88-E88-O88),0)),2)</f>
        <v>0</v>
      </c>
    </row>
    <row r="89" customFormat="false" ht="15" hidden="false" customHeight="true" outlineLevel="0" collapsed="false">
      <c r="A89" s="12" t="s">
        <v>263</v>
      </c>
      <c r="B89" s="12" t="s">
        <v>264</v>
      </c>
      <c r="C89" s="12" t="s">
        <v>265</v>
      </c>
      <c r="D89" s="14" t="n">
        <f aca="false">травень!P89</f>
        <v>13896.17</v>
      </c>
      <c r="E89" s="14" t="n">
        <f aca="false">травень!Q89</f>
        <v>0</v>
      </c>
      <c r="F89" s="13" t="n">
        <f aca="false">травень!F89</f>
        <v>0</v>
      </c>
      <c r="G89" s="13" t="n">
        <f aca="false">травень!G89</f>
        <v>65.81</v>
      </c>
      <c r="H89" s="13" t="n">
        <f aca="false">травень!H89</f>
        <v>0</v>
      </c>
      <c r="I89" s="13" t="n">
        <f aca="false">травень!I89</f>
        <v>4.1</v>
      </c>
      <c r="J89" s="14" t="n">
        <f aca="false">ROUND(G89*I89,2)</f>
        <v>269.82</v>
      </c>
      <c r="K89" s="14"/>
      <c r="L89" s="14"/>
      <c r="M89" s="14"/>
      <c r="N89" s="14" t="n">
        <f aca="false">ROUND((G89*I89)-K89-L89-M89,2)</f>
        <v>269.82</v>
      </c>
      <c r="O89" s="14"/>
      <c r="P89" s="14" t="n">
        <f aca="false">ROUND(IF(D89=0,IF((N89-E89-O89)&gt;0,(N89-E89-O89),0),IF((D89+N89-O89)&gt;0,(D89+N89-O89),0)),2)</f>
        <v>14165.99</v>
      </c>
      <c r="Q89" s="14" t="n">
        <f aca="false">ROUND(IF(E89=0,IF((D89+N89-O89)&lt;0,ABS(D89+N89-O89),0),IF((N89-E89-O89)&lt;0,ABS(N89-E89-O89),0)),2)</f>
        <v>0</v>
      </c>
    </row>
    <row r="90" customFormat="false" ht="15" hidden="false" customHeight="true" outlineLevel="0" collapsed="false">
      <c r="A90" s="12" t="s">
        <v>266</v>
      </c>
      <c r="B90" s="12" t="s">
        <v>267</v>
      </c>
      <c r="C90" s="12" t="s">
        <v>268</v>
      </c>
      <c r="D90" s="14" t="n">
        <f aca="false">травень!P90</f>
        <v>406.16</v>
      </c>
      <c r="E90" s="14" t="n">
        <f aca="false">травень!Q90</f>
        <v>0</v>
      </c>
      <c r="F90" s="13" t="n">
        <f aca="false">травень!F90</f>
        <v>0</v>
      </c>
      <c r="G90" s="13" t="n">
        <f aca="false">травень!G90</f>
        <v>49.7</v>
      </c>
      <c r="H90" s="13" t="n">
        <f aca="false">травень!H90</f>
        <v>0</v>
      </c>
      <c r="I90" s="13" t="n">
        <f aca="false">травень!I90</f>
        <v>4.1</v>
      </c>
      <c r="J90" s="14" t="n">
        <f aca="false">ROUND(G90*I90,2)</f>
        <v>203.77</v>
      </c>
      <c r="K90" s="14"/>
      <c r="L90" s="14"/>
      <c r="M90" s="14"/>
      <c r="N90" s="14" t="n">
        <f aca="false">ROUND((G90*I90)-K90-L90-M90,2)</f>
        <v>203.77</v>
      </c>
      <c r="O90" s="14"/>
      <c r="P90" s="14" t="n">
        <f aca="false">ROUND(IF(D90=0,IF((N90-E90-O90)&gt;0,(N90-E90-O90),0),IF((D90+N90-O90)&gt;0,(D90+N90-O90),0)),2)</f>
        <v>609.93</v>
      </c>
      <c r="Q90" s="14" t="n">
        <f aca="false">ROUND(IF(E90=0,IF((D90+N90-O90)&lt;0,ABS(D90+N90-O90),0),IF((N90-E90-O90)&lt;0,ABS(N90-E90-O90),0)),2)</f>
        <v>0</v>
      </c>
    </row>
    <row r="91" customFormat="false" ht="15" hidden="false" customHeight="true" outlineLevel="0" collapsed="false">
      <c r="A91" s="12" t="s">
        <v>269</v>
      </c>
      <c r="B91" s="12" t="s">
        <v>270</v>
      </c>
      <c r="C91" s="12" t="s">
        <v>271</v>
      </c>
      <c r="D91" s="14" t="n">
        <f aca="false">травень!P91</f>
        <v>6506.7</v>
      </c>
      <c r="E91" s="14" t="n">
        <f aca="false">травень!Q91</f>
        <v>0</v>
      </c>
      <c r="F91" s="13" t="n">
        <f aca="false">травень!F91</f>
        <v>0</v>
      </c>
      <c r="G91" s="13" t="n">
        <f aca="false">травень!G91</f>
        <v>34.5</v>
      </c>
      <c r="H91" s="13" t="n">
        <f aca="false">травень!H91</f>
        <v>0</v>
      </c>
      <c r="I91" s="13" t="n">
        <f aca="false">травень!I91</f>
        <v>4.1</v>
      </c>
      <c r="J91" s="14" t="n">
        <f aca="false">ROUND(G91*I91,2)</f>
        <v>141.45</v>
      </c>
      <c r="K91" s="14"/>
      <c r="L91" s="14"/>
      <c r="M91" s="14"/>
      <c r="N91" s="14" t="n">
        <f aca="false">ROUND((G91*I91)-K91-L91-M91,2)</f>
        <v>141.45</v>
      </c>
      <c r="O91" s="14"/>
      <c r="P91" s="14" t="n">
        <f aca="false">ROUND(IF(D91=0,IF((N91-E91-O91)&gt;0,(N91-E91-O91),0),IF((D91+N91-O91)&gt;0,(D91+N91-O91),0)),2)</f>
        <v>6648.15</v>
      </c>
      <c r="Q91" s="14" t="n">
        <f aca="false">ROUND(IF(E91=0,IF((D91+N91-O91)&lt;0,ABS(D91+N91-O91),0),IF((N91-E91-O91)&lt;0,ABS(N91-E91-O91),0)),2)</f>
        <v>0</v>
      </c>
    </row>
    <row r="92" customFormat="false" ht="15" hidden="false" customHeight="true" outlineLevel="0" collapsed="false">
      <c r="A92" s="12" t="s">
        <v>272</v>
      </c>
      <c r="B92" s="12" t="s">
        <v>273</v>
      </c>
      <c r="C92" s="12" t="s">
        <v>274</v>
      </c>
      <c r="D92" s="14" t="n">
        <f aca="false">травень!P92</f>
        <v>5035.63</v>
      </c>
      <c r="E92" s="14" t="n">
        <f aca="false">травень!Q92</f>
        <v>0</v>
      </c>
      <c r="F92" s="13" t="n">
        <f aca="false">травень!F92</f>
        <v>0</v>
      </c>
      <c r="G92" s="13" t="n">
        <f aca="false">травень!G92</f>
        <v>62.4</v>
      </c>
      <c r="H92" s="13" t="n">
        <f aca="false">травень!H92</f>
        <v>0</v>
      </c>
      <c r="I92" s="13" t="n">
        <f aca="false">травень!I92</f>
        <v>4.1</v>
      </c>
      <c r="J92" s="14" t="n">
        <f aca="false">ROUND(G92*I92,2)</f>
        <v>255.84</v>
      </c>
      <c r="K92" s="14"/>
      <c r="L92" s="14"/>
      <c r="M92" s="14"/>
      <c r="N92" s="14" t="n">
        <f aca="false">ROUND((G92*I92)-K92-L92-M92,2)</f>
        <v>255.84</v>
      </c>
      <c r="O92" s="14"/>
      <c r="P92" s="14" t="n">
        <f aca="false">ROUND(IF(D92=0,IF((N92-E92-O92)&gt;0,(N92-E92-O92),0),IF((D92+N92-O92)&gt;0,(D92+N92-O92),0)),2)</f>
        <v>5291.47</v>
      </c>
      <c r="Q92" s="14" t="n">
        <f aca="false">ROUND(IF(E92=0,IF((D92+N92-O92)&lt;0,ABS(D92+N92-O92),0),IF((N92-E92-O92)&lt;0,ABS(N92-E92-O92),0)),2)</f>
        <v>0</v>
      </c>
    </row>
    <row r="93" customFormat="false" ht="15" hidden="false" customHeight="true" outlineLevel="0" collapsed="false">
      <c r="A93" s="12" t="s">
        <v>275</v>
      </c>
      <c r="B93" s="12" t="s">
        <v>276</v>
      </c>
      <c r="C93" s="12" t="s">
        <v>277</v>
      </c>
      <c r="D93" s="14" t="n">
        <f aca="false">травень!P93</f>
        <v>1634.94</v>
      </c>
      <c r="E93" s="14" t="n">
        <f aca="false">травень!Q93</f>
        <v>0</v>
      </c>
      <c r="F93" s="13" t="n">
        <f aca="false">травень!F93</f>
        <v>0</v>
      </c>
      <c r="G93" s="13" t="n">
        <f aca="false">травень!G93</f>
        <v>66.46</v>
      </c>
      <c r="H93" s="13" t="n">
        <f aca="false">травень!H93</f>
        <v>0</v>
      </c>
      <c r="I93" s="13" t="n">
        <f aca="false">травень!I93</f>
        <v>4.1</v>
      </c>
      <c r="J93" s="14" t="n">
        <f aca="false">ROUND(G93*I93,2)</f>
        <v>272.49</v>
      </c>
      <c r="K93" s="14"/>
      <c r="L93" s="14"/>
      <c r="M93" s="14"/>
      <c r="N93" s="14" t="n">
        <f aca="false">ROUND((G93*I93)-K93-L93-M93,2)</f>
        <v>272.49</v>
      </c>
      <c r="O93" s="14"/>
      <c r="P93" s="14" t="n">
        <f aca="false">ROUND(IF(D93=0,IF((N93-E93-O93)&gt;0,(N93-E93-O93),0),IF((D93+N93-O93)&gt;0,(D93+N93-O93),0)),2)</f>
        <v>1907.43</v>
      </c>
      <c r="Q93" s="14" t="n">
        <f aca="false">ROUND(IF(E93=0,IF((D93+N93-O93)&lt;0,ABS(D93+N93-O93),0),IF((N93-E93-O93)&lt;0,ABS(N93-E93-O93),0)),2)</f>
        <v>0</v>
      </c>
    </row>
    <row r="94" customFormat="false" ht="15" hidden="false" customHeight="true" outlineLevel="0" collapsed="false">
      <c r="A94" s="12" t="s">
        <v>278</v>
      </c>
      <c r="B94" s="12" t="s">
        <v>279</v>
      </c>
      <c r="C94" s="12" t="s">
        <v>280</v>
      </c>
      <c r="D94" s="14" t="n">
        <f aca="false">травень!P94</f>
        <v>8806.07</v>
      </c>
      <c r="E94" s="14" t="n">
        <f aca="false">травень!Q94</f>
        <v>0</v>
      </c>
      <c r="F94" s="13" t="n">
        <f aca="false">травень!F94</f>
        <v>0</v>
      </c>
      <c r="G94" s="13" t="n">
        <f aca="false">травень!G94</f>
        <v>49.73</v>
      </c>
      <c r="H94" s="13" t="n">
        <f aca="false">травень!H94</f>
        <v>0</v>
      </c>
      <c r="I94" s="13" t="n">
        <f aca="false">травень!I94</f>
        <v>4.1</v>
      </c>
      <c r="J94" s="14" t="n">
        <f aca="false">ROUND(G94*I94,2)</f>
        <v>203.89</v>
      </c>
      <c r="K94" s="14"/>
      <c r="L94" s="14"/>
      <c r="M94" s="14"/>
      <c r="N94" s="14" t="n">
        <f aca="false">ROUND((G94*I94)-K94-L94-M94,2)</f>
        <v>203.89</v>
      </c>
      <c r="O94" s="14"/>
      <c r="P94" s="14" t="n">
        <f aca="false">ROUND(IF(D94=0,IF((N94-E94-O94)&gt;0,(N94-E94-O94),0),IF((D94+N94-O94)&gt;0,(D94+N94-O94),0)),2)</f>
        <v>9009.96</v>
      </c>
      <c r="Q94" s="14" t="n">
        <f aca="false">ROUND(IF(E94=0,IF((D94+N94-O94)&lt;0,ABS(D94+N94-O94),0),IF((N94-E94-O94)&lt;0,ABS(N94-E94-O94),0)),2)</f>
        <v>0</v>
      </c>
    </row>
    <row r="95" customFormat="false" ht="15" hidden="false" customHeight="true" outlineLevel="0" collapsed="false">
      <c r="A95" s="12" t="s">
        <v>281</v>
      </c>
      <c r="B95" s="12" t="s">
        <v>282</v>
      </c>
      <c r="C95" s="12" t="s">
        <v>283</v>
      </c>
      <c r="D95" s="14" t="n">
        <f aca="false">травень!P95</f>
        <v>9659.14</v>
      </c>
      <c r="E95" s="14" t="n">
        <f aca="false">травень!Q95</f>
        <v>0</v>
      </c>
      <c r="F95" s="13" t="n">
        <f aca="false">травень!F95</f>
        <v>0</v>
      </c>
      <c r="G95" s="13" t="n">
        <f aca="false">травень!G95</f>
        <v>34.9</v>
      </c>
      <c r="H95" s="13" t="n">
        <f aca="false">травень!H95</f>
        <v>0</v>
      </c>
      <c r="I95" s="13" t="n">
        <f aca="false">травень!I95</f>
        <v>4.1</v>
      </c>
      <c r="J95" s="14" t="n">
        <f aca="false">ROUND(G95*I95,2)</f>
        <v>143.09</v>
      </c>
      <c r="K95" s="14"/>
      <c r="L95" s="14"/>
      <c r="M95" s="14"/>
      <c r="N95" s="14" t="n">
        <f aca="false">ROUND((G95*I95)-K95-L95-M95,2)</f>
        <v>143.09</v>
      </c>
      <c r="O95" s="14"/>
      <c r="P95" s="14" t="n">
        <f aca="false">ROUND(IF(D95=0,IF((N95-E95-O95)&gt;0,(N95-E95-O95),0),IF((D95+N95-O95)&gt;0,(D95+N95-O95),0)),2)</f>
        <v>9802.23</v>
      </c>
      <c r="Q95" s="14" t="n">
        <f aca="false">ROUND(IF(E95=0,IF((D95+N95-O95)&lt;0,ABS(D95+N95-O95),0),IF((N95-E95-O95)&lt;0,ABS(N95-E95-O95),0)),2)</f>
        <v>0</v>
      </c>
    </row>
    <row r="96" customFormat="false" ht="15" hidden="false" customHeight="true" outlineLevel="0" collapsed="false">
      <c r="A96" s="12" t="s">
        <v>284</v>
      </c>
      <c r="B96" s="12" t="s">
        <v>285</v>
      </c>
      <c r="C96" s="12" t="s">
        <v>286</v>
      </c>
      <c r="D96" s="14" t="n">
        <f aca="false">травень!P96</f>
        <v>14646.34</v>
      </c>
      <c r="E96" s="14" t="n">
        <f aca="false">травень!Q96</f>
        <v>0</v>
      </c>
      <c r="F96" s="13" t="n">
        <f aca="false">травень!F96</f>
        <v>0</v>
      </c>
      <c r="G96" s="13" t="n">
        <f aca="false">травень!G96</f>
        <v>61.9</v>
      </c>
      <c r="H96" s="13" t="n">
        <f aca="false">травень!H96</f>
        <v>0</v>
      </c>
      <c r="I96" s="13" t="n">
        <f aca="false">травень!I96</f>
        <v>4.1</v>
      </c>
      <c r="J96" s="14" t="n">
        <f aca="false">ROUND(G96*I96,2)</f>
        <v>253.79</v>
      </c>
      <c r="K96" s="14"/>
      <c r="L96" s="14"/>
      <c r="M96" s="14"/>
      <c r="N96" s="14" t="n">
        <f aca="false">ROUND((G96*I96)-K96-L96-M96,2)</f>
        <v>253.79</v>
      </c>
      <c r="O96" s="14"/>
      <c r="P96" s="14" t="n">
        <f aca="false">ROUND(IF(D96=0,IF((N96-E96-O96)&gt;0,(N96-E96-O96),0),IF((D96+N96-O96)&gt;0,(D96+N96-O96),0)),2)</f>
        <v>14900.13</v>
      </c>
      <c r="Q96" s="14" t="n">
        <f aca="false">ROUND(IF(E96=0,IF((D96+N96-O96)&lt;0,ABS(D96+N96-O96),0),IF((N96-E96-O96)&lt;0,ABS(N96-E96-O96),0)),2)</f>
        <v>0</v>
      </c>
    </row>
    <row r="97" customFormat="false" ht="15" hidden="false" customHeight="true" outlineLevel="0" collapsed="false">
      <c r="A97" s="12" t="s">
        <v>287</v>
      </c>
      <c r="B97" s="12" t="s">
        <v>288</v>
      </c>
      <c r="C97" s="12" t="s">
        <v>289</v>
      </c>
      <c r="D97" s="14" t="n">
        <f aca="false">травень!P97</f>
        <v>1066.41</v>
      </c>
      <c r="E97" s="14" t="n">
        <f aca="false">травень!Q97</f>
        <v>0</v>
      </c>
      <c r="F97" s="13" t="n">
        <f aca="false">травень!F97</f>
        <v>0</v>
      </c>
      <c r="G97" s="13" t="n">
        <f aca="false">травень!G97</f>
        <v>65.3</v>
      </c>
      <c r="H97" s="13" t="n">
        <f aca="false">травень!H97</f>
        <v>0</v>
      </c>
      <c r="I97" s="13" t="n">
        <f aca="false">травень!I97</f>
        <v>4.1</v>
      </c>
      <c r="J97" s="14" t="n">
        <f aca="false">ROUND(G97*I97,2)</f>
        <v>267.73</v>
      </c>
      <c r="K97" s="14"/>
      <c r="L97" s="14"/>
      <c r="M97" s="14"/>
      <c r="N97" s="14" t="n">
        <f aca="false">ROUND((G97*I97)-K97-L97-M97,2)</f>
        <v>267.73</v>
      </c>
      <c r="O97" s="14"/>
      <c r="P97" s="14" t="n">
        <f aca="false">ROUND(IF(D97=0,IF((N97-E97-O97)&gt;0,(N97-E97-O97),0),IF((D97+N97-O97)&gt;0,(D97+N97-O97),0)),2)</f>
        <v>1334.14</v>
      </c>
      <c r="Q97" s="14" t="n">
        <f aca="false">ROUND(IF(E97=0,IF((D97+N97-O97)&lt;0,ABS(D97+N97-O97),0),IF((N97-E97-O97)&lt;0,ABS(N97-E97-O97),0)),2)</f>
        <v>0</v>
      </c>
    </row>
    <row r="98" customFormat="false" ht="15" hidden="false" customHeight="true" outlineLevel="0" collapsed="false">
      <c r="A98" s="12" t="s">
        <v>290</v>
      </c>
      <c r="B98" s="12" t="s">
        <v>291</v>
      </c>
      <c r="C98" s="12" t="s">
        <v>292</v>
      </c>
      <c r="D98" s="14" t="n">
        <f aca="false">травень!P98</f>
        <v>786.04</v>
      </c>
      <c r="E98" s="14" t="n">
        <f aca="false">травень!Q98</f>
        <v>0</v>
      </c>
      <c r="F98" s="13" t="n">
        <f aca="false">травень!F98</f>
        <v>0</v>
      </c>
      <c r="G98" s="13" t="n">
        <f aca="false">травень!G98</f>
        <v>49.48</v>
      </c>
      <c r="H98" s="13" t="n">
        <f aca="false">травень!H98</f>
        <v>0</v>
      </c>
      <c r="I98" s="13" t="n">
        <f aca="false">травень!I98</f>
        <v>4.1</v>
      </c>
      <c r="J98" s="14" t="n">
        <f aca="false">ROUND(G98*I98,2)</f>
        <v>202.87</v>
      </c>
      <c r="K98" s="14"/>
      <c r="L98" s="14"/>
      <c r="M98" s="14"/>
      <c r="N98" s="14" t="n">
        <f aca="false">ROUND((G98*I98)-K98-L98-M98,2)</f>
        <v>202.87</v>
      </c>
      <c r="O98" s="14"/>
      <c r="P98" s="14" t="n">
        <f aca="false">ROUND(IF(D98=0,IF((N98-E98-O98)&gt;0,(N98-E98-O98),0),IF((D98+N98-O98)&gt;0,(D98+N98-O98),0)),2)</f>
        <v>988.91</v>
      </c>
      <c r="Q98" s="14" t="n">
        <f aca="false">ROUND(IF(E98=0,IF((D98+N98-O98)&lt;0,ABS(D98+N98-O98),0),IF((N98-E98-O98)&lt;0,ABS(N98-E98-O98),0)),2)</f>
        <v>0</v>
      </c>
    </row>
    <row r="99" customFormat="false" ht="15" hidden="false" customHeight="true" outlineLevel="0" collapsed="false">
      <c r="A99" s="12" t="s">
        <v>293</v>
      </c>
      <c r="B99" s="12" t="s">
        <v>294</v>
      </c>
      <c r="C99" s="12" t="s">
        <v>295</v>
      </c>
      <c r="D99" s="14" t="n">
        <f aca="false">травень!P99</f>
        <v>716.41</v>
      </c>
      <c r="E99" s="14" t="n">
        <f aca="false">травень!Q99</f>
        <v>0</v>
      </c>
      <c r="F99" s="13" t="n">
        <f aca="false">травень!F99</f>
        <v>0</v>
      </c>
      <c r="G99" s="13" t="n">
        <f aca="false">травень!G99</f>
        <v>35.1</v>
      </c>
      <c r="H99" s="13" t="n">
        <f aca="false">травень!H99</f>
        <v>0</v>
      </c>
      <c r="I99" s="13" t="n">
        <f aca="false">травень!I99</f>
        <v>4.1</v>
      </c>
      <c r="J99" s="14" t="n">
        <f aca="false">ROUND(G99*I99,2)</f>
        <v>143.91</v>
      </c>
      <c r="K99" s="14"/>
      <c r="L99" s="14"/>
      <c r="M99" s="14"/>
      <c r="N99" s="14" t="n">
        <f aca="false">ROUND((G99*I99)-K99-L99-M99,2)</f>
        <v>143.91</v>
      </c>
      <c r="O99" s="14"/>
      <c r="P99" s="14" t="n">
        <f aca="false">ROUND(IF(D99=0,IF((N99-E99-O99)&gt;0,(N99-E99-O99),0),IF((D99+N99-O99)&gt;0,(D99+N99-O99),0)),2)</f>
        <v>860.32</v>
      </c>
      <c r="Q99" s="14" t="n">
        <f aca="false">ROUND(IF(E99=0,IF((D99+N99-O99)&lt;0,ABS(D99+N99-O99),0),IF((N99-E99-O99)&lt;0,ABS(N99-E99-O99),0)),2)</f>
        <v>0</v>
      </c>
    </row>
    <row r="100" customFormat="false" ht="15" hidden="false" customHeight="true" outlineLevel="0" collapsed="false">
      <c r="A100" s="12" t="s">
        <v>296</v>
      </c>
      <c r="B100" s="12" t="s">
        <v>297</v>
      </c>
      <c r="C100" s="12" t="s">
        <v>298</v>
      </c>
      <c r="D100" s="14" t="n">
        <f aca="false">травень!P100</f>
        <v>14251.6</v>
      </c>
      <c r="E100" s="14" t="n">
        <f aca="false">травень!Q100</f>
        <v>0</v>
      </c>
      <c r="F100" s="13" t="n">
        <f aca="false">травень!F100</f>
        <v>0</v>
      </c>
      <c r="G100" s="13" t="n">
        <f aca="false">травень!G100</f>
        <v>63.2</v>
      </c>
      <c r="H100" s="13" t="n">
        <f aca="false">травень!H100</f>
        <v>0</v>
      </c>
      <c r="I100" s="13" t="n">
        <f aca="false">травень!I100</f>
        <v>4.1</v>
      </c>
      <c r="J100" s="14" t="n">
        <f aca="false">ROUND(G100*I100,2)</f>
        <v>259.12</v>
      </c>
      <c r="K100" s="14"/>
      <c r="L100" s="14"/>
      <c r="M100" s="14"/>
      <c r="N100" s="14" t="n">
        <f aca="false">ROUND((G100*I100)-K100-L100-M100,2)</f>
        <v>259.12</v>
      </c>
      <c r="O100" s="14"/>
      <c r="P100" s="14" t="n">
        <f aca="false">ROUND(IF(D100=0,IF((N100-E100-O100)&gt;0,(N100-E100-O100),0),IF((D100+N100-O100)&gt;0,(D100+N100-O100),0)),2)</f>
        <v>14510.72</v>
      </c>
      <c r="Q100" s="14" t="n">
        <f aca="false">ROUND(IF(E100=0,IF((D100+N100-O100)&lt;0,ABS(D100+N100-O100),0),IF((N100-E100-O100)&lt;0,ABS(N100-E100-O100),0)),2)</f>
        <v>0</v>
      </c>
    </row>
    <row r="101" customFormat="false" ht="15" hidden="false" customHeight="true" outlineLevel="0" collapsed="false">
      <c r="A101" s="12" t="s">
        <v>299</v>
      </c>
      <c r="B101" s="12" t="s">
        <v>300</v>
      </c>
      <c r="C101" s="12" t="s">
        <v>301</v>
      </c>
      <c r="D101" s="14" t="n">
        <f aca="false">травень!P101</f>
        <v>8749.89</v>
      </c>
      <c r="E101" s="14" t="n">
        <f aca="false">травень!Q101</f>
        <v>0</v>
      </c>
      <c r="F101" s="13" t="n">
        <f aca="false">травень!F101</f>
        <v>0</v>
      </c>
      <c r="G101" s="13" t="n">
        <f aca="false">травень!G101</f>
        <v>66.1</v>
      </c>
      <c r="H101" s="13" t="n">
        <f aca="false">травень!H101</f>
        <v>0</v>
      </c>
      <c r="I101" s="13" t="n">
        <f aca="false">травень!I101</f>
        <v>4.1</v>
      </c>
      <c r="J101" s="14" t="n">
        <f aca="false">ROUND(G101*I101,2)</f>
        <v>271.01</v>
      </c>
      <c r="K101" s="14"/>
      <c r="L101" s="14"/>
      <c r="M101" s="14"/>
      <c r="N101" s="14" t="n">
        <f aca="false">ROUND((G101*I101)-K101-L101-M101,2)</f>
        <v>271.01</v>
      </c>
      <c r="O101" s="14"/>
      <c r="P101" s="14" t="n">
        <f aca="false">ROUND(IF(D101=0,IF((N101-E101-O101)&gt;0,(N101-E101-O101),0),IF((D101+N101-O101)&gt;0,(D101+N101-O101),0)),2)</f>
        <v>9020.9</v>
      </c>
      <c r="Q101" s="14" t="n">
        <f aca="false">ROUND(IF(E101=0,IF((D101+N101-O101)&lt;0,ABS(D101+N101-O101),0),IF((N101-E101-O101)&lt;0,ABS(N101-E101-O101),0)),2)</f>
        <v>0</v>
      </c>
    </row>
    <row r="102" customFormat="false" ht="15" hidden="false" customHeight="true" outlineLevel="0" collapsed="false">
      <c r="A102" s="12" t="s">
        <v>302</v>
      </c>
      <c r="B102" s="12" t="s">
        <v>303</v>
      </c>
      <c r="C102" s="12" t="s">
        <v>304</v>
      </c>
      <c r="D102" s="14" t="n">
        <f aca="false">травень!P102</f>
        <v>8371.45</v>
      </c>
      <c r="E102" s="14" t="n">
        <f aca="false">травень!Q102</f>
        <v>0</v>
      </c>
      <c r="F102" s="13" t="n">
        <f aca="false">травень!F102</f>
        <v>0</v>
      </c>
      <c r="G102" s="13" t="n">
        <f aca="false">травень!G102</f>
        <v>49.8</v>
      </c>
      <c r="H102" s="13" t="n">
        <f aca="false">травень!H102</f>
        <v>0</v>
      </c>
      <c r="I102" s="13" t="n">
        <f aca="false">травень!I102</f>
        <v>4.1</v>
      </c>
      <c r="J102" s="14" t="n">
        <f aca="false">ROUND(G102*I102,2)</f>
        <v>204.18</v>
      </c>
      <c r="K102" s="14"/>
      <c r="L102" s="14"/>
      <c r="M102" s="14"/>
      <c r="N102" s="14" t="n">
        <f aca="false">ROUND((G102*I102)-K102-L102-M102,2)</f>
        <v>204.18</v>
      </c>
      <c r="O102" s="14"/>
      <c r="P102" s="14" t="n">
        <f aca="false">ROUND(IF(D102=0,IF((N102-E102-O102)&gt;0,(N102-E102-O102),0),IF((D102+N102-O102)&gt;0,(D102+N102-O102),0)),2)</f>
        <v>8575.63</v>
      </c>
      <c r="Q102" s="14" t="n">
        <f aca="false">ROUND(IF(E102=0,IF((D102+N102-O102)&lt;0,ABS(D102+N102-O102),0),IF((N102-E102-O102)&lt;0,ABS(N102-E102-O102),0)),2)</f>
        <v>0</v>
      </c>
    </row>
    <row r="103" customFormat="false" ht="15" hidden="false" customHeight="true" outlineLevel="0" collapsed="false">
      <c r="A103" s="12" t="s">
        <v>305</v>
      </c>
      <c r="B103" s="12" t="s">
        <v>306</v>
      </c>
      <c r="C103" s="12" t="s">
        <v>307</v>
      </c>
      <c r="D103" s="14" t="n">
        <f aca="false">травень!P103</f>
        <v>6952.74</v>
      </c>
      <c r="E103" s="14" t="n">
        <f aca="false">травень!Q103</f>
        <v>0</v>
      </c>
      <c r="F103" s="13" t="n">
        <f aca="false">травень!F103</f>
        <v>0</v>
      </c>
      <c r="G103" s="13" t="n">
        <f aca="false">травень!G103</f>
        <v>34.6</v>
      </c>
      <c r="H103" s="13" t="n">
        <f aca="false">травень!H103</f>
        <v>0</v>
      </c>
      <c r="I103" s="13" t="n">
        <f aca="false">травень!I103</f>
        <v>4.1</v>
      </c>
      <c r="J103" s="14" t="n">
        <f aca="false">ROUND(G103*I103,2)</f>
        <v>141.86</v>
      </c>
      <c r="K103" s="14"/>
      <c r="L103" s="14"/>
      <c r="M103" s="14"/>
      <c r="N103" s="14" t="n">
        <f aca="false">ROUND((G103*I103)-K103-L103-M103,2)</f>
        <v>141.86</v>
      </c>
      <c r="O103" s="14"/>
      <c r="P103" s="14" t="n">
        <f aca="false">ROUND(IF(D103=0,IF((N103-E103-O103)&gt;0,(N103-E103-O103),0),IF((D103+N103-O103)&gt;0,(D103+N103-O103),0)),2)</f>
        <v>7094.6</v>
      </c>
      <c r="Q103" s="14" t="n">
        <f aca="false">ROUND(IF(E103=0,IF((D103+N103-O103)&lt;0,ABS(D103+N103-O103),0),IF((N103-E103-O103)&lt;0,ABS(N103-E103-O103),0)),2)</f>
        <v>0</v>
      </c>
    </row>
    <row r="104" customFormat="false" ht="15" hidden="false" customHeight="true" outlineLevel="0" collapsed="false">
      <c r="A104" s="12" t="s">
        <v>308</v>
      </c>
      <c r="B104" s="12" t="s">
        <v>309</v>
      </c>
      <c r="C104" s="12" t="s">
        <v>310</v>
      </c>
      <c r="D104" s="14" t="n">
        <f aca="false">травень!P104</f>
        <v>1283.3</v>
      </c>
      <c r="E104" s="14" t="n">
        <f aca="false">травень!Q104</f>
        <v>0</v>
      </c>
      <c r="F104" s="13" t="n">
        <f aca="false">травень!F104</f>
        <v>0</v>
      </c>
      <c r="G104" s="13" t="n">
        <f aca="false">травень!G104</f>
        <v>62.6</v>
      </c>
      <c r="H104" s="13" t="n">
        <f aca="false">травень!H104</f>
        <v>0</v>
      </c>
      <c r="I104" s="13" t="n">
        <f aca="false">травень!I104</f>
        <v>4.1</v>
      </c>
      <c r="J104" s="14" t="n">
        <f aca="false">ROUND(G104*I104,2)</f>
        <v>256.66</v>
      </c>
      <c r="K104" s="14"/>
      <c r="L104" s="14"/>
      <c r="M104" s="14"/>
      <c r="N104" s="14" t="n">
        <f aca="false">ROUND((G104*I104)-K104-L104-M104,2)</f>
        <v>256.66</v>
      </c>
      <c r="O104" s="14"/>
      <c r="P104" s="14" t="n">
        <f aca="false">ROUND(IF(D104=0,IF((N104-E104-O104)&gt;0,(N104-E104-O104),0),IF((D104+N104-O104)&gt;0,(D104+N104-O104),0)),2)</f>
        <v>1539.96</v>
      </c>
      <c r="Q104" s="14" t="n">
        <f aca="false">ROUND(IF(E104=0,IF((D104+N104-O104)&lt;0,ABS(D104+N104-O104),0),IF((N104-E104-O104)&lt;0,ABS(N104-E104-O104),0)),2)</f>
        <v>0</v>
      </c>
    </row>
    <row r="105" customFormat="false" ht="15" hidden="false" customHeight="true" outlineLevel="0" collapsed="false">
      <c r="A105" s="12" t="s">
        <v>311</v>
      </c>
      <c r="B105" s="12" t="s">
        <v>312</v>
      </c>
      <c r="C105" s="12" t="s">
        <v>313</v>
      </c>
      <c r="D105" s="14" t="n">
        <f aca="false">травень!P105</f>
        <v>12632.79</v>
      </c>
      <c r="E105" s="14" t="n">
        <f aca="false">травень!Q105</f>
        <v>0</v>
      </c>
      <c r="F105" s="13" t="n">
        <f aca="false">травень!F105</f>
        <v>0</v>
      </c>
      <c r="G105" s="13" t="n">
        <f aca="false">травень!G105</f>
        <v>65.57</v>
      </c>
      <c r="H105" s="13" t="n">
        <f aca="false">травень!H105</f>
        <v>0</v>
      </c>
      <c r="I105" s="13" t="n">
        <f aca="false">травень!I105</f>
        <v>4.1</v>
      </c>
      <c r="J105" s="14" t="n">
        <f aca="false">ROUND(G105*I105,2)</f>
        <v>268.84</v>
      </c>
      <c r="K105" s="14"/>
      <c r="L105" s="14"/>
      <c r="M105" s="14"/>
      <c r="N105" s="14" t="n">
        <f aca="false">ROUND((G105*I105)-K105-L105-M105,2)</f>
        <v>268.84</v>
      </c>
      <c r="O105" s="14"/>
      <c r="P105" s="14" t="n">
        <f aca="false">ROUND(IF(D105=0,IF((N105-E105-O105)&gt;0,(N105-E105-O105),0),IF((D105+N105-O105)&gt;0,(D105+N105-O105),0)),2)</f>
        <v>12901.63</v>
      </c>
      <c r="Q105" s="14" t="n">
        <f aca="false">ROUND(IF(E105=0,IF((D105+N105-O105)&lt;0,ABS(D105+N105-O105),0),IF((N105-E105-O105)&lt;0,ABS(N105-E105-O105),0)),2)</f>
        <v>0</v>
      </c>
    </row>
    <row r="106" customFormat="false" ht="15" hidden="false" customHeight="true" outlineLevel="0" collapsed="false">
      <c r="A106" s="12" t="s">
        <v>314</v>
      </c>
      <c r="B106" s="12" t="s">
        <v>315</v>
      </c>
      <c r="C106" s="12" t="s">
        <v>316</v>
      </c>
      <c r="D106" s="14" t="n">
        <f aca="false">травень!P106</f>
        <v>8385.05</v>
      </c>
      <c r="E106" s="14" t="n">
        <f aca="false">травень!Q106</f>
        <v>0</v>
      </c>
      <c r="F106" s="13" t="n">
        <f aca="false">травень!F106</f>
        <v>0</v>
      </c>
      <c r="G106" s="13" t="n">
        <f aca="false">травень!G106</f>
        <v>49.8</v>
      </c>
      <c r="H106" s="13" t="n">
        <f aca="false">травень!H106</f>
        <v>0</v>
      </c>
      <c r="I106" s="13" t="n">
        <f aca="false">травень!I106</f>
        <v>4.1</v>
      </c>
      <c r="J106" s="14" t="n">
        <f aca="false">ROUND(G106*I106,2)</f>
        <v>204.18</v>
      </c>
      <c r="K106" s="14"/>
      <c r="L106" s="14"/>
      <c r="M106" s="14"/>
      <c r="N106" s="14" t="n">
        <f aca="false">ROUND((G106*I106)-K106-L106-M106,2)</f>
        <v>204.18</v>
      </c>
      <c r="O106" s="14"/>
      <c r="P106" s="14" t="n">
        <f aca="false">ROUND(IF(D106=0,IF((N106-E106-O106)&gt;0,(N106-E106-O106),0),IF((D106+N106-O106)&gt;0,(D106+N106-O106),0)),2)</f>
        <v>8589.23</v>
      </c>
      <c r="Q106" s="14" t="n">
        <f aca="false">ROUND(IF(E106=0,IF((D106+N106-O106)&lt;0,ABS(D106+N106-O106),0),IF((N106-E106-O106)&lt;0,ABS(N106-E106-O106),0)),2)</f>
        <v>0</v>
      </c>
    </row>
    <row r="107" customFormat="false" ht="15" hidden="false" customHeight="true" outlineLevel="0" collapsed="false">
      <c r="A107" s="12" t="s">
        <v>317</v>
      </c>
      <c r="B107" s="12" t="s">
        <v>318</v>
      </c>
      <c r="C107" s="12" t="s">
        <v>319</v>
      </c>
      <c r="D107" s="14" t="n">
        <f aca="false">травень!P107</f>
        <v>6679.41</v>
      </c>
      <c r="E107" s="14" t="n">
        <f aca="false">травень!Q107</f>
        <v>0</v>
      </c>
      <c r="F107" s="13" t="n">
        <f aca="false">травень!F107</f>
        <v>0</v>
      </c>
      <c r="G107" s="13" t="n">
        <f aca="false">травень!G107</f>
        <v>34.9</v>
      </c>
      <c r="H107" s="13" t="n">
        <f aca="false">травень!H107</f>
        <v>0</v>
      </c>
      <c r="I107" s="13" t="n">
        <f aca="false">травень!I107</f>
        <v>4.1</v>
      </c>
      <c r="J107" s="14" t="n">
        <f aca="false">ROUND(G107*I107,2)</f>
        <v>143.09</v>
      </c>
      <c r="K107" s="14"/>
      <c r="L107" s="14"/>
      <c r="M107" s="14"/>
      <c r="N107" s="14" t="n">
        <f aca="false">ROUND((G107*I107)-K107-L107-M107,2)</f>
        <v>143.09</v>
      </c>
      <c r="O107" s="14"/>
      <c r="P107" s="14" t="n">
        <f aca="false">ROUND(IF(D107=0,IF((N107-E107-O107)&gt;0,(N107-E107-O107),0),IF((D107+N107-O107)&gt;0,(D107+N107-O107),0)),2)</f>
        <v>6822.5</v>
      </c>
      <c r="Q107" s="14" t="n">
        <f aca="false">ROUND(IF(E107=0,IF((D107+N107-O107)&lt;0,ABS(D107+N107-O107),0),IF((N107-E107-O107)&lt;0,ABS(N107-E107-O107),0)),2)</f>
        <v>0</v>
      </c>
    </row>
    <row r="108" customFormat="false" ht="15" hidden="false" customHeight="true" outlineLevel="0" collapsed="false">
      <c r="A108" s="12" t="s">
        <v>320</v>
      </c>
      <c r="B108" s="12" t="s">
        <v>321</v>
      </c>
      <c r="C108" s="12" t="s">
        <v>322</v>
      </c>
      <c r="D108" s="14" t="n">
        <f aca="false">травень!P108</f>
        <v>13384.04</v>
      </c>
      <c r="E108" s="14" t="n">
        <f aca="false">травень!Q108</f>
        <v>0</v>
      </c>
      <c r="F108" s="13" t="n">
        <f aca="false">травень!F108</f>
        <v>0</v>
      </c>
      <c r="G108" s="13" t="n">
        <f aca="false">травень!G108</f>
        <v>62.78</v>
      </c>
      <c r="H108" s="13" t="n">
        <f aca="false">травень!H108</f>
        <v>0</v>
      </c>
      <c r="I108" s="13" t="n">
        <f aca="false">травень!I108</f>
        <v>4.1</v>
      </c>
      <c r="J108" s="14" t="n">
        <f aca="false">ROUND(G108*I108,2)</f>
        <v>257.4</v>
      </c>
      <c r="K108" s="14"/>
      <c r="L108" s="14"/>
      <c r="M108" s="14"/>
      <c r="N108" s="14" t="n">
        <f aca="false">ROUND((G108*I108)-K108-L108-M108,2)</f>
        <v>257.4</v>
      </c>
      <c r="O108" s="14"/>
      <c r="P108" s="14" t="n">
        <f aca="false">ROUND(IF(D108=0,IF((N108-E108-O108)&gt;0,(N108-E108-O108),0),IF((D108+N108-O108)&gt;0,(D108+N108-O108),0)),2)</f>
        <v>13641.44</v>
      </c>
      <c r="Q108" s="14" t="n">
        <f aca="false">ROUND(IF(E108=0,IF((D108+N108-O108)&lt;0,ABS(D108+N108-O108),0),IF((N108-E108-O108)&lt;0,ABS(N108-E108-O108),0)),2)</f>
        <v>0</v>
      </c>
    </row>
    <row r="109" customFormat="false" ht="15" hidden="false" customHeight="true" outlineLevel="0" collapsed="false">
      <c r="A109" s="12" t="s">
        <v>323</v>
      </c>
      <c r="B109" s="12" t="s">
        <v>324</v>
      </c>
      <c r="C109" s="12" t="s">
        <v>325</v>
      </c>
      <c r="D109" s="14" t="n">
        <f aca="false">травень!P109</f>
        <v>14052.15</v>
      </c>
      <c r="E109" s="14" t="n">
        <f aca="false">травень!Q109</f>
        <v>0</v>
      </c>
      <c r="F109" s="13" t="n">
        <f aca="false">травень!F109</f>
        <v>0</v>
      </c>
      <c r="G109" s="13" t="n">
        <f aca="false">травень!G109</f>
        <v>66.29</v>
      </c>
      <c r="H109" s="13" t="n">
        <f aca="false">травень!H109</f>
        <v>0</v>
      </c>
      <c r="I109" s="13" t="n">
        <f aca="false">травень!I109</f>
        <v>4.1</v>
      </c>
      <c r="J109" s="14" t="n">
        <f aca="false">ROUND(G109*I109,2)</f>
        <v>271.79</v>
      </c>
      <c r="K109" s="14"/>
      <c r="L109" s="14"/>
      <c r="M109" s="14"/>
      <c r="N109" s="14" t="n">
        <f aca="false">ROUND((G109*I109)-K109-L109-M109,2)</f>
        <v>271.79</v>
      </c>
      <c r="O109" s="14"/>
      <c r="P109" s="14" t="n">
        <f aca="false">ROUND(IF(D109=0,IF((N109-E109-O109)&gt;0,(N109-E109-O109),0),IF((D109+N109-O109)&gt;0,(D109+N109-O109),0)),2)</f>
        <v>14323.94</v>
      </c>
      <c r="Q109" s="14" t="n">
        <f aca="false">ROUND(IF(E109=0,IF((D109+N109-O109)&lt;0,ABS(D109+N109-O109),0),IF((N109-E109-O109)&lt;0,ABS(N109-E109-O109),0)),2)</f>
        <v>0</v>
      </c>
    </row>
    <row r="110" customFormat="false" ht="15" hidden="false" customHeight="true" outlineLevel="0" collapsed="false">
      <c r="A110" s="12" t="s">
        <v>326</v>
      </c>
      <c r="B110" s="12" t="s">
        <v>327</v>
      </c>
      <c r="C110" s="12" t="s">
        <v>328</v>
      </c>
      <c r="D110" s="14" t="n">
        <f aca="false">травень!P110</f>
        <v>10274</v>
      </c>
      <c r="E110" s="14" t="n">
        <f aca="false">травень!Q110</f>
        <v>0</v>
      </c>
      <c r="F110" s="13" t="n">
        <f aca="false">травень!F110</f>
        <v>0</v>
      </c>
      <c r="G110" s="13" t="n">
        <f aca="false">травень!G110</f>
        <v>50</v>
      </c>
      <c r="H110" s="13" t="n">
        <f aca="false">травень!H110</f>
        <v>0</v>
      </c>
      <c r="I110" s="13" t="n">
        <f aca="false">травень!I110</f>
        <v>4.1</v>
      </c>
      <c r="J110" s="14" t="n">
        <f aca="false">ROUND(G110*I110,2)</f>
        <v>205</v>
      </c>
      <c r="K110" s="14"/>
      <c r="L110" s="14"/>
      <c r="M110" s="14"/>
      <c r="N110" s="14" t="n">
        <f aca="false">ROUND((G110*I110)-K110-L110-M110,2)</f>
        <v>205</v>
      </c>
      <c r="O110" s="14"/>
      <c r="P110" s="14" t="n">
        <f aca="false">ROUND(IF(D110=0,IF((N110-E110-O110)&gt;0,(N110-E110-O110),0),IF((D110+N110-O110)&gt;0,(D110+N110-O110),0)),2)</f>
        <v>10479</v>
      </c>
      <c r="Q110" s="14" t="n">
        <f aca="false">ROUND(IF(E110=0,IF((D110+N110-O110)&lt;0,ABS(D110+N110-O110),0),IF((N110-E110-O110)&lt;0,ABS(N110-E110-O110),0)),2)</f>
        <v>0</v>
      </c>
    </row>
    <row r="111" customFormat="false" ht="15" hidden="false" customHeight="true" outlineLevel="0" collapsed="false">
      <c r="A111" s="12" t="s">
        <v>329</v>
      </c>
      <c r="B111" s="12" t="s">
        <v>330</v>
      </c>
      <c r="C111" s="12" t="s">
        <v>331</v>
      </c>
      <c r="D111" s="14" t="n">
        <f aca="false">травень!P111</f>
        <v>7538.59</v>
      </c>
      <c r="E111" s="14" t="n">
        <f aca="false">травень!Q111</f>
        <v>0</v>
      </c>
      <c r="F111" s="13" t="n">
        <f aca="false">травень!F111</f>
        <v>0</v>
      </c>
      <c r="G111" s="13" t="n">
        <f aca="false">травень!G111</f>
        <v>35</v>
      </c>
      <c r="H111" s="13" t="n">
        <f aca="false">травень!H111</f>
        <v>0</v>
      </c>
      <c r="I111" s="13" t="n">
        <f aca="false">травень!I111</f>
        <v>4.1</v>
      </c>
      <c r="J111" s="14" t="n">
        <f aca="false">ROUND(G111*I111,2)</f>
        <v>143.5</v>
      </c>
      <c r="K111" s="14"/>
      <c r="L111" s="14"/>
      <c r="M111" s="14"/>
      <c r="N111" s="14" t="n">
        <f aca="false">ROUND((G111*I111)-K111-L111-M111,2)</f>
        <v>143.5</v>
      </c>
      <c r="O111" s="14"/>
      <c r="P111" s="14" t="n">
        <f aca="false">ROUND(IF(D111=0,IF((N111-E111-O111)&gt;0,(N111-E111-O111),0),IF((D111+N111-O111)&gt;0,(D111+N111-O111),0)),2)</f>
        <v>7682.09</v>
      </c>
      <c r="Q111" s="14" t="n">
        <f aca="false">ROUND(IF(E111=0,IF((D111+N111-O111)&lt;0,ABS(D111+N111-O111),0),IF((N111-E111-O111)&lt;0,ABS(N111-E111-O111),0)),2)</f>
        <v>0</v>
      </c>
    </row>
    <row r="112" customFormat="false" ht="15" hidden="false" customHeight="true" outlineLevel="0" collapsed="false">
      <c r="A112" s="12" t="s">
        <v>332</v>
      </c>
      <c r="B112" s="12" t="s">
        <v>333</v>
      </c>
      <c r="C112" s="12" t="s">
        <v>334</v>
      </c>
      <c r="D112" s="14" t="n">
        <f aca="false">травень!P112</f>
        <v>4258.67</v>
      </c>
      <c r="E112" s="14" t="n">
        <f aca="false">травень!Q112</f>
        <v>0</v>
      </c>
      <c r="F112" s="13" t="n">
        <f aca="false">травень!F112</f>
        <v>0</v>
      </c>
      <c r="G112" s="13" t="n">
        <f aca="false">травень!G112</f>
        <v>61.1</v>
      </c>
      <c r="H112" s="13" t="n">
        <f aca="false">травень!H112</f>
        <v>0</v>
      </c>
      <c r="I112" s="13" t="n">
        <f aca="false">травень!I112</f>
        <v>4.1</v>
      </c>
      <c r="J112" s="14" t="n">
        <f aca="false">ROUND(G112*I112,2)</f>
        <v>250.51</v>
      </c>
      <c r="K112" s="14"/>
      <c r="L112" s="14"/>
      <c r="M112" s="14"/>
      <c r="N112" s="14" t="n">
        <f aca="false">ROUND((G112*I112)-K112-L112-M112,2)</f>
        <v>250.51</v>
      </c>
      <c r="O112" s="14"/>
      <c r="P112" s="14" t="n">
        <f aca="false">ROUND(IF(D112=0,IF((N112-E112-O112)&gt;0,(N112-E112-O112),0),IF((D112+N112-O112)&gt;0,(D112+N112-O112),0)),2)</f>
        <v>4509.18</v>
      </c>
      <c r="Q112" s="14" t="n">
        <f aca="false">ROUND(IF(E112=0,IF((D112+N112-O112)&lt;0,ABS(D112+N112-O112),0),IF((N112-E112-O112)&lt;0,ABS(N112-E112-O112),0)),2)</f>
        <v>0</v>
      </c>
    </row>
    <row r="113" customFormat="false" ht="15" hidden="false" customHeight="true" outlineLevel="0" collapsed="false">
      <c r="A113" s="12" t="s">
        <v>335</v>
      </c>
      <c r="B113" s="12" t="s">
        <v>336</v>
      </c>
      <c r="C113" s="12" t="s">
        <v>337</v>
      </c>
      <c r="D113" s="14" t="n">
        <f aca="false">травень!P113</f>
        <v>12816.02</v>
      </c>
      <c r="E113" s="14" t="n">
        <f aca="false">травень!Q113</f>
        <v>0</v>
      </c>
      <c r="F113" s="13" t="n">
        <f aca="false">травень!F113</f>
        <v>0</v>
      </c>
      <c r="G113" s="13" t="n">
        <f aca="false">травень!G113</f>
        <v>64.89</v>
      </c>
      <c r="H113" s="13" t="n">
        <f aca="false">травень!H113</f>
        <v>0</v>
      </c>
      <c r="I113" s="13" t="n">
        <f aca="false">травень!I113</f>
        <v>4.1</v>
      </c>
      <c r="J113" s="14" t="n">
        <f aca="false">ROUND(G113*I113,2)</f>
        <v>266.05</v>
      </c>
      <c r="K113" s="14"/>
      <c r="L113" s="14"/>
      <c r="M113" s="14"/>
      <c r="N113" s="14" t="n">
        <f aca="false">ROUND((G113*I113)-K113-L113-M113,2)</f>
        <v>266.05</v>
      </c>
      <c r="O113" s="14"/>
      <c r="P113" s="14" t="n">
        <f aca="false">ROUND(IF(D113=0,IF((N113-E113-O113)&gt;0,(N113-E113-O113),0),IF((D113+N113-O113)&gt;0,(D113+N113-O113),0)),2)</f>
        <v>13082.07</v>
      </c>
      <c r="Q113" s="14" t="n">
        <f aca="false">ROUND(IF(E113=0,IF((D113+N113-O113)&lt;0,ABS(D113+N113-O113),0),IF((N113-E113-O113)&lt;0,ABS(N113-E113-O113),0)),2)</f>
        <v>0</v>
      </c>
    </row>
    <row r="114" customFormat="false" ht="15" hidden="false" customHeight="true" outlineLevel="0" collapsed="false">
      <c r="A114" s="12" t="s">
        <v>338</v>
      </c>
      <c r="B114" s="12" t="s">
        <v>339</v>
      </c>
      <c r="C114" s="12" t="s">
        <v>340</v>
      </c>
      <c r="D114" s="14" t="n">
        <f aca="false">травень!P114</f>
        <v>819.2</v>
      </c>
      <c r="E114" s="14" t="n">
        <f aca="false">травень!Q114</f>
        <v>0</v>
      </c>
      <c r="F114" s="13" t="n">
        <f aca="false">травень!F114</f>
        <v>0</v>
      </c>
      <c r="G114" s="13" t="n">
        <f aca="false">травень!G114</f>
        <v>49.96</v>
      </c>
      <c r="H114" s="13" t="n">
        <f aca="false">травень!H114</f>
        <v>0</v>
      </c>
      <c r="I114" s="13" t="n">
        <f aca="false">травень!I114</f>
        <v>4.1</v>
      </c>
      <c r="J114" s="14" t="n">
        <f aca="false">ROUND(G114*I114,2)</f>
        <v>204.84</v>
      </c>
      <c r="K114" s="14"/>
      <c r="L114" s="14"/>
      <c r="M114" s="14"/>
      <c r="N114" s="14" t="n">
        <f aca="false">ROUND((G114*I114)-K114-L114-M114,2)</f>
        <v>204.84</v>
      </c>
      <c r="O114" s="14"/>
      <c r="P114" s="14" t="n">
        <f aca="false">ROUND(IF(D114=0,IF((N114-E114-O114)&gt;0,(N114-E114-O114),0),IF((D114+N114-O114)&gt;0,(D114+N114-O114),0)),2)</f>
        <v>1024.04</v>
      </c>
      <c r="Q114" s="14" t="n">
        <f aca="false">ROUND(IF(E114=0,IF((D114+N114-O114)&lt;0,ABS(D114+N114-O114),0),IF((N114-E114-O114)&lt;0,ABS(N114-E114-O114),0)),2)</f>
        <v>0</v>
      </c>
    </row>
    <row r="115" customFormat="false" ht="15" hidden="false" customHeight="true" outlineLevel="0" collapsed="false">
      <c r="A115" s="12" t="s">
        <v>341</v>
      </c>
      <c r="B115" s="12" t="s">
        <v>342</v>
      </c>
      <c r="C115" s="12" t="s">
        <v>343</v>
      </c>
      <c r="D115" s="14" t="n">
        <f aca="false">травень!P115</f>
        <v>707.25</v>
      </c>
      <c r="E115" s="14" t="n">
        <f aca="false">травень!Q115</f>
        <v>0</v>
      </c>
      <c r="F115" s="13" t="n">
        <f aca="false">травень!F115</f>
        <v>0</v>
      </c>
      <c r="G115" s="13" t="n">
        <f aca="false">травень!G115</f>
        <v>34.5</v>
      </c>
      <c r="H115" s="13" t="n">
        <f aca="false">травень!H115</f>
        <v>0</v>
      </c>
      <c r="I115" s="13" t="n">
        <f aca="false">травень!I115</f>
        <v>4.1</v>
      </c>
      <c r="J115" s="14" t="n">
        <f aca="false">ROUND(G115*I115,2)</f>
        <v>141.45</v>
      </c>
      <c r="K115" s="14"/>
      <c r="L115" s="14"/>
      <c r="M115" s="14"/>
      <c r="N115" s="14" t="n">
        <f aca="false">ROUND((G115*I115)-K115-L115-M115,2)</f>
        <v>141.45</v>
      </c>
      <c r="O115" s="14"/>
      <c r="P115" s="14" t="n">
        <f aca="false">ROUND(IF(D115=0,IF((N115-E115-O115)&gt;0,(N115-E115-O115),0),IF((D115+N115-O115)&gt;0,(D115+N115-O115),0)),2)</f>
        <v>848.7</v>
      </c>
      <c r="Q115" s="14" t="n">
        <f aca="false">ROUND(IF(E115=0,IF((D115+N115-O115)&lt;0,ABS(D115+N115-O115),0),IF((N115-E115-O115)&lt;0,ABS(N115-E115-O115),0)),2)</f>
        <v>0</v>
      </c>
    </row>
    <row r="116" customFormat="false" ht="15" hidden="false" customHeight="true" outlineLevel="0" collapsed="false">
      <c r="A116" s="12" t="s">
        <v>344</v>
      </c>
      <c r="B116" s="12" t="s">
        <v>345</v>
      </c>
      <c r="C116" s="12" t="s">
        <v>346</v>
      </c>
      <c r="D116" s="14" t="n">
        <f aca="false">травень!P116</f>
        <v>16430.49</v>
      </c>
      <c r="E116" s="14" t="n">
        <f aca="false">травень!Q116</f>
        <v>0</v>
      </c>
      <c r="F116" s="13" t="n">
        <f aca="false">травень!F116</f>
        <v>0</v>
      </c>
      <c r="G116" s="13" t="n">
        <f aca="false">травень!G116</f>
        <v>62.9</v>
      </c>
      <c r="H116" s="13" t="n">
        <f aca="false">травень!H116</f>
        <v>0</v>
      </c>
      <c r="I116" s="13" t="n">
        <f aca="false">травень!I116</f>
        <v>4.1</v>
      </c>
      <c r="J116" s="14" t="n">
        <f aca="false">ROUND(G116*I116,2)</f>
        <v>257.89</v>
      </c>
      <c r="K116" s="14"/>
      <c r="L116" s="14"/>
      <c r="M116" s="14"/>
      <c r="N116" s="14" t="n">
        <f aca="false">ROUND((G116*I116)-K116-L116-M116,2)</f>
        <v>257.89</v>
      </c>
      <c r="O116" s="14"/>
      <c r="P116" s="14" t="n">
        <f aca="false">ROUND(IF(D116=0,IF((N116-E116-O116)&gt;0,(N116-E116-O116),0),IF((D116+N116-O116)&gt;0,(D116+N116-O116),0)),2)</f>
        <v>16688.38</v>
      </c>
      <c r="Q116" s="14" t="n">
        <f aca="false">ROUND(IF(E116=0,IF((D116+N116-O116)&lt;0,ABS(D116+N116-O116),0),IF((N116-E116-O116)&lt;0,ABS(N116-E116-O116),0)),2)</f>
        <v>0</v>
      </c>
    </row>
    <row r="117" customFormat="false" ht="15" hidden="false" customHeight="true" outlineLevel="0" collapsed="false">
      <c r="A117" s="12" t="s">
        <v>347</v>
      </c>
      <c r="B117" s="12" t="s">
        <v>348</v>
      </c>
      <c r="C117" s="12" t="s">
        <v>349</v>
      </c>
      <c r="D117" s="14" t="n">
        <f aca="false">травень!P117</f>
        <v>2391.12</v>
      </c>
      <c r="E117" s="14" t="n">
        <f aca="false">травень!Q117</f>
        <v>0</v>
      </c>
      <c r="F117" s="13" t="n">
        <f aca="false">травень!F117</f>
        <v>0</v>
      </c>
      <c r="G117" s="13" t="n">
        <f aca="false">травень!G117</f>
        <v>97.2</v>
      </c>
      <c r="H117" s="13" t="n">
        <f aca="false">травень!H117</f>
        <v>0</v>
      </c>
      <c r="I117" s="13" t="n">
        <f aca="false">травень!I117</f>
        <v>4.1</v>
      </c>
      <c r="J117" s="14" t="n">
        <f aca="false">ROUND(G117*I117,2)</f>
        <v>398.52</v>
      </c>
      <c r="K117" s="14"/>
      <c r="L117" s="14"/>
      <c r="M117" s="14"/>
      <c r="N117" s="14" t="n">
        <f aca="false">ROUND((G117*I117)-K117-L117-M117,2)</f>
        <v>398.52</v>
      </c>
      <c r="O117" s="14"/>
      <c r="P117" s="14" t="n">
        <f aca="false">ROUND(IF(D117=0,IF((N117-E117-O117)&gt;0,(N117-E117-O117),0),IF((D117+N117-O117)&gt;0,(D117+N117-O117),0)),2)</f>
        <v>2789.64</v>
      </c>
      <c r="Q117" s="14" t="n">
        <f aca="false">ROUND(IF(E117=0,IF((D117+N117-O117)&lt;0,ABS(D117+N117-O117),0),IF((N117-E117-O117)&lt;0,ABS(N117-E117-O117),0)),2)</f>
        <v>0</v>
      </c>
    </row>
    <row r="118" customFormat="false" ht="15" hidden="false" customHeight="true" outlineLevel="0" collapsed="false">
      <c r="A118" s="12" t="s">
        <v>350</v>
      </c>
      <c r="B118" s="12" t="s">
        <v>351</v>
      </c>
      <c r="C118" s="12" t="s">
        <v>352</v>
      </c>
      <c r="D118" s="14" t="n">
        <f aca="false">травень!P118</f>
        <v>999.4</v>
      </c>
      <c r="E118" s="14" t="n">
        <f aca="false">травень!Q118</f>
        <v>0</v>
      </c>
      <c r="F118" s="13" t="n">
        <f aca="false">травень!F118</f>
        <v>0</v>
      </c>
      <c r="G118" s="13" t="n">
        <f aca="false">травень!G118</f>
        <v>48.75</v>
      </c>
      <c r="H118" s="13" t="n">
        <f aca="false">травень!H118</f>
        <v>0</v>
      </c>
      <c r="I118" s="13" t="n">
        <f aca="false">травень!I118</f>
        <v>4.1</v>
      </c>
      <c r="J118" s="14" t="n">
        <f aca="false">ROUND(G118*I118,2)</f>
        <v>199.88</v>
      </c>
      <c r="K118" s="14"/>
      <c r="L118" s="14"/>
      <c r="M118" s="14"/>
      <c r="N118" s="14" t="n">
        <f aca="false">ROUND((G118*I118)-K118-L118-M118,2)</f>
        <v>199.88</v>
      </c>
      <c r="O118" s="14"/>
      <c r="P118" s="14" t="n">
        <f aca="false">ROUND(IF(D118=0,IF((N118-E118-O118)&gt;0,(N118-E118-O118),0),IF((D118+N118-O118)&gt;0,(D118+N118-O118),0)),2)</f>
        <v>1199.28</v>
      </c>
      <c r="Q118" s="14" t="n">
        <f aca="false">ROUND(IF(E118=0,IF((D118+N118-O118)&lt;0,ABS(D118+N118-O118),0),IF((N118-E118-O118)&lt;0,ABS(N118-E118-O118),0)),2)</f>
        <v>0</v>
      </c>
    </row>
    <row r="119" customFormat="false" ht="15" hidden="false" customHeight="true" outlineLevel="0" collapsed="false">
      <c r="A119" s="12" t="s">
        <v>353</v>
      </c>
      <c r="B119" s="12" t="s">
        <v>354</v>
      </c>
      <c r="C119" s="12" t="s">
        <v>355</v>
      </c>
      <c r="D119" s="14" t="n">
        <f aca="false">травень!P119</f>
        <v>1488.7</v>
      </c>
      <c r="E119" s="14" t="n">
        <f aca="false">травень!Q119</f>
        <v>0</v>
      </c>
      <c r="F119" s="13" t="n">
        <f aca="false">травень!F119</f>
        <v>0</v>
      </c>
      <c r="G119" s="13" t="n">
        <f aca="false">травень!G119</f>
        <v>63.8</v>
      </c>
      <c r="H119" s="13" t="n">
        <f aca="false">травень!H119</f>
        <v>0</v>
      </c>
      <c r="I119" s="13" t="n">
        <f aca="false">травень!I119</f>
        <v>4.1</v>
      </c>
      <c r="J119" s="14" t="n">
        <f aca="false">ROUND(G119*I119,2)</f>
        <v>261.58</v>
      </c>
      <c r="K119" s="14"/>
      <c r="L119" s="14"/>
      <c r="M119" s="14"/>
      <c r="N119" s="14" t="n">
        <f aca="false">ROUND((G119*I119)-K119-L119-M119,2)</f>
        <v>261.58</v>
      </c>
      <c r="O119" s="14"/>
      <c r="P119" s="14" t="n">
        <f aca="false">ROUND(IF(D119=0,IF((N119-E119-O119)&gt;0,(N119-E119-O119),0),IF((D119+N119-O119)&gt;0,(D119+N119-O119),0)),2)</f>
        <v>1750.28</v>
      </c>
      <c r="Q119" s="14" t="n">
        <f aca="false">ROUND(IF(E119=0,IF((D119+N119-O119)&lt;0,ABS(D119+N119-O119),0),IF((N119-E119-O119)&lt;0,ABS(N119-E119-O119),0)),2)</f>
        <v>0</v>
      </c>
    </row>
    <row r="120" customFormat="false" ht="15" hidden="false" customHeight="true" outlineLevel="0" collapsed="false">
      <c r="A120" s="12" t="s">
        <v>356</v>
      </c>
      <c r="B120" s="12" t="s">
        <v>357</v>
      </c>
      <c r="C120" s="12" t="s">
        <v>358</v>
      </c>
      <c r="D120" s="14" t="n">
        <f aca="false">травень!P120</f>
        <v>18517.55</v>
      </c>
      <c r="E120" s="14" t="n">
        <f aca="false">травень!Q120</f>
        <v>0</v>
      </c>
      <c r="F120" s="13" t="n">
        <f aca="false">травень!F120</f>
        <v>0</v>
      </c>
      <c r="G120" s="13" t="n">
        <f aca="false">травень!G120</f>
        <v>62.6</v>
      </c>
      <c r="H120" s="13" t="n">
        <f aca="false">травень!H120</f>
        <v>0</v>
      </c>
      <c r="I120" s="13" t="n">
        <f aca="false">травень!I120</f>
        <v>4.1</v>
      </c>
      <c r="J120" s="14" t="n">
        <f aca="false">ROUND(G120*I120,2)</f>
        <v>256.66</v>
      </c>
      <c r="K120" s="14"/>
      <c r="L120" s="14"/>
      <c r="M120" s="14"/>
      <c r="N120" s="14" t="n">
        <f aca="false">ROUND((G120*I120)-K120-L120-M120,2)</f>
        <v>256.66</v>
      </c>
      <c r="O120" s="14"/>
      <c r="P120" s="14" t="n">
        <f aca="false">ROUND(IF(D120=0,IF((N120-E120-O120)&gt;0,(N120-E120-O120),0),IF((D120+N120-O120)&gt;0,(D120+N120-O120),0)),2)</f>
        <v>18774.21</v>
      </c>
      <c r="Q120" s="14" t="n">
        <f aca="false">ROUND(IF(E120=0,IF((D120+N120-O120)&lt;0,ABS(D120+N120-O120),0),IF((N120-E120-O120)&lt;0,ABS(N120-E120-O120),0)),2)</f>
        <v>0</v>
      </c>
    </row>
    <row r="121" customFormat="false" ht="15" hidden="false" customHeight="true" outlineLevel="0" collapsed="false">
      <c r="A121" s="12" t="s">
        <v>359</v>
      </c>
      <c r="B121" s="12" t="s">
        <v>360</v>
      </c>
      <c r="C121" s="12" t="s">
        <v>361</v>
      </c>
      <c r="D121" s="14" t="n">
        <f aca="false">травень!P121</f>
        <v>3114.54</v>
      </c>
      <c r="E121" s="14" t="n">
        <f aca="false">травень!Q121</f>
        <v>0</v>
      </c>
      <c r="F121" s="13" t="n">
        <f aca="false">травень!F121</f>
        <v>0</v>
      </c>
      <c r="G121" s="13" t="n">
        <f aca="false">травень!G121</f>
        <v>34.7</v>
      </c>
      <c r="H121" s="13" t="n">
        <f aca="false">травень!H121</f>
        <v>0</v>
      </c>
      <c r="I121" s="13" t="n">
        <f aca="false">травень!I121</f>
        <v>4.1</v>
      </c>
      <c r="J121" s="14" t="n">
        <f aca="false">ROUND(G121*I121,2)</f>
        <v>142.27</v>
      </c>
      <c r="K121" s="14"/>
      <c r="L121" s="14"/>
      <c r="M121" s="14"/>
      <c r="N121" s="14" t="n">
        <f aca="false">ROUND((G121*I121)-K121-L121-M121,2)</f>
        <v>142.27</v>
      </c>
      <c r="O121" s="14"/>
      <c r="P121" s="14" t="n">
        <f aca="false">ROUND(IF(D121=0,IF((N121-E121-O121)&gt;0,(N121-E121-O121),0),IF((D121+N121-O121)&gt;0,(D121+N121-O121),0)),2)</f>
        <v>3256.81</v>
      </c>
      <c r="Q121" s="14" t="n">
        <f aca="false">ROUND(IF(E121=0,IF((D121+N121-O121)&lt;0,ABS(D121+N121-O121),0),IF((N121-E121-O121)&lt;0,ABS(N121-E121-O121),0)),2)</f>
        <v>0</v>
      </c>
    </row>
    <row r="122" customFormat="false" ht="15" hidden="false" customHeight="true" outlineLevel="0" collapsed="false">
      <c r="A122" s="12" t="s">
        <v>362</v>
      </c>
      <c r="B122" s="12" t="s">
        <v>363</v>
      </c>
      <c r="C122" s="12" t="s">
        <v>364</v>
      </c>
      <c r="D122" s="14" t="n">
        <f aca="false">травень!P122</f>
        <v>4259.45</v>
      </c>
      <c r="E122" s="14" t="n">
        <f aca="false">травень!Q122</f>
        <v>0</v>
      </c>
      <c r="F122" s="13" t="n">
        <f aca="false">травень!F122</f>
        <v>0</v>
      </c>
      <c r="G122" s="13" t="n">
        <f aca="false">травень!G122</f>
        <v>49.72</v>
      </c>
      <c r="H122" s="13" t="n">
        <f aca="false">травень!H122</f>
        <v>0</v>
      </c>
      <c r="I122" s="13" t="n">
        <f aca="false">травень!I122</f>
        <v>4.1</v>
      </c>
      <c r="J122" s="14" t="n">
        <f aca="false">ROUND(G122*I122,2)</f>
        <v>203.85</v>
      </c>
      <c r="K122" s="14"/>
      <c r="L122" s="14"/>
      <c r="M122" s="14"/>
      <c r="N122" s="14" t="n">
        <f aca="false">ROUND((G122*I122)-K122-L122-M122,2)</f>
        <v>203.85</v>
      </c>
      <c r="O122" s="14"/>
      <c r="P122" s="14" t="n">
        <f aca="false">ROUND(IF(D122=0,IF((N122-E122-O122)&gt;0,(N122-E122-O122),0),IF((D122+N122-O122)&gt;0,(D122+N122-O122),0)),2)</f>
        <v>4463.3</v>
      </c>
      <c r="Q122" s="14" t="n">
        <f aca="false">ROUND(IF(E122=0,IF((D122+N122-O122)&lt;0,ABS(D122+N122-O122),0),IF((N122-E122-O122)&lt;0,ABS(N122-E122-O122),0)),2)</f>
        <v>0</v>
      </c>
    </row>
    <row r="123" customFormat="false" ht="15" hidden="false" customHeight="true" outlineLevel="0" collapsed="false">
      <c r="A123" s="12" t="s">
        <v>365</v>
      </c>
      <c r="B123" s="12" t="s">
        <v>366</v>
      </c>
      <c r="C123" s="12" t="s">
        <v>367</v>
      </c>
      <c r="D123" s="14" t="n">
        <f aca="false">травень!P123</f>
        <v>1386.01</v>
      </c>
      <c r="E123" s="14" t="n">
        <f aca="false">травень!Q123</f>
        <v>0</v>
      </c>
      <c r="F123" s="13" t="n">
        <f aca="false">травень!F123</f>
        <v>0</v>
      </c>
      <c r="G123" s="13" t="n">
        <f aca="false">травень!G123</f>
        <v>65.1</v>
      </c>
      <c r="H123" s="13" t="n">
        <f aca="false">травень!H123</f>
        <v>0</v>
      </c>
      <c r="I123" s="13" t="n">
        <f aca="false">травень!I123</f>
        <v>4.1</v>
      </c>
      <c r="J123" s="14" t="n">
        <f aca="false">ROUND(G123*I123,2)</f>
        <v>266.91</v>
      </c>
      <c r="K123" s="14"/>
      <c r="L123" s="14"/>
      <c r="M123" s="14"/>
      <c r="N123" s="14" t="n">
        <f aca="false">ROUND((G123*I123)-K123-L123-M123,2)</f>
        <v>266.91</v>
      </c>
      <c r="O123" s="14"/>
      <c r="P123" s="14" t="n">
        <f aca="false">ROUND(IF(D123=0,IF((N123-E123-O123)&gt;0,(N123-E123-O123),0),IF((D123+N123-O123)&gt;0,(D123+N123-O123),0)),2)</f>
        <v>1652.92</v>
      </c>
      <c r="Q123" s="14" t="n">
        <f aca="false">ROUND(IF(E123=0,IF((D123+N123-O123)&lt;0,ABS(D123+N123-O123),0),IF((N123-E123-O123)&lt;0,ABS(N123-E123-O123),0)),2)</f>
        <v>0</v>
      </c>
    </row>
    <row r="124" customFormat="false" ht="15" hidden="false" customHeight="true" outlineLevel="0" collapsed="false">
      <c r="A124" s="12" t="s">
        <v>368</v>
      </c>
      <c r="B124" s="12" t="s">
        <v>369</v>
      </c>
      <c r="C124" s="12" t="s">
        <v>370</v>
      </c>
      <c r="D124" s="14" t="n">
        <f aca="false">травень!P124</f>
        <v>1267.38</v>
      </c>
      <c r="E124" s="14" t="n">
        <f aca="false">травень!Q124</f>
        <v>0</v>
      </c>
      <c r="F124" s="13" t="n">
        <f aca="false">травень!F124</f>
        <v>0</v>
      </c>
      <c r="G124" s="13" t="n">
        <f aca="false">травень!G124</f>
        <v>62.18</v>
      </c>
      <c r="H124" s="13" t="n">
        <f aca="false">травень!H124</f>
        <v>0</v>
      </c>
      <c r="I124" s="13" t="n">
        <f aca="false">травень!I124</f>
        <v>4.1</v>
      </c>
      <c r="J124" s="14" t="n">
        <f aca="false">ROUND(G124*I124,2)</f>
        <v>254.94</v>
      </c>
      <c r="K124" s="14"/>
      <c r="L124" s="14"/>
      <c r="M124" s="14"/>
      <c r="N124" s="14" t="n">
        <f aca="false">ROUND((G124*I124)-K124-L124-M124,2)</f>
        <v>254.94</v>
      </c>
      <c r="O124" s="14"/>
      <c r="P124" s="14" t="n">
        <f aca="false">ROUND(IF(D124=0,IF((N124-E124-O124)&gt;0,(N124-E124-O124),0),IF((D124+N124-O124)&gt;0,(D124+N124-O124),0)),2)</f>
        <v>1522.32</v>
      </c>
      <c r="Q124" s="14" t="n">
        <f aca="false">ROUND(IF(E124=0,IF((D124+N124-O124)&lt;0,ABS(D124+N124-O124),0),IF((N124-E124-O124)&lt;0,ABS(N124-E124-O124),0)),2)</f>
        <v>0</v>
      </c>
    </row>
    <row r="125" customFormat="false" ht="15" hidden="false" customHeight="true" outlineLevel="0" collapsed="false">
      <c r="A125" s="12" t="s">
        <v>371</v>
      </c>
      <c r="B125" s="12" t="s">
        <v>372</v>
      </c>
      <c r="C125" s="12" t="s">
        <v>373</v>
      </c>
      <c r="D125" s="14" t="n">
        <f aca="false">травень!P125</f>
        <v>7400.55</v>
      </c>
      <c r="E125" s="14" t="n">
        <f aca="false">травень!Q125</f>
        <v>0</v>
      </c>
      <c r="F125" s="13" t="n">
        <f aca="false">травень!F125</f>
        <v>0</v>
      </c>
      <c r="G125" s="13" t="n">
        <f aca="false">травень!G125</f>
        <v>35.1</v>
      </c>
      <c r="H125" s="13" t="n">
        <f aca="false">травень!H125</f>
        <v>0</v>
      </c>
      <c r="I125" s="13" t="n">
        <f aca="false">травень!I125</f>
        <v>4.1</v>
      </c>
      <c r="J125" s="14" t="n">
        <f aca="false">ROUND(G125*I125,2)</f>
        <v>143.91</v>
      </c>
      <c r="K125" s="14"/>
      <c r="L125" s="14"/>
      <c r="M125" s="14"/>
      <c r="N125" s="14" t="n">
        <f aca="false">ROUND((G125*I125)-K125-L125-M125,2)</f>
        <v>143.91</v>
      </c>
      <c r="O125" s="14"/>
      <c r="P125" s="14" t="n">
        <f aca="false">ROUND(IF(D125=0,IF((N125-E125-O125)&gt;0,(N125-E125-O125),0),IF((D125+N125-O125)&gt;0,(D125+N125-O125),0)),2)</f>
        <v>7544.46</v>
      </c>
      <c r="Q125" s="14" t="n">
        <f aca="false">ROUND(IF(E125=0,IF((D125+N125-O125)&lt;0,ABS(D125+N125-O125),0),IF((N125-E125-O125)&lt;0,ABS(N125-E125-O125),0)),2)</f>
        <v>0</v>
      </c>
    </row>
    <row r="126" customFormat="false" ht="15" hidden="false" customHeight="true" outlineLevel="0" collapsed="false">
      <c r="A126" s="12" t="s">
        <v>374</v>
      </c>
      <c r="B126" s="12" t="s">
        <v>375</v>
      </c>
      <c r="C126" s="12" t="s">
        <v>376</v>
      </c>
      <c r="D126" s="14" t="n">
        <f aca="false">травень!P126</f>
        <v>1225.08</v>
      </c>
      <c r="E126" s="14" t="n">
        <f aca="false">травень!Q126</f>
        <v>0</v>
      </c>
      <c r="F126" s="13" t="n">
        <f aca="false">травень!F126</f>
        <v>0</v>
      </c>
      <c r="G126" s="13" t="n">
        <f aca="false">травень!G126</f>
        <v>49.8</v>
      </c>
      <c r="H126" s="13" t="n">
        <f aca="false">травень!H126</f>
        <v>0</v>
      </c>
      <c r="I126" s="13" t="n">
        <f aca="false">травень!I126</f>
        <v>4.1</v>
      </c>
      <c r="J126" s="14" t="n">
        <f aca="false">ROUND(G126*I126,2)</f>
        <v>204.18</v>
      </c>
      <c r="K126" s="14"/>
      <c r="L126" s="14"/>
      <c r="M126" s="14"/>
      <c r="N126" s="14" t="n">
        <f aca="false">ROUND((G126*I126)-K126-L126-M126,2)</f>
        <v>204.18</v>
      </c>
      <c r="O126" s="14"/>
      <c r="P126" s="14" t="n">
        <f aca="false">ROUND(IF(D126=0,IF((N126-E126-O126)&gt;0,(N126-E126-O126),0),IF((D126+N126-O126)&gt;0,(D126+N126-O126),0)),2)</f>
        <v>1429.26</v>
      </c>
      <c r="Q126" s="14" t="n">
        <f aca="false">ROUND(IF(E126=0,IF((D126+N126-O126)&lt;0,ABS(D126+N126-O126),0),IF((N126-E126-O126)&lt;0,ABS(N126-E126-O126),0)),2)</f>
        <v>0</v>
      </c>
    </row>
    <row r="127" customFormat="false" ht="15" hidden="false" customHeight="true" outlineLevel="0" collapsed="false">
      <c r="A127" s="12" t="s">
        <v>377</v>
      </c>
      <c r="B127" s="12" t="s">
        <v>378</v>
      </c>
      <c r="C127" s="12" t="s">
        <v>379</v>
      </c>
      <c r="D127" s="14" t="n">
        <f aca="false">травень!P127</f>
        <v>4283.68</v>
      </c>
      <c r="E127" s="14" t="n">
        <f aca="false">травень!Q127</f>
        <v>0</v>
      </c>
      <c r="F127" s="13" t="n">
        <f aca="false">травень!F127</f>
        <v>0</v>
      </c>
      <c r="G127" s="13" t="n">
        <f aca="false">травень!G127</f>
        <v>65.3</v>
      </c>
      <c r="H127" s="13" t="n">
        <f aca="false">травень!H127</f>
        <v>0</v>
      </c>
      <c r="I127" s="13" t="n">
        <f aca="false">травень!I127</f>
        <v>4.1</v>
      </c>
      <c r="J127" s="14" t="n">
        <f aca="false">ROUND(G127*I127,2)</f>
        <v>267.73</v>
      </c>
      <c r="K127" s="14"/>
      <c r="L127" s="14"/>
      <c r="M127" s="14"/>
      <c r="N127" s="14" t="n">
        <f aca="false">ROUND((G127*I127)-K127-L127-M127,2)</f>
        <v>267.73</v>
      </c>
      <c r="O127" s="14"/>
      <c r="P127" s="14" t="n">
        <f aca="false">ROUND(IF(D127=0,IF((N127-E127-O127)&gt;0,(N127-E127-O127),0),IF((D127+N127-O127)&gt;0,(D127+N127-O127),0)),2)</f>
        <v>4551.41</v>
      </c>
      <c r="Q127" s="14" t="n">
        <f aca="false">ROUND(IF(E127=0,IF((D127+N127-O127)&lt;0,ABS(D127+N127-O127),0),IF((N127-E127-O127)&lt;0,ABS(N127-E127-O127),0)),2)</f>
        <v>0</v>
      </c>
    </row>
    <row r="128" customFormat="false" ht="15" hidden="false" customHeight="true" outlineLevel="0" collapsed="false">
      <c r="A128" s="12" t="s">
        <v>380</v>
      </c>
      <c r="B128" s="12" t="s">
        <v>381</v>
      </c>
      <c r="C128" s="12" t="s">
        <v>382</v>
      </c>
      <c r="D128" s="14" t="n">
        <f aca="false">травень!P128</f>
        <v>956.69</v>
      </c>
      <c r="E128" s="14" t="n">
        <f aca="false">травень!Q128</f>
        <v>0</v>
      </c>
      <c r="F128" s="13" t="n">
        <f aca="false">травень!F128</f>
        <v>0</v>
      </c>
      <c r="G128" s="13" t="n">
        <f aca="false">травень!G128</f>
        <v>62.44</v>
      </c>
      <c r="H128" s="13" t="n">
        <f aca="false">травень!H128</f>
        <v>0</v>
      </c>
      <c r="I128" s="13" t="n">
        <f aca="false">травень!I128</f>
        <v>4.1</v>
      </c>
      <c r="J128" s="14" t="n">
        <f aca="false">ROUND(G128*I128,2)</f>
        <v>256</v>
      </c>
      <c r="K128" s="14"/>
      <c r="L128" s="14"/>
      <c r="M128" s="14"/>
      <c r="N128" s="14" t="n">
        <f aca="false">ROUND((G128*I128)-K128-L128-M128,2)</f>
        <v>256</v>
      </c>
      <c r="O128" s="14"/>
      <c r="P128" s="14" t="n">
        <f aca="false">ROUND(IF(D128=0,IF((N128-E128-O128)&gt;0,(N128-E128-O128),0),IF((D128+N128-O128)&gt;0,(D128+N128-O128),0)),2)</f>
        <v>1212.69</v>
      </c>
      <c r="Q128" s="14" t="n">
        <f aca="false">ROUND(IF(E128=0,IF((D128+N128-O128)&lt;0,ABS(D128+N128-O128),0),IF((N128-E128-O128)&lt;0,ABS(N128-E128-O128),0)),2)</f>
        <v>0</v>
      </c>
    </row>
    <row r="129" customFormat="false" ht="15" hidden="false" customHeight="true" outlineLevel="0" collapsed="false">
      <c r="A129" s="12" t="s">
        <v>383</v>
      </c>
      <c r="B129" s="12" t="s">
        <v>384</v>
      </c>
      <c r="C129" s="12" t="s">
        <v>385</v>
      </c>
      <c r="D129" s="14" t="n">
        <f aca="false">травень!P129</f>
        <v>729.8</v>
      </c>
      <c r="E129" s="14" t="n">
        <f aca="false">травень!Q129</f>
        <v>0</v>
      </c>
      <c r="F129" s="13" t="n">
        <f aca="false">травень!F129</f>
        <v>0</v>
      </c>
      <c r="G129" s="13" t="n">
        <f aca="false">травень!G129</f>
        <v>35.6</v>
      </c>
      <c r="H129" s="13" t="n">
        <f aca="false">травень!H129</f>
        <v>0</v>
      </c>
      <c r="I129" s="13" t="n">
        <f aca="false">травень!I129</f>
        <v>4.1</v>
      </c>
      <c r="J129" s="14" t="n">
        <f aca="false">ROUND(G129*I129,2)</f>
        <v>145.96</v>
      </c>
      <c r="K129" s="14"/>
      <c r="L129" s="14"/>
      <c r="M129" s="14"/>
      <c r="N129" s="14" t="n">
        <f aca="false">ROUND((G129*I129)-K129-L129-M129,2)</f>
        <v>145.96</v>
      </c>
      <c r="O129" s="14"/>
      <c r="P129" s="14" t="n">
        <f aca="false">ROUND(IF(D129=0,IF((N129-E129-O129)&gt;0,(N129-E129-O129),0),IF((D129+N129-O129)&gt;0,(D129+N129-O129),0)),2)</f>
        <v>875.76</v>
      </c>
      <c r="Q129" s="14" t="n">
        <f aca="false">ROUND(IF(E129=0,IF((D129+N129-O129)&lt;0,ABS(D129+N129-O129),0),IF((N129-E129-O129)&lt;0,ABS(N129-E129-O129),0)),2)</f>
        <v>0</v>
      </c>
    </row>
    <row r="130" customFormat="false" ht="15" hidden="false" customHeight="true" outlineLevel="0" collapsed="false">
      <c r="A130" s="12" t="s">
        <v>386</v>
      </c>
      <c r="B130" s="12" t="s">
        <v>387</v>
      </c>
      <c r="C130" s="12" t="s">
        <v>388</v>
      </c>
      <c r="D130" s="14" t="n">
        <f aca="false">травень!P130</f>
        <v>1222.39</v>
      </c>
      <c r="E130" s="14" t="n">
        <f aca="false">травень!Q130</f>
        <v>0</v>
      </c>
      <c r="F130" s="13" t="n">
        <f aca="false">травень!F130</f>
        <v>0</v>
      </c>
      <c r="G130" s="13" t="n">
        <f aca="false">травень!G130</f>
        <v>49.7</v>
      </c>
      <c r="H130" s="13" t="n">
        <f aca="false">травень!H130</f>
        <v>0</v>
      </c>
      <c r="I130" s="13" t="n">
        <f aca="false">травень!I130</f>
        <v>4.1</v>
      </c>
      <c r="J130" s="14" t="n">
        <f aca="false">ROUND(G130*I130,2)</f>
        <v>203.77</v>
      </c>
      <c r="K130" s="14"/>
      <c r="L130" s="14"/>
      <c r="M130" s="14"/>
      <c r="N130" s="14" t="n">
        <f aca="false">ROUND((G130*I130)-K130-L130-M130,2)</f>
        <v>203.77</v>
      </c>
      <c r="O130" s="14"/>
      <c r="P130" s="14" t="n">
        <f aca="false">ROUND(IF(D130=0,IF((N130-E130-O130)&gt;0,(N130-E130-O130),0),IF((D130+N130-O130)&gt;0,(D130+N130-O130),0)),2)</f>
        <v>1426.16</v>
      </c>
      <c r="Q130" s="14" t="n">
        <f aca="false">ROUND(IF(E130=0,IF((D130+N130-O130)&lt;0,ABS(D130+N130-O130),0),IF((N130-E130-O130)&lt;0,ABS(N130-E130-O130),0)),2)</f>
        <v>0</v>
      </c>
    </row>
    <row r="131" customFormat="false" ht="15" hidden="false" customHeight="true" outlineLevel="0" collapsed="false">
      <c r="A131" s="12" t="s">
        <v>389</v>
      </c>
      <c r="B131" s="12" t="s">
        <v>390</v>
      </c>
      <c r="C131" s="12" t="s">
        <v>391</v>
      </c>
      <c r="D131" s="14" t="n">
        <f aca="false">травень!P131</f>
        <v>5335.6</v>
      </c>
      <c r="E131" s="14" t="n">
        <f aca="false">травень!Q131</f>
        <v>0</v>
      </c>
      <c r="F131" s="13" t="n">
        <f aca="false">травень!F131</f>
        <v>0</v>
      </c>
      <c r="G131" s="13" t="n">
        <f aca="false">травень!G131</f>
        <v>65.15</v>
      </c>
      <c r="H131" s="13" t="n">
        <f aca="false">травень!H131</f>
        <v>0</v>
      </c>
      <c r="I131" s="13" t="n">
        <f aca="false">травень!I131</f>
        <v>4.1</v>
      </c>
      <c r="J131" s="14" t="n">
        <f aca="false">ROUND(G131*I131,2)</f>
        <v>267.12</v>
      </c>
      <c r="K131" s="14"/>
      <c r="L131" s="14"/>
      <c r="M131" s="14"/>
      <c r="N131" s="14" t="n">
        <f aca="false">ROUND((G131*I131)-K131-L131-M131,2)</f>
        <v>267.12</v>
      </c>
      <c r="O131" s="14"/>
      <c r="P131" s="14" t="n">
        <f aca="false">ROUND(IF(D131=0,IF((N131-E131-O131)&gt;0,(N131-E131-O131),0),IF((D131+N131-O131)&gt;0,(D131+N131-O131),0)),2)</f>
        <v>5602.72</v>
      </c>
      <c r="Q131" s="14" t="n">
        <f aca="false">ROUND(IF(E131=0,IF((D131+N131-O131)&lt;0,ABS(D131+N131-O131),0),IF((N131-E131-O131)&lt;0,ABS(N131-E131-O131),0)),2)</f>
        <v>0</v>
      </c>
    </row>
    <row r="132" customFormat="false" ht="15" hidden="false" customHeight="true" outlineLevel="0" collapsed="false">
      <c r="A132" s="12" t="s">
        <v>392</v>
      </c>
      <c r="B132" s="12" t="s">
        <v>393</v>
      </c>
      <c r="C132" s="12" t="s">
        <v>394</v>
      </c>
      <c r="D132" s="14" t="n">
        <f aca="false">травень!P132</f>
        <v>1549.8</v>
      </c>
      <c r="E132" s="14" t="n">
        <f aca="false">травень!Q132</f>
        <v>0</v>
      </c>
      <c r="F132" s="13" t="n">
        <f aca="false">травень!F132</f>
        <v>0</v>
      </c>
      <c r="G132" s="13" t="n">
        <f aca="false">травень!G132</f>
        <v>63</v>
      </c>
      <c r="H132" s="13" t="n">
        <f aca="false">травень!H132</f>
        <v>0</v>
      </c>
      <c r="I132" s="13" t="n">
        <f aca="false">травень!I132</f>
        <v>4.1</v>
      </c>
      <c r="J132" s="14" t="n">
        <f aca="false">ROUND(G132*I132,2)</f>
        <v>258.3</v>
      </c>
      <c r="K132" s="14"/>
      <c r="L132" s="14"/>
      <c r="M132" s="14"/>
      <c r="N132" s="14" t="n">
        <f aca="false">ROUND((G132*I132)-K132-L132-M132,2)</f>
        <v>258.3</v>
      </c>
      <c r="O132" s="14"/>
      <c r="P132" s="14" t="n">
        <f aca="false">ROUND(IF(D132=0,IF((N132-E132-O132)&gt;0,(N132-E132-O132),0),IF((D132+N132-O132)&gt;0,(D132+N132-O132),0)),2)</f>
        <v>1808.1</v>
      </c>
      <c r="Q132" s="14" t="n">
        <f aca="false">ROUND(IF(E132=0,IF((D132+N132-O132)&lt;0,ABS(D132+N132-O132),0),IF((N132-E132-O132)&lt;0,ABS(N132-E132-O132),0)),2)</f>
        <v>0</v>
      </c>
    </row>
    <row r="133" customFormat="false" ht="15" hidden="false" customHeight="true" outlineLevel="0" collapsed="false">
      <c r="A133" s="12" t="s">
        <v>395</v>
      </c>
      <c r="B133" s="12" t="s">
        <v>396</v>
      </c>
      <c r="C133" s="12" t="s">
        <v>397</v>
      </c>
      <c r="D133" s="14" t="n">
        <f aca="false">травень!P133</f>
        <v>711.35</v>
      </c>
      <c r="E133" s="14" t="n">
        <f aca="false">травень!Q133</f>
        <v>0</v>
      </c>
      <c r="F133" s="13" t="n">
        <f aca="false">травень!F133</f>
        <v>0</v>
      </c>
      <c r="G133" s="13" t="n">
        <f aca="false">травень!G133</f>
        <v>34.7</v>
      </c>
      <c r="H133" s="13" t="n">
        <f aca="false">травень!H133</f>
        <v>0</v>
      </c>
      <c r="I133" s="13" t="n">
        <f aca="false">травень!I133</f>
        <v>4.1</v>
      </c>
      <c r="J133" s="14" t="n">
        <f aca="false">ROUND(G133*I133,2)</f>
        <v>142.27</v>
      </c>
      <c r="K133" s="14"/>
      <c r="L133" s="14"/>
      <c r="M133" s="14"/>
      <c r="N133" s="14" t="n">
        <f aca="false">ROUND((G133*I133)-K133-L133-M133,2)</f>
        <v>142.27</v>
      </c>
      <c r="O133" s="14"/>
      <c r="P133" s="14" t="n">
        <f aca="false">ROUND(IF(D133=0,IF((N133-E133-O133)&gt;0,(N133-E133-O133),0),IF((D133+N133-O133)&gt;0,(D133+N133-O133),0)),2)</f>
        <v>853.62</v>
      </c>
      <c r="Q133" s="14" t="n">
        <f aca="false">ROUND(IF(E133=0,IF((D133+N133-O133)&lt;0,ABS(D133+N133-O133),0),IF((N133-E133-O133)&lt;0,ABS(N133-E133-O133),0)),2)</f>
        <v>0</v>
      </c>
    </row>
    <row r="134" customFormat="false" ht="15" hidden="false" customHeight="true" outlineLevel="0" collapsed="false">
      <c r="A134" s="12" t="s">
        <v>398</v>
      </c>
      <c r="B134" s="12" t="s">
        <v>399</v>
      </c>
      <c r="C134" s="12" t="s">
        <v>400</v>
      </c>
      <c r="D134" s="14" t="n">
        <f aca="false">травень!P134</f>
        <v>1210.32</v>
      </c>
      <c r="E134" s="14" t="n">
        <f aca="false">травень!Q134</f>
        <v>0</v>
      </c>
      <c r="F134" s="13" t="n">
        <f aca="false">травень!F134</f>
        <v>0</v>
      </c>
      <c r="G134" s="13" t="n">
        <f aca="false">травень!G134</f>
        <v>49.2</v>
      </c>
      <c r="H134" s="13" t="n">
        <f aca="false">травень!H134</f>
        <v>0</v>
      </c>
      <c r="I134" s="13" t="n">
        <f aca="false">травень!I134</f>
        <v>4.1</v>
      </c>
      <c r="J134" s="14" t="n">
        <f aca="false">ROUND(G134*I134,2)</f>
        <v>201.72</v>
      </c>
      <c r="K134" s="14"/>
      <c r="L134" s="14"/>
      <c r="M134" s="14"/>
      <c r="N134" s="14" t="n">
        <f aca="false">ROUND((G134*I134)-K134-L134-M134,2)</f>
        <v>201.72</v>
      </c>
      <c r="O134" s="14"/>
      <c r="P134" s="14" t="n">
        <f aca="false">ROUND(IF(D134=0,IF((N134-E134-O134)&gt;0,(N134-E134-O134),0),IF((D134+N134-O134)&gt;0,(D134+N134-O134),0)),2)</f>
        <v>1412.04</v>
      </c>
      <c r="Q134" s="14" t="n">
        <f aca="false">ROUND(IF(E134=0,IF((D134+N134-O134)&lt;0,ABS(D134+N134-O134),0),IF((N134-E134-O134)&lt;0,ABS(N134-E134-O134),0)),2)</f>
        <v>0</v>
      </c>
    </row>
    <row r="135" customFormat="false" ht="15" hidden="false" customHeight="true" outlineLevel="0" collapsed="false">
      <c r="A135" s="12" t="s">
        <v>401</v>
      </c>
      <c r="B135" s="12" t="s">
        <v>402</v>
      </c>
      <c r="C135" s="12" t="s">
        <v>403</v>
      </c>
      <c r="D135" s="14" t="n">
        <f aca="false">травень!P135</f>
        <v>1335.6</v>
      </c>
      <c r="E135" s="14" t="n">
        <f aca="false">травень!Q135</f>
        <v>0</v>
      </c>
      <c r="F135" s="13" t="n">
        <f aca="false">травень!F135</f>
        <v>0</v>
      </c>
      <c r="G135" s="13" t="n">
        <f aca="false">травень!G135</f>
        <v>65.15</v>
      </c>
      <c r="H135" s="13" t="n">
        <f aca="false">травень!H135</f>
        <v>0</v>
      </c>
      <c r="I135" s="13" t="n">
        <f aca="false">травень!I135</f>
        <v>4.1</v>
      </c>
      <c r="J135" s="14" t="n">
        <f aca="false">ROUND(G135*I135,2)</f>
        <v>267.12</v>
      </c>
      <c r="K135" s="14"/>
      <c r="L135" s="14"/>
      <c r="M135" s="14"/>
      <c r="N135" s="14" t="n">
        <f aca="false">ROUND((G135*I135)-K135-L135-M135,2)</f>
        <v>267.12</v>
      </c>
      <c r="O135" s="14"/>
      <c r="P135" s="14" t="n">
        <f aca="false">ROUND(IF(D135=0,IF((N135-E135-O135)&gt;0,(N135-E135-O135),0),IF((D135+N135-O135)&gt;0,(D135+N135-O135),0)),2)</f>
        <v>1602.72</v>
      </c>
      <c r="Q135" s="14" t="n">
        <f aca="false">ROUND(IF(E135=0,IF((D135+N135-O135)&lt;0,ABS(D135+N135-O135),0),IF((N135-E135-O135)&lt;0,ABS(N135-E135-O135),0)),2)</f>
        <v>0</v>
      </c>
    </row>
    <row r="136" customFormat="false" ht="15" hidden="false" customHeight="true" outlineLevel="0" collapsed="false">
      <c r="A136" s="12" t="s">
        <v>404</v>
      </c>
      <c r="B136" s="12" t="s">
        <v>405</v>
      </c>
      <c r="C136" s="12" t="s">
        <v>406</v>
      </c>
      <c r="D136" s="14" t="n">
        <f aca="false">травень!P136</f>
        <v>2782.46</v>
      </c>
      <c r="E136" s="14" t="n">
        <f aca="false">травень!Q136</f>
        <v>0</v>
      </c>
      <c r="F136" s="13" t="n">
        <f aca="false">травень!F136</f>
        <v>0</v>
      </c>
      <c r="G136" s="13" t="n">
        <f aca="false">травень!G136</f>
        <v>62.3</v>
      </c>
      <c r="H136" s="13" t="n">
        <f aca="false">травень!H136</f>
        <v>0</v>
      </c>
      <c r="I136" s="13" t="n">
        <f aca="false">травень!I136</f>
        <v>4.1</v>
      </c>
      <c r="J136" s="14" t="n">
        <f aca="false">ROUND(G136*I136,2)</f>
        <v>255.43</v>
      </c>
      <c r="K136" s="14"/>
      <c r="L136" s="14"/>
      <c r="M136" s="14"/>
      <c r="N136" s="14" t="n">
        <f aca="false">ROUND((G136*I136)-K136-L136-M136,2)</f>
        <v>255.43</v>
      </c>
      <c r="O136" s="14"/>
      <c r="P136" s="14" t="n">
        <f aca="false">ROUND(IF(D136=0,IF((N136-E136-O136)&gt;0,(N136-E136-O136),0),IF((D136+N136-O136)&gt;0,(D136+N136-O136),0)),2)</f>
        <v>3037.89</v>
      </c>
      <c r="Q136" s="14" t="n">
        <f aca="false">ROUND(IF(E136=0,IF((D136+N136-O136)&lt;0,ABS(D136+N136-O136),0),IF((N136-E136-O136)&lt;0,ABS(N136-E136-O136),0)),2)</f>
        <v>0</v>
      </c>
    </row>
    <row r="137" customFormat="false" ht="15" hidden="false" customHeight="true" outlineLevel="0" collapsed="false">
      <c r="A137" s="12" t="s">
        <v>407</v>
      </c>
      <c r="B137" s="12" t="s">
        <v>408</v>
      </c>
      <c r="C137" s="12" t="s">
        <v>409</v>
      </c>
      <c r="D137" s="14" t="n">
        <f aca="false">травень!P137</f>
        <v>2247.19</v>
      </c>
      <c r="E137" s="14" t="n">
        <f aca="false">травень!Q137</f>
        <v>0</v>
      </c>
      <c r="F137" s="13" t="n">
        <f aca="false">травень!F137</f>
        <v>0</v>
      </c>
      <c r="G137" s="13" t="n">
        <f aca="false">травень!G137</f>
        <v>35.3</v>
      </c>
      <c r="H137" s="13" t="n">
        <f aca="false">травень!H137</f>
        <v>0</v>
      </c>
      <c r="I137" s="13" t="n">
        <f aca="false">травень!I137</f>
        <v>4.1</v>
      </c>
      <c r="J137" s="14" t="n">
        <f aca="false">ROUND(G137*I137,2)</f>
        <v>144.73</v>
      </c>
      <c r="K137" s="14"/>
      <c r="L137" s="14"/>
      <c r="M137" s="14"/>
      <c r="N137" s="14" t="n">
        <f aca="false">ROUND((G137*I137)-K137-L137-M137,2)</f>
        <v>144.73</v>
      </c>
      <c r="O137" s="14"/>
      <c r="P137" s="14" t="n">
        <f aca="false">ROUND(IF(D137=0,IF((N137-E137-O137)&gt;0,(N137-E137-O137),0),IF((D137+N137-O137)&gt;0,(D137+N137-O137),0)),2)</f>
        <v>2391.92</v>
      </c>
      <c r="Q137" s="14" t="n">
        <f aca="false">ROUND(IF(E137=0,IF((D137+N137-O137)&lt;0,ABS(D137+N137-O137),0),IF((N137-E137-O137)&lt;0,ABS(N137-E137-O137),0)),2)</f>
        <v>0</v>
      </c>
    </row>
    <row r="138" customFormat="false" ht="15" hidden="false" customHeight="true" outlineLevel="0" collapsed="false">
      <c r="A138" s="12" t="s">
        <v>410</v>
      </c>
      <c r="B138" s="12" t="s">
        <v>411</v>
      </c>
      <c r="C138" s="12" t="s">
        <v>412</v>
      </c>
      <c r="D138" s="14" t="n">
        <f aca="false">травень!P138</f>
        <v>3520.52</v>
      </c>
      <c r="E138" s="14" t="n">
        <f aca="false">травень!Q138</f>
        <v>0</v>
      </c>
      <c r="F138" s="13" t="n">
        <f aca="false">травень!F138</f>
        <v>0</v>
      </c>
      <c r="G138" s="13" t="n">
        <f aca="false">травень!G138</f>
        <v>49.78</v>
      </c>
      <c r="H138" s="13" t="n">
        <f aca="false">травень!H138</f>
        <v>0</v>
      </c>
      <c r="I138" s="13" t="n">
        <f aca="false">травень!I138</f>
        <v>4.1</v>
      </c>
      <c r="J138" s="14" t="n">
        <f aca="false">ROUND(G138*I138,2)</f>
        <v>204.1</v>
      </c>
      <c r="K138" s="14"/>
      <c r="L138" s="14"/>
      <c r="M138" s="14"/>
      <c r="N138" s="14" t="n">
        <f aca="false">ROUND((G138*I138)-K138-L138-M138,2)</f>
        <v>204.1</v>
      </c>
      <c r="O138" s="14"/>
      <c r="P138" s="14" t="n">
        <f aca="false">ROUND(IF(D138=0,IF((N138-E138-O138)&gt;0,(N138-E138-O138),0),IF((D138+N138-O138)&gt;0,(D138+N138-O138),0)),2)</f>
        <v>3724.62</v>
      </c>
      <c r="Q138" s="14" t="n">
        <f aca="false">ROUND(IF(E138=0,IF((D138+N138-O138)&lt;0,ABS(D138+N138-O138),0),IF((N138-E138-O138)&lt;0,ABS(N138-E138-O138),0)),2)</f>
        <v>0</v>
      </c>
    </row>
    <row r="139" customFormat="false" ht="15" hidden="false" customHeight="true" outlineLevel="0" collapsed="false">
      <c r="A139" s="12" t="s">
        <v>413</v>
      </c>
      <c r="B139" s="12" t="s">
        <v>414</v>
      </c>
      <c r="C139" s="12" t="s">
        <v>415</v>
      </c>
      <c r="D139" s="14" t="n">
        <f aca="false">травень!P139</f>
        <v>1074.48</v>
      </c>
      <c r="E139" s="14" t="n">
        <f aca="false">травень!Q139</f>
        <v>0</v>
      </c>
      <c r="F139" s="13" t="n">
        <f aca="false">травень!F139</f>
        <v>0</v>
      </c>
      <c r="G139" s="13" t="n">
        <f aca="false">травень!G139</f>
        <v>65.93</v>
      </c>
      <c r="H139" s="13" t="n">
        <f aca="false">травень!H139</f>
        <v>0</v>
      </c>
      <c r="I139" s="13" t="n">
        <f aca="false">травень!I139</f>
        <v>4.1</v>
      </c>
      <c r="J139" s="14" t="n">
        <f aca="false">ROUND(G139*I139,2)</f>
        <v>270.31</v>
      </c>
      <c r="K139" s="14"/>
      <c r="L139" s="14"/>
      <c r="M139" s="14"/>
      <c r="N139" s="14" t="n">
        <f aca="false">ROUND((G139*I139)-K139-L139-M139,2)</f>
        <v>270.31</v>
      </c>
      <c r="O139" s="14"/>
      <c r="P139" s="14" t="n">
        <f aca="false">ROUND(IF(D139=0,IF((N139-E139-O139)&gt;0,(N139-E139-O139),0),IF((D139+N139-O139)&gt;0,(D139+N139-O139),0)),2)</f>
        <v>1344.79</v>
      </c>
      <c r="Q139" s="14" t="n">
        <f aca="false">ROUND(IF(E139=0,IF((D139+N139-O139)&lt;0,ABS(D139+N139-O139),0),IF((N139-E139-O139)&lt;0,ABS(N139-E139-O139),0)),2)</f>
        <v>0</v>
      </c>
    </row>
    <row r="140" customFormat="false" ht="15" hidden="false" customHeight="true" outlineLevel="0" collapsed="false">
      <c r="A140" s="12" t="s">
        <v>416</v>
      </c>
      <c r="B140" s="12" t="s">
        <v>417</v>
      </c>
      <c r="C140" s="12" t="s">
        <v>418</v>
      </c>
      <c r="D140" s="14" t="n">
        <f aca="false">травень!P140</f>
        <v>1022.72</v>
      </c>
      <c r="E140" s="14" t="n">
        <f aca="false">травень!Q140</f>
        <v>0</v>
      </c>
      <c r="F140" s="13" t="n">
        <f aca="false">травень!F140</f>
        <v>0</v>
      </c>
      <c r="G140" s="13" t="n">
        <f aca="false">травень!G140</f>
        <v>62.36</v>
      </c>
      <c r="H140" s="13" t="n">
        <f aca="false">травень!H140</f>
        <v>0</v>
      </c>
      <c r="I140" s="13" t="n">
        <f aca="false">травень!I140</f>
        <v>4.1</v>
      </c>
      <c r="J140" s="14" t="n">
        <f aca="false">ROUND(G140*I140,2)</f>
        <v>255.68</v>
      </c>
      <c r="K140" s="14"/>
      <c r="L140" s="14"/>
      <c r="M140" s="14"/>
      <c r="N140" s="14" t="n">
        <f aca="false">ROUND((G140*I140)-K140-L140-M140,2)</f>
        <v>255.68</v>
      </c>
      <c r="O140" s="14"/>
      <c r="P140" s="14" t="n">
        <f aca="false">ROUND(IF(D140=0,IF((N140-E140-O140)&gt;0,(N140-E140-O140),0),IF((D140+N140-O140)&gt;0,(D140+N140-O140),0)),2)</f>
        <v>1278.4</v>
      </c>
      <c r="Q140" s="14" t="n">
        <f aca="false">ROUND(IF(E140=0,IF((D140+N140-O140)&lt;0,ABS(D140+N140-O140),0),IF((N140-E140-O140)&lt;0,ABS(N140-E140-O140),0)),2)</f>
        <v>0</v>
      </c>
    </row>
    <row r="141" customFormat="false" ht="15" hidden="false" customHeight="true" outlineLevel="0" collapsed="false">
      <c r="A141" s="12" t="s">
        <v>419</v>
      </c>
      <c r="B141" s="12" t="s">
        <v>420</v>
      </c>
      <c r="C141" s="12" t="s">
        <v>421</v>
      </c>
      <c r="D141" s="14" t="n">
        <f aca="false">травень!P141</f>
        <v>7627.23</v>
      </c>
      <c r="E141" s="14" t="n">
        <f aca="false">травень!Q141</f>
        <v>0</v>
      </c>
      <c r="F141" s="13" t="n">
        <f aca="false">травень!F141</f>
        <v>0</v>
      </c>
      <c r="G141" s="13" t="n">
        <f aca="false">травень!G141</f>
        <v>35.1</v>
      </c>
      <c r="H141" s="13" t="n">
        <f aca="false">травень!H141</f>
        <v>0</v>
      </c>
      <c r="I141" s="13" t="n">
        <f aca="false">травень!I141</f>
        <v>4.1</v>
      </c>
      <c r="J141" s="14" t="n">
        <f aca="false">ROUND(G141*I141,2)</f>
        <v>143.91</v>
      </c>
      <c r="K141" s="14"/>
      <c r="L141" s="14"/>
      <c r="M141" s="14"/>
      <c r="N141" s="14" t="n">
        <f aca="false">ROUND((G141*I141)-K141-L141-M141,2)</f>
        <v>143.91</v>
      </c>
      <c r="O141" s="14"/>
      <c r="P141" s="14" t="n">
        <f aca="false">ROUND(IF(D141=0,IF((N141-E141-O141)&gt;0,(N141-E141-O141),0),IF((D141+N141-O141)&gt;0,(D141+N141-O141),0)),2)</f>
        <v>7771.14</v>
      </c>
      <c r="Q141" s="14" t="n">
        <f aca="false">ROUND(IF(E141=0,IF((D141+N141-O141)&lt;0,ABS(D141+N141-O141),0),IF((N141-E141-O141)&lt;0,ABS(N141-E141-O141),0)),2)</f>
        <v>0</v>
      </c>
    </row>
    <row r="142" customFormat="false" ht="15" hidden="false" customHeight="true" outlineLevel="0" collapsed="false">
      <c r="A142" s="12" t="s">
        <v>422</v>
      </c>
      <c r="B142" s="12" t="s">
        <v>423</v>
      </c>
      <c r="C142" s="12" t="s">
        <v>424</v>
      </c>
      <c r="D142" s="14" t="n">
        <f aca="false">травень!P142</f>
        <v>9288.66</v>
      </c>
      <c r="E142" s="14" t="n">
        <f aca="false">травень!Q142</f>
        <v>0</v>
      </c>
      <c r="F142" s="13" t="n">
        <f aca="false">травень!F142</f>
        <v>0</v>
      </c>
      <c r="G142" s="13" t="n">
        <f aca="false">травень!G142</f>
        <v>49.47</v>
      </c>
      <c r="H142" s="13" t="n">
        <f aca="false">травень!H142</f>
        <v>0</v>
      </c>
      <c r="I142" s="13" t="n">
        <f aca="false">травень!I142</f>
        <v>4.1</v>
      </c>
      <c r="J142" s="14" t="n">
        <f aca="false">ROUND(G142*I142,2)</f>
        <v>202.83</v>
      </c>
      <c r="K142" s="14"/>
      <c r="L142" s="14"/>
      <c r="M142" s="14"/>
      <c r="N142" s="14" t="n">
        <f aca="false">ROUND((G142*I142)-K142-L142-M142,2)</f>
        <v>202.83</v>
      </c>
      <c r="O142" s="14"/>
      <c r="P142" s="14" t="n">
        <f aca="false">ROUND(IF(D142=0,IF((N142-E142-O142)&gt;0,(N142-E142-O142),0),IF((D142+N142-O142)&gt;0,(D142+N142-O142),0)),2)</f>
        <v>9491.49</v>
      </c>
      <c r="Q142" s="14" t="n">
        <f aca="false">ROUND(IF(E142=0,IF((D142+N142-O142)&lt;0,ABS(D142+N142-O142),0),IF((N142-E142-O142)&lt;0,ABS(N142-E142-O142),0)),2)</f>
        <v>0</v>
      </c>
    </row>
    <row r="143" customFormat="false" ht="15" hidden="false" customHeight="true" outlineLevel="0" collapsed="false">
      <c r="A143" s="12" t="s">
        <v>425</v>
      </c>
      <c r="B143" s="12" t="s">
        <v>426</v>
      </c>
      <c r="C143" s="12" t="s">
        <v>427</v>
      </c>
      <c r="D143" s="14" t="n">
        <f aca="false">травень!P143</f>
        <v>12110.84</v>
      </c>
      <c r="E143" s="14" t="n">
        <f aca="false">травень!Q143</f>
        <v>0</v>
      </c>
      <c r="F143" s="13" t="n">
        <f aca="false">травень!F143</f>
        <v>0</v>
      </c>
      <c r="G143" s="13" t="n">
        <f aca="false">травень!G143</f>
        <v>65.65</v>
      </c>
      <c r="H143" s="13" t="n">
        <f aca="false">травень!H143</f>
        <v>0</v>
      </c>
      <c r="I143" s="13" t="n">
        <f aca="false">травень!I143</f>
        <v>4.1</v>
      </c>
      <c r="J143" s="14" t="n">
        <f aca="false">ROUND(G143*I143,2)</f>
        <v>269.17</v>
      </c>
      <c r="K143" s="14"/>
      <c r="L143" s="14"/>
      <c r="M143" s="14"/>
      <c r="N143" s="14" t="n">
        <f aca="false">ROUND((G143*I143)-K143-L143-M143,2)</f>
        <v>269.17</v>
      </c>
      <c r="O143" s="14"/>
      <c r="P143" s="14" t="n">
        <f aca="false">ROUND(IF(D143=0,IF((N143-E143-O143)&gt;0,(N143-E143-O143),0),IF((D143+N143-O143)&gt;0,(D143+N143-O143),0)),2)</f>
        <v>12380.01</v>
      </c>
      <c r="Q143" s="14" t="n">
        <f aca="false">ROUND(IF(E143=0,IF((D143+N143-O143)&lt;0,ABS(D143+N143-O143),0),IF((N143-E143-O143)&lt;0,ABS(N143-E143-O143),0)),2)</f>
        <v>0</v>
      </c>
    </row>
    <row r="144" customFormat="false" ht="15" hidden="false" customHeight="true" outlineLevel="0" collapsed="false">
      <c r="A144" s="12" t="s">
        <v>428</v>
      </c>
      <c r="B144" s="12" t="s">
        <v>429</v>
      </c>
      <c r="C144" s="12" t="s">
        <v>430</v>
      </c>
      <c r="D144" s="14" t="n">
        <f aca="false">травень!P144</f>
        <v>12220.6</v>
      </c>
      <c r="E144" s="14" t="n">
        <f aca="false">травень!Q144</f>
        <v>0</v>
      </c>
      <c r="F144" s="13" t="n">
        <f aca="false">травень!F144</f>
        <v>0</v>
      </c>
      <c r="G144" s="13" t="n">
        <f aca="false">травень!G144</f>
        <v>62.1</v>
      </c>
      <c r="H144" s="13" t="n">
        <f aca="false">травень!H144</f>
        <v>0</v>
      </c>
      <c r="I144" s="13" t="n">
        <f aca="false">травень!I144</f>
        <v>4.1</v>
      </c>
      <c r="J144" s="14" t="n">
        <f aca="false">ROUND(G144*I144,2)</f>
        <v>254.61</v>
      </c>
      <c r="K144" s="14"/>
      <c r="L144" s="14"/>
      <c r="M144" s="14"/>
      <c r="N144" s="14" t="n">
        <f aca="false">ROUND((G144*I144)-K144-L144-M144,2)</f>
        <v>254.61</v>
      </c>
      <c r="O144" s="14"/>
      <c r="P144" s="14" t="n">
        <f aca="false">ROUND(IF(D144=0,IF((N144-E144-O144)&gt;0,(N144-E144-O144),0),IF((D144+N144-O144)&gt;0,(D144+N144-O144),0)),2)</f>
        <v>12475.21</v>
      </c>
      <c r="Q144" s="14" t="n">
        <f aca="false">ROUND(IF(E144=0,IF((D144+N144-O144)&lt;0,ABS(D144+N144-O144),0),IF((N144-E144-O144)&lt;0,ABS(N144-E144-O144),0)),2)</f>
        <v>0</v>
      </c>
    </row>
    <row r="145" customFormat="false" ht="15" hidden="false" customHeight="true" outlineLevel="0" collapsed="false">
      <c r="A145" s="12" t="s">
        <v>431</v>
      </c>
      <c r="B145" s="12" t="s">
        <v>432</v>
      </c>
      <c r="C145" s="12" t="s">
        <v>433</v>
      </c>
      <c r="D145" s="14" t="n">
        <f aca="false">травень!P145</f>
        <v>4260.32</v>
      </c>
      <c r="E145" s="14" t="n">
        <f aca="false">травень!Q145</f>
        <v>0</v>
      </c>
      <c r="F145" s="13" t="n">
        <f aca="false">травень!F145</f>
        <v>0</v>
      </c>
      <c r="G145" s="13" t="n">
        <f aca="false">травень!G145</f>
        <v>35.2</v>
      </c>
      <c r="H145" s="13" t="n">
        <f aca="false">травень!H145</f>
        <v>0</v>
      </c>
      <c r="I145" s="13" t="n">
        <f aca="false">травень!I145</f>
        <v>4.1</v>
      </c>
      <c r="J145" s="14" t="n">
        <f aca="false">ROUND(G145*I145,2)</f>
        <v>144.32</v>
      </c>
      <c r="K145" s="14"/>
      <c r="L145" s="14"/>
      <c r="M145" s="14"/>
      <c r="N145" s="14" t="n">
        <f aca="false">ROUND((G145*I145)-K145-L145-M145,2)</f>
        <v>144.32</v>
      </c>
      <c r="O145" s="14"/>
      <c r="P145" s="14" t="n">
        <f aca="false">ROUND(IF(D145=0,IF((N145-E145-O145)&gt;0,(N145-E145-O145),0),IF((D145+N145-O145)&gt;0,(D145+N145-O145),0)),2)</f>
        <v>4404.64</v>
      </c>
      <c r="Q145" s="14" t="n">
        <f aca="false">ROUND(IF(E145=0,IF((D145+N145-O145)&lt;0,ABS(D145+N145-O145),0),IF((N145-E145-O145)&lt;0,ABS(N145-E145-O145),0)),2)</f>
        <v>0</v>
      </c>
    </row>
    <row r="146" customFormat="false" ht="15" hidden="false" customHeight="true" outlineLevel="0" collapsed="false">
      <c r="A146" s="12" t="s">
        <v>434</v>
      </c>
      <c r="B146" s="12" t="s">
        <v>435</v>
      </c>
      <c r="C146" s="12" t="s">
        <v>436</v>
      </c>
      <c r="D146" s="14" t="n">
        <f aca="false">травень!P146</f>
        <v>1432.13</v>
      </c>
      <c r="E146" s="14" t="n">
        <f aca="false">травень!Q146</f>
        <v>0</v>
      </c>
      <c r="F146" s="13" t="n">
        <f aca="false">травень!F146</f>
        <v>0</v>
      </c>
      <c r="G146" s="13" t="n">
        <f aca="false">травень!G146</f>
        <v>49.9</v>
      </c>
      <c r="H146" s="13" t="n">
        <f aca="false">травень!H146</f>
        <v>0</v>
      </c>
      <c r="I146" s="13" t="n">
        <f aca="false">травень!I146</f>
        <v>4.1</v>
      </c>
      <c r="J146" s="14" t="n">
        <f aca="false">ROUND(G146*I146,2)</f>
        <v>204.59</v>
      </c>
      <c r="K146" s="14"/>
      <c r="L146" s="14"/>
      <c r="M146" s="14"/>
      <c r="N146" s="14" t="n">
        <f aca="false">ROUND((G146*I146)-K146-L146-M146,2)</f>
        <v>204.59</v>
      </c>
      <c r="O146" s="14"/>
      <c r="P146" s="14" t="n">
        <f aca="false">ROUND(IF(D146=0,IF((N146-E146-O146)&gt;0,(N146-E146-O146),0),IF((D146+N146-O146)&gt;0,(D146+N146-O146),0)),2)</f>
        <v>1636.72</v>
      </c>
      <c r="Q146" s="14" t="n">
        <f aca="false">ROUND(IF(E146=0,IF((D146+N146-O146)&lt;0,ABS(D146+N146-O146),0),IF((N146-E146-O146)&lt;0,ABS(N146-E146-O146),0)),2)</f>
        <v>0</v>
      </c>
    </row>
    <row r="147" customFormat="false" ht="15" hidden="false" customHeight="true" outlineLevel="0" collapsed="false">
      <c r="A147" s="12" t="s">
        <v>437</v>
      </c>
      <c r="B147" s="12" t="s">
        <v>438</v>
      </c>
      <c r="C147" s="12" t="s">
        <v>439</v>
      </c>
      <c r="D147" s="14" t="n">
        <f aca="false">травень!P147</f>
        <v>5984.64</v>
      </c>
      <c r="E147" s="14" t="n">
        <f aca="false">травень!Q147</f>
        <v>0</v>
      </c>
      <c r="F147" s="13" t="n">
        <f aca="false">травень!F147</f>
        <v>0</v>
      </c>
      <c r="G147" s="13" t="n">
        <f aca="false">травень!G147</f>
        <v>65.8</v>
      </c>
      <c r="H147" s="13" t="n">
        <f aca="false">травень!H147</f>
        <v>0</v>
      </c>
      <c r="I147" s="13" t="n">
        <f aca="false">травень!I147</f>
        <v>4.1</v>
      </c>
      <c r="J147" s="14" t="n">
        <f aca="false">ROUND(G147*I147,2)</f>
        <v>269.78</v>
      </c>
      <c r="K147" s="14"/>
      <c r="L147" s="14"/>
      <c r="M147" s="14"/>
      <c r="N147" s="14" t="n">
        <f aca="false">ROUND((G147*I147)-K147-L147-M147,2)</f>
        <v>269.78</v>
      </c>
      <c r="O147" s="14"/>
      <c r="P147" s="14" t="n">
        <f aca="false">ROUND(IF(D147=0,IF((N147-E147-O147)&gt;0,(N147-E147-O147),0),IF((D147+N147-O147)&gt;0,(D147+N147-O147),0)),2)</f>
        <v>6254.42</v>
      </c>
      <c r="Q147" s="14" t="n">
        <f aca="false">ROUND(IF(E147=0,IF((D147+N147-O147)&lt;0,ABS(D147+N147-O147),0),IF((N147-E147-O147)&lt;0,ABS(N147-E147-O147),0)),2)</f>
        <v>0</v>
      </c>
    </row>
    <row r="148" customFormat="false" ht="15" hidden="false" customHeight="true" outlineLevel="0" collapsed="false">
      <c r="A148" s="12" t="s">
        <v>440</v>
      </c>
      <c r="B148" s="12" t="s">
        <v>441</v>
      </c>
      <c r="C148" s="12" t="s">
        <v>442</v>
      </c>
      <c r="D148" s="14" t="n">
        <f aca="false">травень!P148</f>
        <v>2552.44</v>
      </c>
      <c r="E148" s="14" t="n">
        <f aca="false">травень!Q148</f>
        <v>0</v>
      </c>
      <c r="F148" s="13" t="n">
        <f aca="false">травень!F148</f>
        <v>0</v>
      </c>
      <c r="G148" s="13" t="n">
        <f aca="false">травень!G148</f>
        <v>63.2</v>
      </c>
      <c r="H148" s="13" t="n">
        <f aca="false">травень!H148</f>
        <v>0</v>
      </c>
      <c r="I148" s="13" t="n">
        <f aca="false">травень!I148</f>
        <v>4.1</v>
      </c>
      <c r="J148" s="14" t="n">
        <f aca="false">ROUND(G148*I148,2)</f>
        <v>259.12</v>
      </c>
      <c r="K148" s="14"/>
      <c r="L148" s="14"/>
      <c r="M148" s="14"/>
      <c r="N148" s="14" t="n">
        <f aca="false">ROUND((G148*I148)-K148-L148-M148,2)</f>
        <v>259.12</v>
      </c>
      <c r="O148" s="14"/>
      <c r="P148" s="14" t="n">
        <f aca="false">ROUND(IF(D148=0,IF((N148-E148-O148)&gt;0,(N148-E148-O148),0),IF((D148+N148-O148)&gt;0,(D148+N148-O148),0)),2)</f>
        <v>2811.56</v>
      </c>
      <c r="Q148" s="14" t="n">
        <f aca="false">ROUND(IF(E148=0,IF((D148+N148-O148)&lt;0,ABS(D148+N148-O148),0),IF((N148-E148-O148)&lt;0,ABS(N148-E148-O148),0)),2)</f>
        <v>0</v>
      </c>
    </row>
    <row r="149" customFormat="false" ht="15" hidden="false" customHeight="true" outlineLevel="0" collapsed="false">
      <c r="A149" s="12" t="s">
        <v>443</v>
      </c>
      <c r="B149" s="12" t="s">
        <v>444</v>
      </c>
      <c r="C149" s="12" t="s">
        <v>445</v>
      </c>
      <c r="D149" s="14" t="n">
        <f aca="false">травень!P149</f>
        <v>4721.44</v>
      </c>
      <c r="E149" s="14" t="n">
        <f aca="false">травень!Q149</f>
        <v>0</v>
      </c>
      <c r="F149" s="13" t="n">
        <f aca="false">травень!F149</f>
        <v>0</v>
      </c>
      <c r="G149" s="13" t="n">
        <f aca="false">травень!G149</f>
        <v>34.9</v>
      </c>
      <c r="H149" s="13" t="n">
        <f aca="false">травень!H149</f>
        <v>0</v>
      </c>
      <c r="I149" s="13" t="n">
        <f aca="false">травень!I149</f>
        <v>4.1</v>
      </c>
      <c r="J149" s="14" t="n">
        <f aca="false">ROUND(G149*I149,2)</f>
        <v>143.09</v>
      </c>
      <c r="K149" s="14"/>
      <c r="L149" s="14"/>
      <c r="M149" s="14"/>
      <c r="N149" s="14" t="n">
        <f aca="false">ROUND((G149*I149)-K149-L149-M149,2)</f>
        <v>143.09</v>
      </c>
      <c r="O149" s="14"/>
      <c r="P149" s="14" t="n">
        <f aca="false">ROUND(IF(D149=0,IF((N149-E149-O149)&gt;0,(N149-E149-O149),0),IF((D149+N149-O149)&gt;0,(D149+N149-O149),0)),2)</f>
        <v>4864.53</v>
      </c>
      <c r="Q149" s="14" t="n">
        <f aca="false">ROUND(IF(E149=0,IF((D149+N149-O149)&lt;0,ABS(D149+N149-O149),0),IF((N149-E149-O149)&lt;0,ABS(N149-E149-O149),0)),2)</f>
        <v>0</v>
      </c>
    </row>
    <row r="150" customFormat="false" ht="15" hidden="false" customHeight="true" outlineLevel="0" collapsed="false">
      <c r="A150" s="12" t="s">
        <v>446</v>
      </c>
      <c r="B150" s="12" t="s">
        <v>447</v>
      </c>
      <c r="C150" s="12" t="s">
        <v>448</v>
      </c>
      <c r="D150" s="14" t="n">
        <f aca="false">травень!P150</f>
        <v>10538.64</v>
      </c>
      <c r="E150" s="14" t="n">
        <f aca="false">травень!Q150</f>
        <v>0</v>
      </c>
      <c r="F150" s="13" t="n">
        <f aca="false">травень!F150</f>
        <v>0</v>
      </c>
      <c r="G150" s="13" t="n">
        <f aca="false">травень!G150</f>
        <v>50.4</v>
      </c>
      <c r="H150" s="13" t="n">
        <f aca="false">травень!H150</f>
        <v>0</v>
      </c>
      <c r="I150" s="13" t="n">
        <f aca="false">травень!I150</f>
        <v>4.1</v>
      </c>
      <c r="J150" s="14" t="n">
        <f aca="false">ROUND(G150*I150,2)</f>
        <v>206.64</v>
      </c>
      <c r="K150" s="14"/>
      <c r="L150" s="14"/>
      <c r="M150" s="14"/>
      <c r="N150" s="14" t="n">
        <f aca="false">ROUND((G150*I150)-K150-L150-M150,2)</f>
        <v>206.64</v>
      </c>
      <c r="O150" s="14"/>
      <c r="P150" s="14" t="n">
        <f aca="false">ROUND(IF(D150=0,IF((N150-E150-O150)&gt;0,(N150-E150-O150),0),IF((D150+N150-O150)&gt;0,(D150+N150-O150),0)),2)</f>
        <v>10745.28</v>
      </c>
      <c r="Q150" s="14" t="n">
        <f aca="false">ROUND(IF(E150=0,IF((D150+N150-O150)&lt;0,ABS(D150+N150-O150),0),IF((N150-E150-O150)&lt;0,ABS(N150-E150-O150),0)),2)</f>
        <v>0</v>
      </c>
    </row>
    <row r="151" customFormat="false" ht="15" hidden="false" customHeight="true" outlineLevel="0" collapsed="false">
      <c r="A151" s="12" t="s">
        <v>449</v>
      </c>
      <c r="B151" s="12" t="s">
        <v>450</v>
      </c>
      <c r="C151" s="12" t="s">
        <v>451</v>
      </c>
      <c r="D151" s="14" t="n">
        <f aca="false">травень!P151</f>
        <v>13955.37</v>
      </c>
      <c r="E151" s="14" t="n">
        <f aca="false">травень!Q151</f>
        <v>0</v>
      </c>
      <c r="F151" s="13" t="n">
        <f aca="false">травень!F151</f>
        <v>0</v>
      </c>
      <c r="G151" s="13" t="n">
        <f aca="false">травень!G151</f>
        <v>65.2</v>
      </c>
      <c r="H151" s="13" t="n">
        <f aca="false">травень!H151</f>
        <v>0</v>
      </c>
      <c r="I151" s="13" t="n">
        <f aca="false">травень!I151</f>
        <v>4.1</v>
      </c>
      <c r="J151" s="14" t="n">
        <f aca="false">ROUND(G151*I151,2)</f>
        <v>267.32</v>
      </c>
      <c r="K151" s="14"/>
      <c r="L151" s="14"/>
      <c r="M151" s="14"/>
      <c r="N151" s="14" t="n">
        <f aca="false">ROUND((G151*I151)-K151-L151-M151,2)</f>
        <v>267.32</v>
      </c>
      <c r="O151" s="14"/>
      <c r="P151" s="14" t="n">
        <f aca="false">ROUND(IF(D151=0,IF((N151-E151-O151)&gt;0,(N151-E151-O151),0),IF((D151+N151-O151)&gt;0,(D151+N151-O151),0)),2)</f>
        <v>14222.69</v>
      </c>
      <c r="Q151" s="14" t="n">
        <f aca="false">ROUND(IF(E151=0,IF((D151+N151-O151)&lt;0,ABS(D151+N151-O151),0),IF((N151-E151-O151)&lt;0,ABS(N151-E151-O151),0)),2)</f>
        <v>0</v>
      </c>
    </row>
    <row r="152" customFormat="false" ht="15" hidden="false" customHeight="true" outlineLevel="0" collapsed="false">
      <c r="A152" s="12" t="s">
        <v>452</v>
      </c>
      <c r="B152" s="12" t="s">
        <v>453</v>
      </c>
      <c r="C152" s="12" t="s">
        <v>454</v>
      </c>
      <c r="D152" s="14" t="n">
        <f aca="false">травень!P152</f>
        <v>3176.88</v>
      </c>
      <c r="E152" s="14" t="n">
        <f aca="false">травень!Q152</f>
        <v>0</v>
      </c>
      <c r="F152" s="13" t="n">
        <f aca="false">травень!F152</f>
        <v>0</v>
      </c>
      <c r="G152" s="13" t="n">
        <f aca="false">травень!G152</f>
        <v>64.57</v>
      </c>
      <c r="H152" s="13" t="n">
        <f aca="false">травень!H152</f>
        <v>0</v>
      </c>
      <c r="I152" s="13" t="n">
        <f aca="false">травень!I152</f>
        <v>4.1</v>
      </c>
      <c r="J152" s="14" t="n">
        <f aca="false">ROUND(G152*I152,2)</f>
        <v>264.74</v>
      </c>
      <c r="K152" s="14"/>
      <c r="L152" s="14"/>
      <c r="M152" s="14"/>
      <c r="N152" s="14" t="n">
        <f aca="false">ROUND((G152*I152)-K152-L152-M152,2)</f>
        <v>264.74</v>
      </c>
      <c r="O152" s="14"/>
      <c r="P152" s="14" t="n">
        <f aca="false">ROUND(IF(D152=0,IF((N152-E152-O152)&gt;0,(N152-E152-O152),0),IF((D152+N152-O152)&gt;0,(D152+N152-O152),0)),2)</f>
        <v>3441.62</v>
      </c>
      <c r="Q152" s="14" t="n">
        <f aca="false">ROUND(IF(E152=0,IF((D152+N152-O152)&lt;0,ABS(D152+N152-O152),0),IF((N152-E152-O152)&lt;0,ABS(N152-E152-O152),0)),2)</f>
        <v>0</v>
      </c>
    </row>
    <row r="153" customFormat="false" ht="15" hidden="false" customHeight="true" outlineLevel="0" collapsed="false">
      <c r="A153" s="12" t="s">
        <v>455</v>
      </c>
      <c r="B153" s="12" t="s">
        <v>456</v>
      </c>
      <c r="C153" s="12" t="s">
        <v>457</v>
      </c>
      <c r="D153" s="14" t="n">
        <f aca="false">травень!P153</f>
        <v>12038.56</v>
      </c>
      <c r="E153" s="14" t="n">
        <f aca="false">травень!Q153</f>
        <v>0</v>
      </c>
      <c r="F153" s="13" t="n">
        <f aca="false">травень!F153</f>
        <v>0</v>
      </c>
      <c r="G153" s="13" t="n">
        <f aca="false">травень!G153</f>
        <v>48.7</v>
      </c>
      <c r="H153" s="13" t="n">
        <f aca="false">травень!H153</f>
        <v>0</v>
      </c>
      <c r="I153" s="13" t="n">
        <f aca="false">травень!I153</f>
        <v>4.1</v>
      </c>
      <c r="J153" s="14" t="n">
        <f aca="false">ROUND(G153*I153,2)</f>
        <v>199.67</v>
      </c>
      <c r="K153" s="14"/>
      <c r="L153" s="14"/>
      <c r="M153" s="14"/>
      <c r="N153" s="14" t="n">
        <f aca="false">ROUND((G153*I153)-K153-L153-M153,2)</f>
        <v>199.67</v>
      </c>
      <c r="O153" s="14"/>
      <c r="P153" s="14" t="n">
        <f aca="false">ROUND(IF(D153=0,IF((N153-E153-O153)&gt;0,(N153-E153-O153),0),IF((D153+N153-O153)&gt;0,(D153+N153-O153),0)),2)</f>
        <v>12238.23</v>
      </c>
      <c r="Q153" s="14" t="n">
        <f aca="false">ROUND(IF(E153=0,IF((D153+N153-O153)&lt;0,ABS(D153+N153-O153),0),IF((N153-E153-O153)&lt;0,ABS(N153-E153-O153),0)),2)</f>
        <v>0</v>
      </c>
    </row>
    <row r="154" customFormat="false" ht="15" hidden="false" customHeight="true" outlineLevel="0" collapsed="false">
      <c r="A154" s="12" t="s">
        <v>458</v>
      </c>
      <c r="B154" s="12" t="s">
        <v>459</v>
      </c>
      <c r="C154" s="12" t="s">
        <v>460</v>
      </c>
      <c r="D154" s="14" t="n">
        <f aca="false">травень!P154</f>
        <v>1668.32</v>
      </c>
      <c r="E154" s="14" t="n">
        <f aca="false">травень!Q154</f>
        <v>0</v>
      </c>
      <c r="F154" s="13" t="n">
        <f aca="false">травень!F154</f>
        <v>0</v>
      </c>
      <c r="G154" s="13" t="n">
        <f aca="false">травень!G154</f>
        <v>35.1</v>
      </c>
      <c r="H154" s="13" t="n">
        <f aca="false">травень!H154</f>
        <v>0</v>
      </c>
      <c r="I154" s="13" t="n">
        <f aca="false">травень!I154</f>
        <v>4.1</v>
      </c>
      <c r="J154" s="14" t="n">
        <f aca="false">ROUND(G154*I154,2)</f>
        <v>143.91</v>
      </c>
      <c r="K154" s="14"/>
      <c r="L154" s="14"/>
      <c r="M154" s="14"/>
      <c r="N154" s="14" t="n">
        <f aca="false">ROUND((G154*I154)-K154-L154-M154,2)</f>
        <v>143.91</v>
      </c>
      <c r="O154" s="14"/>
      <c r="P154" s="14" t="n">
        <f aca="false">ROUND(IF(D154=0,IF((N154-E154-O154)&gt;0,(N154-E154-O154),0),IF((D154+N154-O154)&gt;0,(D154+N154-O154),0)),2)</f>
        <v>1812.23</v>
      </c>
      <c r="Q154" s="14" t="n">
        <f aca="false">ROUND(IF(E154=0,IF((D154+N154-O154)&lt;0,ABS(D154+N154-O154),0),IF((N154-E154-O154)&lt;0,ABS(N154-E154-O154),0)),2)</f>
        <v>0</v>
      </c>
    </row>
    <row r="155" customFormat="false" ht="15" hidden="false" customHeight="true" outlineLevel="0" collapsed="false">
      <c r="A155" s="12" t="s">
        <v>461</v>
      </c>
      <c r="B155" s="12" t="s">
        <v>462</v>
      </c>
      <c r="C155" s="12" t="s">
        <v>463</v>
      </c>
      <c r="D155" s="14" t="n">
        <f aca="false">травень!P155</f>
        <v>7687.4</v>
      </c>
      <c r="E155" s="14" t="n">
        <f aca="false">травень!Q155</f>
        <v>0</v>
      </c>
      <c r="F155" s="13" t="n">
        <f aca="false">травень!F155</f>
        <v>0</v>
      </c>
      <c r="G155" s="13" t="n">
        <f aca="false">травень!G155</f>
        <v>53.57</v>
      </c>
      <c r="H155" s="13" t="n">
        <f aca="false">травень!H155</f>
        <v>0</v>
      </c>
      <c r="I155" s="13" t="n">
        <f aca="false">травень!I155</f>
        <v>4.1</v>
      </c>
      <c r="J155" s="14" t="n">
        <f aca="false">ROUND(G155*I155,2)</f>
        <v>219.64</v>
      </c>
      <c r="K155" s="14"/>
      <c r="L155" s="14"/>
      <c r="M155" s="14"/>
      <c r="N155" s="14" t="n">
        <f aca="false">ROUND((G155*I155)-K155-L155-M155,2)</f>
        <v>219.64</v>
      </c>
      <c r="O155" s="14"/>
      <c r="P155" s="14" t="n">
        <f aca="false">ROUND(IF(D155=0,IF((N155-E155-O155)&gt;0,(N155-E155-O155),0),IF((D155+N155-O155)&gt;0,(D155+N155-O155),0)),2)</f>
        <v>7907.04</v>
      </c>
      <c r="Q155" s="14" t="n">
        <f aca="false">ROUND(IF(E155=0,IF((D155+N155-O155)&lt;0,ABS(D155+N155-O155),0),IF((N155-E155-O155)&lt;0,ABS(N155-E155-O155),0)),2)</f>
        <v>0</v>
      </c>
    </row>
    <row r="156" customFormat="false" ht="15" hidden="false" customHeight="true" outlineLevel="0" collapsed="false">
      <c r="A156" s="12" t="s">
        <v>464</v>
      </c>
      <c r="B156" s="12" t="s">
        <v>465</v>
      </c>
      <c r="C156" s="12" t="s">
        <v>466</v>
      </c>
      <c r="D156" s="14" t="n">
        <f aca="false">травень!P156</f>
        <v>0</v>
      </c>
      <c r="E156" s="14" t="n">
        <f aca="false">травень!Q156</f>
        <v>1011.53</v>
      </c>
      <c r="F156" s="13" t="n">
        <f aca="false">травень!F156</f>
        <v>0</v>
      </c>
      <c r="G156" s="13" t="n">
        <f aca="false">травень!G156</f>
        <v>65.7</v>
      </c>
      <c r="H156" s="13" t="n">
        <f aca="false">травень!H156</f>
        <v>0</v>
      </c>
      <c r="I156" s="13" t="n">
        <f aca="false">травень!I156</f>
        <v>4.1</v>
      </c>
      <c r="J156" s="14" t="n">
        <f aca="false">ROUND(G156*I156,2)</f>
        <v>269.37</v>
      </c>
      <c r="K156" s="14"/>
      <c r="L156" s="14"/>
      <c r="M156" s="14"/>
      <c r="N156" s="14" t="n">
        <f aca="false">ROUND((G156*I156)-K156-L156-M156,2)</f>
        <v>269.37</v>
      </c>
      <c r="O156" s="14"/>
      <c r="P156" s="14" t="n">
        <f aca="false">ROUND(IF(D156=0,IF((N156-E156-O156)&gt;0,(N156-E156-O156),0),IF((D156+N156-O156)&gt;0,(D156+N156-O156),0)),2)</f>
        <v>0</v>
      </c>
      <c r="Q156" s="14" t="n">
        <f aca="false">ROUND(IF(E156=0,IF((D156+N156-O156)&lt;0,ABS(D156+N156-O156),0),IF((N156-E156-O156)&lt;0,ABS(N156-E156-O156),0)),2)</f>
        <v>742.16</v>
      </c>
    </row>
    <row r="157" customFormat="false" ht="15" hidden="false" customHeight="true" outlineLevel="0" collapsed="false">
      <c r="A157" s="12" t="s">
        <v>467</v>
      </c>
      <c r="B157" s="12" t="s">
        <v>468</v>
      </c>
      <c r="C157" s="12" t="s">
        <v>469</v>
      </c>
      <c r="D157" s="14" t="n">
        <f aca="false">травень!P157</f>
        <v>3445.88</v>
      </c>
      <c r="E157" s="14" t="n">
        <f aca="false">травень!Q157</f>
        <v>0</v>
      </c>
      <c r="F157" s="13" t="n">
        <f aca="false">травень!F157</f>
        <v>0</v>
      </c>
      <c r="G157" s="13" t="n">
        <f aca="false">травень!G157</f>
        <v>49.78</v>
      </c>
      <c r="H157" s="13" t="n">
        <f aca="false">травень!H157</f>
        <v>0</v>
      </c>
      <c r="I157" s="13" t="n">
        <f aca="false">травень!I157</f>
        <v>4.1</v>
      </c>
      <c r="J157" s="14" t="n">
        <f aca="false">ROUND(G157*I157,2)</f>
        <v>204.1</v>
      </c>
      <c r="K157" s="14"/>
      <c r="L157" s="14"/>
      <c r="M157" s="14"/>
      <c r="N157" s="14" t="n">
        <f aca="false">ROUND((G157*I157)-K157-L157-M157,2)</f>
        <v>204.1</v>
      </c>
      <c r="O157" s="14"/>
      <c r="P157" s="14" t="n">
        <f aca="false">ROUND(IF(D157=0,IF((N157-E157-O157)&gt;0,(N157-E157-O157),0),IF((D157+N157-O157)&gt;0,(D157+N157-O157),0)),2)</f>
        <v>3649.98</v>
      </c>
      <c r="Q157" s="14" t="n">
        <f aca="false">ROUND(IF(E157=0,IF((D157+N157-O157)&lt;0,ABS(D157+N157-O157),0),IF((N157-E157-O157)&lt;0,ABS(N157-E157-O157),0)),2)</f>
        <v>0</v>
      </c>
    </row>
    <row r="158" customFormat="false" ht="15" hidden="false" customHeight="true" outlineLevel="0" collapsed="false">
      <c r="A158" s="12" t="s">
        <v>470</v>
      </c>
      <c r="B158" s="12" t="s">
        <v>471</v>
      </c>
      <c r="C158" s="12" t="s">
        <v>472</v>
      </c>
      <c r="D158" s="14" t="n">
        <f aca="false">травень!P158</f>
        <v>1004.5</v>
      </c>
      <c r="E158" s="14" t="n">
        <f aca="false">травень!Q158</f>
        <v>0</v>
      </c>
      <c r="F158" s="13" t="n">
        <f aca="false">травень!F158</f>
        <v>0</v>
      </c>
      <c r="G158" s="13" t="n">
        <f aca="false">травень!G158</f>
        <v>35</v>
      </c>
      <c r="H158" s="13" t="n">
        <f aca="false">травень!H158</f>
        <v>0</v>
      </c>
      <c r="I158" s="13" t="n">
        <f aca="false">травень!I158</f>
        <v>4.1</v>
      </c>
      <c r="J158" s="14" t="n">
        <f aca="false">ROUND(G158*I158,2)</f>
        <v>143.5</v>
      </c>
      <c r="K158" s="14"/>
      <c r="L158" s="14"/>
      <c r="M158" s="14"/>
      <c r="N158" s="14" t="n">
        <f aca="false">ROUND((G158*I158)-K158-L158-M158,2)</f>
        <v>143.5</v>
      </c>
      <c r="O158" s="14"/>
      <c r="P158" s="14" t="n">
        <f aca="false">ROUND(IF(D158=0,IF((N158-E158-O158)&gt;0,(N158-E158-O158),0),IF((D158+N158-O158)&gt;0,(D158+N158-O158),0)),2)</f>
        <v>1148</v>
      </c>
      <c r="Q158" s="14" t="n">
        <f aca="false">ROUND(IF(E158=0,IF((D158+N158-O158)&lt;0,ABS(D158+N158-O158),0),IF((N158-E158-O158)&lt;0,ABS(N158-E158-O158),0)),2)</f>
        <v>0</v>
      </c>
    </row>
    <row r="159" customFormat="false" ht="15" hidden="false" customHeight="true" outlineLevel="0" collapsed="false">
      <c r="A159" s="12" t="s">
        <v>473</v>
      </c>
      <c r="B159" s="12" t="s">
        <v>474</v>
      </c>
      <c r="C159" s="12" t="s">
        <v>475</v>
      </c>
      <c r="D159" s="14" t="n">
        <f aca="false">травень!P159</f>
        <v>11167.62</v>
      </c>
      <c r="E159" s="14" t="n">
        <f aca="false">травень!Q159</f>
        <v>0</v>
      </c>
      <c r="F159" s="13" t="n">
        <f aca="false">травень!F159</f>
        <v>0</v>
      </c>
      <c r="G159" s="13" t="n">
        <f aca="false">травень!G159</f>
        <v>62.08</v>
      </c>
      <c r="H159" s="13" t="n">
        <f aca="false">травень!H159</f>
        <v>0</v>
      </c>
      <c r="I159" s="13" t="n">
        <f aca="false">травень!I159</f>
        <v>4.1</v>
      </c>
      <c r="J159" s="14" t="n">
        <f aca="false">ROUND(G159*I159,2)</f>
        <v>254.53</v>
      </c>
      <c r="K159" s="14"/>
      <c r="L159" s="14"/>
      <c r="M159" s="14"/>
      <c r="N159" s="14" t="n">
        <f aca="false">ROUND((G159*I159)-K159-L159-M159,2)</f>
        <v>254.53</v>
      </c>
      <c r="O159" s="14"/>
      <c r="P159" s="14" t="n">
        <f aca="false">ROUND(IF(D159=0,IF((N159-E159-O159)&gt;0,(N159-E159-O159),0),IF((D159+N159-O159)&gt;0,(D159+N159-O159),0)),2)</f>
        <v>11422.15</v>
      </c>
      <c r="Q159" s="14" t="n">
        <f aca="false">ROUND(IF(E159=0,IF((D159+N159-O159)&lt;0,ABS(D159+N159-O159),0),IF((N159-E159-O159)&lt;0,ABS(N159-E159-O159),0)),2)</f>
        <v>0</v>
      </c>
    </row>
    <row r="160" customFormat="false" ht="15" hidden="false" customHeight="true" outlineLevel="0" collapsed="false">
      <c r="A160" s="12" t="s">
        <v>476</v>
      </c>
      <c r="B160" s="12" t="s">
        <v>477</v>
      </c>
      <c r="C160" s="12" t="s">
        <v>478</v>
      </c>
      <c r="D160" s="14" t="n">
        <f aca="false">травень!P160</f>
        <v>1080.12</v>
      </c>
      <c r="E160" s="14" t="n">
        <f aca="false">травень!Q160</f>
        <v>0</v>
      </c>
      <c r="F160" s="13" t="n">
        <f aca="false">травень!F160</f>
        <v>0</v>
      </c>
      <c r="G160" s="13" t="n">
        <f aca="false">травень!G160</f>
        <v>65.86</v>
      </c>
      <c r="H160" s="13" t="n">
        <f aca="false">травень!H160</f>
        <v>0</v>
      </c>
      <c r="I160" s="13" t="n">
        <f aca="false">травень!I160</f>
        <v>4.1</v>
      </c>
      <c r="J160" s="14" t="n">
        <f aca="false">ROUND(G160*I160,2)</f>
        <v>270.03</v>
      </c>
      <c r="K160" s="14"/>
      <c r="L160" s="14"/>
      <c r="M160" s="14"/>
      <c r="N160" s="14" t="n">
        <f aca="false">ROUND((G160*I160)-K160-L160-M160,2)</f>
        <v>270.03</v>
      </c>
      <c r="O160" s="14"/>
      <c r="P160" s="14" t="n">
        <f aca="false">ROUND(IF(D160=0,IF((N160-E160-O160)&gt;0,(N160-E160-O160),0),IF((D160+N160-O160)&gt;0,(D160+N160-O160),0)),2)</f>
        <v>1350.15</v>
      </c>
      <c r="Q160" s="14" t="n">
        <f aca="false">ROUND(IF(E160=0,IF((D160+N160-O160)&lt;0,ABS(D160+N160-O160),0),IF((N160-E160-O160)&lt;0,ABS(N160-E160-O160),0)),2)</f>
        <v>0</v>
      </c>
    </row>
    <row r="161" customFormat="false" ht="15" hidden="false" customHeight="true" outlineLevel="0" collapsed="false">
      <c r="A161" s="12" t="s">
        <v>479</v>
      </c>
      <c r="B161" s="12" t="s">
        <v>480</v>
      </c>
      <c r="C161" s="12" t="s">
        <v>481</v>
      </c>
      <c r="D161" s="14" t="n">
        <f aca="false">травень!P161</f>
        <v>986.4</v>
      </c>
      <c r="E161" s="14" t="n">
        <f aca="false">травень!Q161</f>
        <v>0</v>
      </c>
      <c r="F161" s="13" t="n">
        <f aca="false">травень!F161</f>
        <v>0</v>
      </c>
      <c r="G161" s="13" t="n">
        <f aca="false">травень!G161</f>
        <v>49.95</v>
      </c>
      <c r="H161" s="13" t="n">
        <f aca="false">травень!H161</f>
        <v>0</v>
      </c>
      <c r="I161" s="13" t="n">
        <f aca="false">травень!I161</f>
        <v>4.1</v>
      </c>
      <c r="J161" s="14" t="n">
        <f aca="false">ROUND(G161*I161,2)</f>
        <v>204.8</v>
      </c>
      <c r="K161" s="14"/>
      <c r="L161" s="14"/>
      <c r="M161" s="14"/>
      <c r="N161" s="14" t="n">
        <f aca="false">ROUND((G161*I161)-K161-L161-M161,2)</f>
        <v>204.8</v>
      </c>
      <c r="O161" s="14"/>
      <c r="P161" s="14" t="n">
        <f aca="false">ROUND(IF(D161=0,IF((N161-E161-O161)&gt;0,(N161-E161-O161),0),IF((D161+N161-O161)&gt;0,(D161+N161-O161),0)),2)</f>
        <v>1191.2</v>
      </c>
      <c r="Q161" s="14" t="n">
        <f aca="false">ROUND(IF(E161=0,IF((D161+N161-O161)&lt;0,ABS(D161+N161-O161),0),IF((N161-E161-O161)&lt;0,ABS(N161-E161-O161),0)),2)</f>
        <v>0</v>
      </c>
    </row>
    <row r="162" customFormat="false" ht="15" hidden="false" customHeight="true" outlineLevel="0" collapsed="false">
      <c r="A162" s="12" t="s">
        <v>482</v>
      </c>
      <c r="B162" s="12" t="s">
        <v>483</v>
      </c>
      <c r="C162" s="12" t="s">
        <v>484</v>
      </c>
      <c r="D162" s="14" t="n">
        <f aca="false">травень!P162</f>
        <v>0</v>
      </c>
      <c r="E162" s="14" t="n">
        <f aca="false">травень!Q162</f>
        <v>705.95</v>
      </c>
      <c r="F162" s="13" t="n">
        <f aca="false">травень!F162</f>
        <v>0</v>
      </c>
      <c r="G162" s="13" t="n">
        <f aca="false">травень!G162</f>
        <v>33.9</v>
      </c>
      <c r="H162" s="13" t="n">
        <f aca="false">травень!H162</f>
        <v>0</v>
      </c>
      <c r="I162" s="13" t="n">
        <f aca="false">травень!I162</f>
        <v>4.1</v>
      </c>
      <c r="J162" s="14" t="n">
        <f aca="false">ROUND(G162*I162,2)</f>
        <v>138.99</v>
      </c>
      <c r="K162" s="14"/>
      <c r="L162" s="14"/>
      <c r="M162" s="14"/>
      <c r="N162" s="14" t="n">
        <f aca="false">ROUND((G162*I162)-K162-L162-M162,2)</f>
        <v>138.99</v>
      </c>
      <c r="O162" s="14"/>
      <c r="P162" s="14" t="n">
        <f aca="false">ROUND(IF(D162=0,IF((N162-E162-O162)&gt;0,(N162-E162-O162),0),IF((D162+N162-O162)&gt;0,(D162+N162-O162),0)),2)</f>
        <v>0</v>
      </c>
      <c r="Q162" s="14" t="n">
        <f aca="false">ROUND(IF(E162=0,IF((D162+N162-O162)&lt;0,ABS(D162+N162-O162),0),IF((N162-E162-O162)&lt;0,ABS(N162-E162-O162),0)),2)</f>
        <v>566.96</v>
      </c>
    </row>
    <row r="163" customFormat="false" ht="15" hidden="false" customHeight="true" outlineLevel="0" collapsed="false">
      <c r="A163" s="12" t="s">
        <v>485</v>
      </c>
      <c r="B163" s="12" t="s">
        <v>486</v>
      </c>
      <c r="C163" s="12" t="s">
        <v>487</v>
      </c>
      <c r="D163" s="14" t="n">
        <f aca="false">травень!P163</f>
        <v>2149</v>
      </c>
      <c r="E163" s="14" t="n">
        <f aca="false">травень!Q163</f>
        <v>0</v>
      </c>
      <c r="F163" s="13" t="n">
        <f aca="false">травень!F163</f>
        <v>0</v>
      </c>
      <c r="G163" s="13" t="n">
        <f aca="false">травень!G163</f>
        <v>62.43</v>
      </c>
      <c r="H163" s="13" t="n">
        <f aca="false">травень!H163</f>
        <v>0</v>
      </c>
      <c r="I163" s="13" t="n">
        <f aca="false">травень!I163</f>
        <v>4.1</v>
      </c>
      <c r="J163" s="14" t="n">
        <f aca="false">ROUND(G163*I163,2)</f>
        <v>255.96</v>
      </c>
      <c r="K163" s="14"/>
      <c r="L163" s="14"/>
      <c r="M163" s="14"/>
      <c r="N163" s="14" t="n">
        <f aca="false">ROUND((G163*I163)-K163-L163-M163,2)</f>
        <v>255.96</v>
      </c>
      <c r="O163" s="14"/>
      <c r="P163" s="14" t="n">
        <f aca="false">ROUND(IF(D163=0,IF((N163-E163-O163)&gt;0,(N163-E163-O163),0),IF((D163+N163-O163)&gt;0,(D163+N163-O163),0)),2)</f>
        <v>2404.96</v>
      </c>
      <c r="Q163" s="14" t="n">
        <f aca="false">ROUND(IF(E163=0,IF((D163+N163-O163)&lt;0,ABS(D163+N163-O163),0),IF((N163-E163-O163)&lt;0,ABS(N163-E163-O163),0)),2)</f>
        <v>0</v>
      </c>
    </row>
    <row r="164" customFormat="false" ht="15" hidden="false" customHeight="true" outlineLevel="0" collapsed="false">
      <c r="A164" s="12" t="s">
        <v>488</v>
      </c>
      <c r="B164" s="12" t="s">
        <v>489</v>
      </c>
      <c r="C164" s="12" t="s">
        <v>490</v>
      </c>
      <c r="D164" s="14" t="n">
        <f aca="false">травень!P164</f>
        <v>8294.08</v>
      </c>
      <c r="E164" s="14" t="n">
        <f aca="false">травень!Q164</f>
        <v>0</v>
      </c>
      <c r="F164" s="13" t="n">
        <f aca="false">травень!F164</f>
        <v>0</v>
      </c>
      <c r="G164" s="13" t="n">
        <f aca="false">травень!G164</f>
        <v>64.8</v>
      </c>
      <c r="H164" s="13" t="n">
        <f aca="false">травень!H164</f>
        <v>0</v>
      </c>
      <c r="I164" s="13" t="n">
        <f aca="false">травень!I164</f>
        <v>4.1</v>
      </c>
      <c r="J164" s="14" t="n">
        <f aca="false">ROUND(G164*I164,2)</f>
        <v>265.68</v>
      </c>
      <c r="K164" s="14"/>
      <c r="L164" s="14"/>
      <c r="M164" s="14"/>
      <c r="N164" s="14" t="n">
        <f aca="false">ROUND((G164*I164)-K164-L164-M164,2)</f>
        <v>265.68</v>
      </c>
      <c r="O164" s="14"/>
      <c r="P164" s="14" t="n">
        <f aca="false">ROUND(IF(D164=0,IF((N164-E164-O164)&gt;0,(N164-E164-O164),0),IF((D164+N164-O164)&gt;0,(D164+N164-O164),0)),2)</f>
        <v>8559.76</v>
      </c>
      <c r="Q164" s="14" t="n">
        <f aca="false">ROUND(IF(E164=0,IF((D164+N164-O164)&lt;0,ABS(D164+N164-O164),0),IF((N164-E164-O164)&lt;0,ABS(N164-E164-O164),0)),2)</f>
        <v>0</v>
      </c>
    </row>
    <row r="165" customFormat="false" ht="15" hidden="false" customHeight="true" outlineLevel="0" collapsed="false">
      <c r="A165" s="12" t="s">
        <v>491</v>
      </c>
      <c r="B165" s="12" t="s">
        <v>492</v>
      </c>
      <c r="C165" s="12" t="s">
        <v>493</v>
      </c>
      <c r="D165" s="14" t="n">
        <f aca="false">травень!P165</f>
        <v>1012.7</v>
      </c>
      <c r="E165" s="14" t="n">
        <f aca="false">травень!Q165</f>
        <v>0</v>
      </c>
      <c r="F165" s="13" t="n">
        <f aca="false">травень!F165</f>
        <v>0</v>
      </c>
      <c r="G165" s="13" t="n">
        <f aca="false">травень!G165</f>
        <v>49.4</v>
      </c>
      <c r="H165" s="13" t="n">
        <f aca="false">травень!H165</f>
        <v>0</v>
      </c>
      <c r="I165" s="13" t="n">
        <f aca="false">травень!I165</f>
        <v>4.1</v>
      </c>
      <c r="J165" s="14" t="n">
        <f aca="false">ROUND(G165*I165,2)</f>
        <v>202.54</v>
      </c>
      <c r="K165" s="14"/>
      <c r="L165" s="14"/>
      <c r="M165" s="14"/>
      <c r="N165" s="14" t="n">
        <f aca="false">ROUND((G165*I165)-K165-L165-M165,2)</f>
        <v>202.54</v>
      </c>
      <c r="O165" s="14"/>
      <c r="P165" s="14" t="n">
        <f aca="false">ROUND(IF(D165=0,IF((N165-E165-O165)&gt;0,(N165-E165-O165),0),IF((D165+N165-O165)&gt;0,(D165+N165-O165),0)),2)</f>
        <v>1215.24</v>
      </c>
      <c r="Q165" s="14" t="n">
        <f aca="false">ROUND(IF(E165=0,IF((D165+N165-O165)&lt;0,ABS(D165+N165-O165),0),IF((N165-E165-O165)&lt;0,ABS(N165-E165-O165),0)),2)</f>
        <v>0</v>
      </c>
    </row>
    <row r="166" customFormat="false" ht="15" hidden="false" customHeight="true" outlineLevel="0" collapsed="false">
      <c r="A166" s="12" t="s">
        <v>494</v>
      </c>
      <c r="B166" s="12" t="s">
        <v>495</v>
      </c>
      <c r="C166" s="12" t="s">
        <v>496</v>
      </c>
      <c r="D166" s="14" t="n">
        <f aca="false">травень!P166</f>
        <v>4344.7</v>
      </c>
      <c r="E166" s="14" t="n">
        <f aca="false">травень!Q166</f>
        <v>0</v>
      </c>
      <c r="F166" s="13" t="n">
        <f aca="false">травень!F166</f>
        <v>0</v>
      </c>
      <c r="G166" s="13" t="n">
        <f aca="false">травень!G166</f>
        <v>35.1</v>
      </c>
      <c r="H166" s="13" t="n">
        <f aca="false">травень!H166</f>
        <v>0</v>
      </c>
      <c r="I166" s="13" t="n">
        <f aca="false">травень!I166</f>
        <v>4.1</v>
      </c>
      <c r="J166" s="14" t="n">
        <f aca="false">ROUND(G166*I166,2)</f>
        <v>143.91</v>
      </c>
      <c r="K166" s="14"/>
      <c r="L166" s="14"/>
      <c r="M166" s="14"/>
      <c r="N166" s="14" t="n">
        <f aca="false">ROUND((G166*I166)-K166-L166-M166,2)</f>
        <v>143.91</v>
      </c>
      <c r="O166" s="14"/>
      <c r="P166" s="14" t="n">
        <f aca="false">ROUND(IF(D166=0,IF((N166-E166-O166)&gt;0,(N166-E166-O166),0),IF((D166+N166-O166)&gt;0,(D166+N166-O166),0)),2)</f>
        <v>4488.61</v>
      </c>
      <c r="Q166" s="14" t="n">
        <f aca="false">ROUND(IF(E166=0,IF((D166+N166-O166)&lt;0,ABS(D166+N166-O166),0),IF((N166-E166-O166)&lt;0,ABS(N166-E166-O166),0)),2)</f>
        <v>0</v>
      </c>
    </row>
    <row r="167" customFormat="false" ht="15" hidden="false" customHeight="true" outlineLevel="0" collapsed="false">
      <c r="A167" s="12" t="s">
        <v>497</v>
      </c>
      <c r="B167" s="12" t="s">
        <v>498</v>
      </c>
      <c r="C167" s="12" t="s">
        <v>499</v>
      </c>
      <c r="D167" s="14" t="n">
        <f aca="false">травень!P167</f>
        <v>2370.08</v>
      </c>
      <c r="E167" s="14" t="n">
        <f aca="false">травень!Q167</f>
        <v>0</v>
      </c>
      <c r="F167" s="13" t="n">
        <f aca="false">травень!F167</f>
        <v>0</v>
      </c>
      <c r="G167" s="13" t="n">
        <f aca="false">травень!G167</f>
        <v>62.4</v>
      </c>
      <c r="H167" s="13" t="n">
        <f aca="false">травень!H167</f>
        <v>0</v>
      </c>
      <c r="I167" s="13" t="n">
        <f aca="false">травень!I167</f>
        <v>4.1</v>
      </c>
      <c r="J167" s="14" t="n">
        <f aca="false">ROUND(G167*I167,2)</f>
        <v>255.84</v>
      </c>
      <c r="K167" s="14"/>
      <c r="L167" s="14"/>
      <c r="M167" s="14"/>
      <c r="N167" s="14" t="n">
        <f aca="false">ROUND((G167*I167)-K167-L167-M167,2)</f>
        <v>255.84</v>
      </c>
      <c r="O167" s="14"/>
      <c r="P167" s="14" t="n">
        <f aca="false">ROUND(IF(D167=0,IF((N167-E167-O167)&gt;0,(N167-E167-O167),0),IF((D167+N167-O167)&gt;0,(D167+N167-O167),0)),2)</f>
        <v>2625.92</v>
      </c>
      <c r="Q167" s="14" t="n">
        <f aca="false">ROUND(IF(E167=0,IF((D167+N167-O167)&lt;0,ABS(D167+N167-O167),0),IF((N167-E167-O167)&lt;0,ABS(N167-E167-O167),0)),2)</f>
        <v>0</v>
      </c>
    </row>
    <row r="168" customFormat="false" ht="15" hidden="false" customHeight="true" outlineLevel="0" collapsed="false">
      <c r="A168" s="12" t="s">
        <v>500</v>
      </c>
      <c r="B168" s="12" t="s">
        <v>501</v>
      </c>
      <c r="C168" s="12" t="s">
        <v>502</v>
      </c>
      <c r="D168" s="14" t="n">
        <f aca="false">травень!P168</f>
        <v>1342.75</v>
      </c>
      <c r="E168" s="14" t="n">
        <f aca="false">травень!Q168</f>
        <v>0</v>
      </c>
      <c r="F168" s="13" t="n">
        <f aca="false">травень!F168</f>
        <v>0</v>
      </c>
      <c r="G168" s="13" t="n">
        <f aca="false">травень!G168</f>
        <v>65.5</v>
      </c>
      <c r="H168" s="13" t="n">
        <f aca="false">травень!H168</f>
        <v>0</v>
      </c>
      <c r="I168" s="13" t="n">
        <f aca="false">травень!I168</f>
        <v>4.1</v>
      </c>
      <c r="J168" s="14" t="n">
        <f aca="false">ROUND(G168*I168,2)</f>
        <v>268.55</v>
      </c>
      <c r="K168" s="14"/>
      <c r="L168" s="14"/>
      <c r="M168" s="14"/>
      <c r="N168" s="14" t="n">
        <f aca="false">ROUND((G168*I168)-K168-L168-M168,2)</f>
        <v>268.55</v>
      </c>
      <c r="O168" s="14"/>
      <c r="P168" s="14" t="n">
        <f aca="false">ROUND(IF(D168=0,IF((N168-E168-O168)&gt;0,(N168-E168-O168),0),IF((D168+N168-O168)&gt;0,(D168+N168-O168),0)),2)</f>
        <v>1611.3</v>
      </c>
      <c r="Q168" s="14" t="n">
        <f aca="false">ROUND(IF(E168=0,IF((D168+N168-O168)&lt;0,ABS(D168+N168-O168),0),IF((N168-E168-O168)&lt;0,ABS(N168-E168-O168),0)),2)</f>
        <v>0</v>
      </c>
    </row>
    <row r="169" customFormat="false" ht="15" hidden="false" customHeight="true" outlineLevel="0" collapsed="false">
      <c r="A169" s="12" t="s">
        <v>503</v>
      </c>
      <c r="B169" s="12" t="s">
        <v>504</v>
      </c>
      <c r="C169" s="12" t="s">
        <v>505</v>
      </c>
      <c r="D169" s="14" t="n">
        <f aca="false">травень!P169</f>
        <v>1228.5</v>
      </c>
      <c r="E169" s="14" t="n">
        <f aca="false">травень!Q169</f>
        <v>0</v>
      </c>
      <c r="F169" s="13" t="n">
        <f aca="false">травень!F169</f>
        <v>0</v>
      </c>
      <c r="G169" s="13" t="n">
        <f aca="false">травень!G169</f>
        <v>49.94</v>
      </c>
      <c r="H169" s="13" t="n">
        <f aca="false">травень!H169</f>
        <v>0</v>
      </c>
      <c r="I169" s="13" t="n">
        <f aca="false">травень!I169</f>
        <v>4.1</v>
      </c>
      <c r="J169" s="14" t="n">
        <f aca="false">ROUND(G169*I169,2)</f>
        <v>204.75</v>
      </c>
      <c r="K169" s="14"/>
      <c r="L169" s="14"/>
      <c r="M169" s="14"/>
      <c r="N169" s="14" t="n">
        <f aca="false">ROUND((G169*I169)-K169-L169-M169,2)</f>
        <v>204.75</v>
      </c>
      <c r="O169" s="14"/>
      <c r="P169" s="14" t="n">
        <f aca="false">ROUND(IF(D169=0,IF((N169-E169-O169)&gt;0,(N169-E169-O169),0),IF((D169+N169-O169)&gt;0,(D169+N169-O169),0)),2)</f>
        <v>1433.25</v>
      </c>
      <c r="Q169" s="14" t="n">
        <f aca="false">ROUND(IF(E169=0,IF((D169+N169-O169)&lt;0,ABS(D169+N169-O169),0),IF((N169-E169-O169)&lt;0,ABS(N169-E169-O169),0)),2)</f>
        <v>0</v>
      </c>
    </row>
    <row r="170" customFormat="false" ht="15" hidden="false" customHeight="true" outlineLevel="0" collapsed="false">
      <c r="A170" s="12" t="s">
        <v>506</v>
      </c>
      <c r="B170" s="12" t="s">
        <v>507</v>
      </c>
      <c r="C170" s="12" t="s">
        <v>508</v>
      </c>
      <c r="D170" s="14" t="n">
        <f aca="false">травень!P170</f>
        <v>717.5</v>
      </c>
      <c r="E170" s="14" t="n">
        <f aca="false">травень!Q170</f>
        <v>0</v>
      </c>
      <c r="F170" s="13" t="n">
        <f aca="false">травень!F170</f>
        <v>0</v>
      </c>
      <c r="G170" s="13" t="n">
        <f aca="false">травень!G170</f>
        <v>35</v>
      </c>
      <c r="H170" s="13" t="n">
        <f aca="false">травень!H170</f>
        <v>0</v>
      </c>
      <c r="I170" s="13" t="n">
        <f aca="false">травень!I170</f>
        <v>4.1</v>
      </c>
      <c r="J170" s="14" t="n">
        <f aca="false">ROUND(G170*I170,2)</f>
        <v>143.5</v>
      </c>
      <c r="K170" s="14"/>
      <c r="L170" s="14"/>
      <c r="M170" s="14"/>
      <c r="N170" s="14" t="n">
        <f aca="false">ROUND((G170*I170)-K170-L170-M170,2)</f>
        <v>143.5</v>
      </c>
      <c r="O170" s="14"/>
      <c r="P170" s="14" t="n">
        <f aca="false">ROUND(IF(D170=0,IF((N170-E170-O170)&gt;0,(N170-E170-O170),0),IF((D170+N170-O170)&gt;0,(D170+N170-O170),0)),2)</f>
        <v>861</v>
      </c>
      <c r="Q170" s="14" t="n">
        <f aca="false">ROUND(IF(E170=0,IF((D170+N170-O170)&lt;0,ABS(D170+N170-O170),0),IF((N170-E170-O170)&lt;0,ABS(N170-E170-O170),0)),2)</f>
        <v>0</v>
      </c>
    </row>
    <row r="171" customFormat="false" ht="15" hidden="false" customHeight="true" outlineLevel="0" collapsed="false">
      <c r="A171" s="12" t="s">
        <v>509</v>
      </c>
      <c r="B171" s="12" t="s">
        <v>510</v>
      </c>
      <c r="C171" s="12" t="s">
        <v>511</v>
      </c>
      <c r="D171" s="14" t="n">
        <f aca="false">травень!P171</f>
        <v>1278.4</v>
      </c>
      <c r="E171" s="14" t="n">
        <f aca="false">травень!Q171</f>
        <v>0</v>
      </c>
      <c r="F171" s="13" t="n">
        <f aca="false">травень!F171</f>
        <v>0</v>
      </c>
      <c r="G171" s="13" t="n">
        <f aca="false">травень!G171</f>
        <v>62.36</v>
      </c>
      <c r="H171" s="13" t="n">
        <f aca="false">травень!H171</f>
        <v>0</v>
      </c>
      <c r="I171" s="13" t="n">
        <f aca="false">травень!I171</f>
        <v>4.1</v>
      </c>
      <c r="J171" s="14" t="n">
        <f aca="false">ROUND(G171*I171,2)</f>
        <v>255.68</v>
      </c>
      <c r="K171" s="14"/>
      <c r="L171" s="14"/>
      <c r="M171" s="14"/>
      <c r="N171" s="14" t="n">
        <f aca="false">ROUND((G171*I171)-K171-L171-M171,2)</f>
        <v>255.68</v>
      </c>
      <c r="O171" s="14"/>
      <c r="P171" s="14" t="n">
        <f aca="false">ROUND(IF(D171=0,IF((N171-E171-O171)&gt;0,(N171-E171-O171),0),IF((D171+N171-O171)&gt;0,(D171+N171-O171),0)),2)</f>
        <v>1534.08</v>
      </c>
      <c r="Q171" s="14" t="n">
        <f aca="false">ROUND(IF(E171=0,IF((D171+N171-O171)&lt;0,ABS(D171+N171-O171),0),IF((N171-E171-O171)&lt;0,ABS(N171-E171-O171),0)),2)</f>
        <v>0</v>
      </c>
    </row>
    <row r="172" customFormat="false" ht="15" hidden="false" customHeight="true" outlineLevel="0" collapsed="false">
      <c r="A172" s="12" t="s">
        <v>512</v>
      </c>
      <c r="B172" s="12" t="s">
        <v>513</v>
      </c>
      <c r="C172" s="12" t="s">
        <v>514</v>
      </c>
      <c r="D172" s="14" t="n">
        <f aca="false">травень!P172</f>
        <v>9148.8</v>
      </c>
      <c r="E172" s="14" t="n">
        <f aca="false">травень!Q172</f>
        <v>0</v>
      </c>
      <c r="F172" s="13" t="n">
        <f aca="false">травень!F172</f>
        <v>0</v>
      </c>
      <c r="G172" s="13" t="n">
        <f aca="false">травень!G172</f>
        <v>65.63</v>
      </c>
      <c r="H172" s="13" t="n">
        <f aca="false">травень!H172</f>
        <v>0</v>
      </c>
      <c r="I172" s="13" t="n">
        <f aca="false">травень!I172</f>
        <v>4.1</v>
      </c>
      <c r="J172" s="14" t="n">
        <f aca="false">ROUND(G172*I172,2)</f>
        <v>269.08</v>
      </c>
      <c r="K172" s="14"/>
      <c r="L172" s="14"/>
      <c r="M172" s="14"/>
      <c r="N172" s="14" t="n">
        <f aca="false">ROUND((G172*I172)-K172-L172-M172,2)</f>
        <v>269.08</v>
      </c>
      <c r="O172" s="14"/>
      <c r="P172" s="14" t="n">
        <f aca="false">ROUND(IF(D172=0,IF((N172-E172-O172)&gt;0,(N172-E172-O172),0),IF((D172+N172-O172)&gt;0,(D172+N172-O172),0)),2)</f>
        <v>9417.88</v>
      </c>
      <c r="Q172" s="14" t="n">
        <f aca="false">ROUND(IF(E172=0,IF((D172+N172-O172)&lt;0,ABS(D172+N172-O172),0),IF((N172-E172-O172)&lt;0,ABS(N172-E172-O172),0)),2)</f>
        <v>0</v>
      </c>
    </row>
    <row r="173" customFormat="false" ht="15" hidden="false" customHeight="true" outlineLevel="0" collapsed="false">
      <c r="A173" s="12" t="s">
        <v>515</v>
      </c>
      <c r="B173" s="12" t="s">
        <v>516</v>
      </c>
      <c r="C173" s="12" t="s">
        <v>517</v>
      </c>
      <c r="D173" s="14" t="n">
        <f aca="false">травень!P173</f>
        <v>17199.05</v>
      </c>
      <c r="E173" s="14" t="n">
        <f aca="false">травень!Q173</f>
        <v>0</v>
      </c>
      <c r="F173" s="13" t="n">
        <f aca="false">травень!F173</f>
        <v>0</v>
      </c>
      <c r="G173" s="13" t="n">
        <f aca="false">травень!G173</f>
        <v>49.8</v>
      </c>
      <c r="H173" s="13" t="n">
        <f aca="false">травень!H173</f>
        <v>0</v>
      </c>
      <c r="I173" s="13" t="n">
        <f aca="false">травень!I173</f>
        <v>4.1</v>
      </c>
      <c r="J173" s="14" t="n">
        <f aca="false">ROUND(G173*I173,2)</f>
        <v>204.18</v>
      </c>
      <c r="K173" s="14"/>
      <c r="L173" s="14"/>
      <c r="M173" s="14"/>
      <c r="N173" s="14" t="n">
        <f aca="false">ROUND((G173*I173)-K173-L173-M173,2)</f>
        <v>204.18</v>
      </c>
      <c r="O173" s="14"/>
      <c r="P173" s="14" t="n">
        <f aca="false">ROUND(IF(D173=0,IF((N173-E173-O173)&gt;0,(N173-E173-O173),0),IF((D173+N173-O173)&gt;0,(D173+N173-O173),0)),2)</f>
        <v>17403.23</v>
      </c>
      <c r="Q173" s="14" t="n">
        <f aca="false">ROUND(IF(E173=0,IF((D173+N173-O173)&lt;0,ABS(D173+N173-O173),0),IF((N173-E173-O173)&lt;0,ABS(N173-E173-O173),0)),2)</f>
        <v>0</v>
      </c>
    </row>
    <row r="174" customFormat="false" ht="15" hidden="false" customHeight="true" outlineLevel="0" collapsed="false">
      <c r="A174" s="12" t="s">
        <v>518</v>
      </c>
      <c r="B174" s="12" t="s">
        <v>519</v>
      </c>
      <c r="C174" s="12" t="s">
        <v>520</v>
      </c>
      <c r="D174" s="14" t="n">
        <f aca="false">травень!P174</f>
        <v>4735.5</v>
      </c>
      <c r="E174" s="14" t="n">
        <f aca="false">травень!Q174</f>
        <v>0</v>
      </c>
      <c r="F174" s="13" t="n">
        <f aca="false">травень!F174</f>
        <v>0</v>
      </c>
      <c r="G174" s="13" t="n">
        <f aca="false">травень!G174</f>
        <v>35</v>
      </c>
      <c r="H174" s="13" t="n">
        <f aca="false">травень!H174</f>
        <v>0</v>
      </c>
      <c r="I174" s="13" t="n">
        <f aca="false">травень!I174</f>
        <v>4.1</v>
      </c>
      <c r="J174" s="14" t="n">
        <f aca="false">ROUND(G174*I174,2)</f>
        <v>143.5</v>
      </c>
      <c r="K174" s="14"/>
      <c r="L174" s="14"/>
      <c r="M174" s="14"/>
      <c r="N174" s="14" t="n">
        <f aca="false">ROUND((G174*I174)-K174-L174-M174,2)</f>
        <v>143.5</v>
      </c>
      <c r="O174" s="14"/>
      <c r="P174" s="14" t="n">
        <f aca="false">ROUND(IF(D174=0,IF((N174-E174-O174)&gt;0,(N174-E174-O174),0),IF((D174+N174-O174)&gt;0,(D174+N174-O174),0)),2)</f>
        <v>4879</v>
      </c>
      <c r="Q174" s="14" t="n">
        <f aca="false">ROUND(IF(E174=0,IF((D174+N174-O174)&lt;0,ABS(D174+N174-O174),0),IF((N174-E174-O174)&lt;0,ABS(N174-E174-O174),0)),2)</f>
        <v>0</v>
      </c>
    </row>
    <row r="175" customFormat="false" ht="15" hidden="false" customHeight="true" outlineLevel="0" collapsed="false">
      <c r="A175" s="12" t="s">
        <v>521</v>
      </c>
      <c r="B175" s="12" t="s">
        <v>522</v>
      </c>
      <c r="C175" s="12" t="s">
        <v>523</v>
      </c>
      <c r="D175" s="14" t="n">
        <f aca="false">травень!P175</f>
        <v>3366.55</v>
      </c>
      <c r="E175" s="14" t="n">
        <f aca="false">травень!Q175</f>
        <v>0</v>
      </c>
      <c r="F175" s="13" t="n">
        <f aca="false">травень!F175</f>
        <v>0</v>
      </c>
      <c r="G175" s="13" t="n">
        <f aca="false">травень!G175</f>
        <v>61.7</v>
      </c>
      <c r="H175" s="13" t="n">
        <f aca="false">травень!H175</f>
        <v>0</v>
      </c>
      <c r="I175" s="13" t="n">
        <f aca="false">травень!I175</f>
        <v>4.1</v>
      </c>
      <c r="J175" s="14" t="n">
        <f aca="false">ROUND(G175*I175,2)</f>
        <v>252.97</v>
      </c>
      <c r="K175" s="14"/>
      <c r="L175" s="14"/>
      <c r="M175" s="14"/>
      <c r="N175" s="14" t="n">
        <f aca="false">ROUND((G175*I175)-K175-L175-M175,2)</f>
        <v>252.97</v>
      </c>
      <c r="O175" s="14"/>
      <c r="P175" s="14" t="n">
        <f aca="false">ROUND(IF(D175=0,IF((N175-E175-O175)&gt;0,(N175-E175-O175),0),IF((D175+N175-O175)&gt;0,(D175+N175-O175),0)),2)</f>
        <v>3619.52</v>
      </c>
      <c r="Q175" s="14" t="n">
        <f aca="false">ROUND(IF(E175=0,IF((D175+N175-O175)&lt;0,ABS(D175+N175-O175),0),IF((N175-E175-O175)&lt;0,ABS(N175-E175-O175),0)),2)</f>
        <v>0</v>
      </c>
    </row>
    <row r="176" customFormat="false" ht="15" hidden="false" customHeight="true" outlineLevel="0" collapsed="false">
      <c r="A176" s="12" t="s">
        <v>524</v>
      </c>
      <c r="B176" s="12" t="s">
        <v>525</v>
      </c>
      <c r="C176" s="12" t="s">
        <v>526</v>
      </c>
      <c r="D176" s="14" t="n">
        <f aca="false">травень!P176</f>
        <v>1613.28</v>
      </c>
      <c r="E176" s="14" t="n">
        <f aca="false">травень!Q176</f>
        <v>0</v>
      </c>
      <c r="F176" s="13" t="n">
        <f aca="false">травень!F176</f>
        <v>0</v>
      </c>
      <c r="G176" s="13" t="n">
        <f aca="false">травень!G176</f>
        <v>65.58</v>
      </c>
      <c r="H176" s="13" t="n">
        <f aca="false">травень!H176</f>
        <v>0</v>
      </c>
      <c r="I176" s="13" t="n">
        <f aca="false">травень!I176</f>
        <v>4.1</v>
      </c>
      <c r="J176" s="14" t="n">
        <f aca="false">ROUND(G176*I176,2)</f>
        <v>268.88</v>
      </c>
      <c r="K176" s="14"/>
      <c r="L176" s="14"/>
      <c r="M176" s="14"/>
      <c r="N176" s="14" t="n">
        <f aca="false">ROUND((G176*I176)-K176-L176-M176,2)</f>
        <v>268.88</v>
      </c>
      <c r="O176" s="14"/>
      <c r="P176" s="14" t="n">
        <f aca="false">ROUND(IF(D176=0,IF((N176-E176-O176)&gt;0,(N176-E176-O176),0),IF((D176+N176-O176)&gt;0,(D176+N176-O176),0)),2)</f>
        <v>1882.16</v>
      </c>
      <c r="Q176" s="14" t="n">
        <f aca="false">ROUND(IF(E176=0,IF((D176+N176-O176)&lt;0,ABS(D176+N176-O176),0),IF((N176-E176-O176)&lt;0,ABS(N176-E176-O176),0)),2)</f>
        <v>0</v>
      </c>
    </row>
    <row r="177" customFormat="false" ht="15" hidden="false" customHeight="true" outlineLevel="0" collapsed="false">
      <c r="A177" s="12" t="s">
        <v>527</v>
      </c>
      <c r="B177" s="12" t="s">
        <v>528</v>
      </c>
      <c r="C177" s="12" t="s">
        <v>529</v>
      </c>
      <c r="D177" s="14" t="n">
        <f aca="false">травень!P177</f>
        <v>1014.75</v>
      </c>
      <c r="E177" s="14" t="n">
        <f aca="false">травень!Q177</f>
        <v>0</v>
      </c>
      <c r="F177" s="13" t="n">
        <f aca="false">травень!F177</f>
        <v>0</v>
      </c>
      <c r="G177" s="13" t="n">
        <f aca="false">травень!G177</f>
        <v>49.5</v>
      </c>
      <c r="H177" s="13" t="n">
        <f aca="false">травень!H177</f>
        <v>0</v>
      </c>
      <c r="I177" s="13" t="n">
        <f aca="false">травень!I177</f>
        <v>4.1</v>
      </c>
      <c r="J177" s="14" t="n">
        <f aca="false">ROUND(G177*I177,2)</f>
        <v>202.95</v>
      </c>
      <c r="K177" s="14"/>
      <c r="L177" s="14"/>
      <c r="M177" s="14"/>
      <c r="N177" s="14" t="n">
        <f aca="false">ROUND((G177*I177)-K177-L177-M177,2)</f>
        <v>202.95</v>
      </c>
      <c r="O177" s="14"/>
      <c r="P177" s="14" t="n">
        <f aca="false">ROUND(IF(D177=0,IF((N177-E177-O177)&gt;0,(N177-E177-O177),0),IF((D177+N177-O177)&gt;0,(D177+N177-O177),0)),2)</f>
        <v>1217.7</v>
      </c>
      <c r="Q177" s="14" t="n">
        <f aca="false">ROUND(IF(E177=0,IF((D177+N177-O177)&lt;0,ABS(D177+N177-O177),0),IF((N177-E177-O177)&lt;0,ABS(N177-E177-O177),0)),2)</f>
        <v>0</v>
      </c>
    </row>
    <row r="178" customFormat="false" ht="15" hidden="false" customHeight="true" outlineLevel="0" collapsed="false">
      <c r="A178" s="12" t="s">
        <v>530</v>
      </c>
      <c r="B178" s="12" t="s">
        <v>531</v>
      </c>
      <c r="C178" s="12" t="s">
        <v>532</v>
      </c>
      <c r="D178" s="14" t="n">
        <f aca="false">травень!P178</f>
        <v>719.55</v>
      </c>
      <c r="E178" s="14" t="n">
        <f aca="false">травень!Q178</f>
        <v>0</v>
      </c>
      <c r="F178" s="13" t="n">
        <f aca="false">травень!F178</f>
        <v>0</v>
      </c>
      <c r="G178" s="13" t="n">
        <f aca="false">травень!G178</f>
        <v>35.1</v>
      </c>
      <c r="H178" s="13" t="n">
        <f aca="false">травень!H178</f>
        <v>0</v>
      </c>
      <c r="I178" s="13" t="n">
        <f aca="false">травень!I178</f>
        <v>4.1</v>
      </c>
      <c r="J178" s="14" t="n">
        <f aca="false">ROUND(G178*I178,2)</f>
        <v>143.91</v>
      </c>
      <c r="K178" s="14"/>
      <c r="L178" s="14"/>
      <c r="M178" s="14"/>
      <c r="N178" s="14" t="n">
        <f aca="false">ROUND((G178*I178)-K178-L178-M178,2)</f>
        <v>143.91</v>
      </c>
      <c r="O178" s="14"/>
      <c r="P178" s="14" t="n">
        <f aca="false">ROUND(IF(D178=0,IF((N178-E178-O178)&gt;0,(N178-E178-O178),0),IF((D178+N178-O178)&gt;0,(D178+N178-O178),0)),2)</f>
        <v>863.46</v>
      </c>
      <c r="Q178" s="14" t="n">
        <f aca="false">ROUND(IF(E178=0,IF((D178+N178-O178)&lt;0,ABS(D178+N178-O178),0),IF((N178-E178-O178)&lt;0,ABS(N178-E178-O178),0)),2)</f>
        <v>0</v>
      </c>
    </row>
    <row r="179" customFormat="false" ht="15" hidden="false" customHeight="true" outlineLevel="0" collapsed="false">
      <c r="A179" s="12" t="s">
        <v>533</v>
      </c>
      <c r="B179" s="12" t="s">
        <v>534</v>
      </c>
      <c r="C179" s="12" t="s">
        <v>535</v>
      </c>
      <c r="D179" s="14" t="n">
        <f aca="false">травень!P179</f>
        <v>1289.65</v>
      </c>
      <c r="E179" s="14" t="n">
        <f aca="false">травень!Q179</f>
        <v>0</v>
      </c>
      <c r="F179" s="13" t="n">
        <f aca="false">травень!F179</f>
        <v>0</v>
      </c>
      <c r="G179" s="13" t="n">
        <f aca="false">травень!G179</f>
        <v>62.91</v>
      </c>
      <c r="H179" s="13" t="n">
        <f aca="false">травень!H179</f>
        <v>0</v>
      </c>
      <c r="I179" s="13" t="n">
        <f aca="false">травень!I179</f>
        <v>4.1</v>
      </c>
      <c r="J179" s="14" t="n">
        <f aca="false">ROUND(G179*I179,2)</f>
        <v>257.93</v>
      </c>
      <c r="K179" s="14"/>
      <c r="L179" s="14"/>
      <c r="M179" s="14"/>
      <c r="N179" s="14" t="n">
        <f aca="false">ROUND((G179*I179)-K179-L179-M179,2)</f>
        <v>257.93</v>
      </c>
      <c r="O179" s="14"/>
      <c r="P179" s="14" t="n">
        <f aca="false">ROUND(IF(D179=0,IF((N179-E179-O179)&gt;0,(N179-E179-O179),0),IF((D179+N179-O179)&gt;0,(D179+N179-O179),0)),2)</f>
        <v>1547.58</v>
      </c>
      <c r="Q179" s="14" t="n">
        <f aca="false">ROUND(IF(E179=0,IF((D179+N179-O179)&lt;0,ABS(D179+N179-O179),0),IF((N179-E179-O179)&lt;0,ABS(N179-E179-O179),0)),2)</f>
        <v>0</v>
      </c>
    </row>
    <row r="180" customFormat="false" ht="15" hidden="false" customHeight="true" outlineLevel="0" collapsed="false">
      <c r="A180" s="12" t="s">
        <v>536</v>
      </c>
      <c r="B180" s="12" t="s">
        <v>537</v>
      </c>
      <c r="C180" s="12" t="s">
        <v>538</v>
      </c>
      <c r="D180" s="14" t="n">
        <f aca="false">травень!P180</f>
        <v>1353.6</v>
      </c>
      <c r="E180" s="14" t="n">
        <f aca="false">травень!Q180</f>
        <v>0</v>
      </c>
      <c r="F180" s="13" t="n">
        <f aca="false">травень!F180</f>
        <v>0</v>
      </c>
      <c r="G180" s="13" t="n">
        <f aca="false">травень!G180</f>
        <v>66.03</v>
      </c>
      <c r="H180" s="13" t="n">
        <f aca="false">травень!H180</f>
        <v>0</v>
      </c>
      <c r="I180" s="13" t="n">
        <f aca="false">травень!I180</f>
        <v>4.1</v>
      </c>
      <c r="J180" s="14" t="n">
        <f aca="false">ROUND(G180*I180,2)</f>
        <v>270.72</v>
      </c>
      <c r="K180" s="14"/>
      <c r="L180" s="14"/>
      <c r="M180" s="14"/>
      <c r="N180" s="14" t="n">
        <f aca="false">ROUND((G180*I180)-K180-L180-M180,2)</f>
        <v>270.72</v>
      </c>
      <c r="O180" s="14"/>
      <c r="P180" s="14" t="n">
        <f aca="false">ROUND(IF(D180=0,IF((N180-E180-O180)&gt;0,(N180-E180-O180),0),IF((D180+N180-O180)&gt;0,(D180+N180-O180),0)),2)</f>
        <v>1624.32</v>
      </c>
      <c r="Q180" s="14" t="n">
        <f aca="false">ROUND(IF(E180=0,IF((D180+N180-O180)&lt;0,ABS(D180+N180-O180),0),IF((N180-E180-O180)&lt;0,ABS(N180-E180-O180),0)),2)</f>
        <v>0</v>
      </c>
    </row>
    <row r="181" customFormat="false" ht="15" hidden="false" customHeight="true" outlineLevel="0" collapsed="false">
      <c r="A181" s="12" t="s">
        <v>539</v>
      </c>
      <c r="B181" s="12" t="s">
        <v>540</v>
      </c>
      <c r="C181" s="12" t="s">
        <v>541</v>
      </c>
      <c r="D181" s="14" t="n">
        <f aca="false">травень!P181</f>
        <v>856.91</v>
      </c>
      <c r="E181" s="14" t="n">
        <f aca="false">травень!Q181</f>
        <v>0</v>
      </c>
      <c r="F181" s="13" t="n">
        <f aca="false">травень!F181</f>
        <v>0</v>
      </c>
      <c r="G181" s="13" t="n">
        <f aca="false">травень!G181</f>
        <v>49.9</v>
      </c>
      <c r="H181" s="13" t="n">
        <f aca="false">травень!H181</f>
        <v>0</v>
      </c>
      <c r="I181" s="13" t="n">
        <f aca="false">травень!I181</f>
        <v>4.1</v>
      </c>
      <c r="J181" s="14" t="n">
        <f aca="false">ROUND(G181*I181,2)</f>
        <v>204.59</v>
      </c>
      <c r="K181" s="14"/>
      <c r="L181" s="14"/>
      <c r="M181" s="14"/>
      <c r="N181" s="14" t="n">
        <f aca="false">ROUND((G181*I181)-K181-L181-M181,2)</f>
        <v>204.59</v>
      </c>
      <c r="O181" s="14"/>
      <c r="P181" s="14" t="n">
        <f aca="false">ROUND(IF(D181=0,IF((N181-E181-O181)&gt;0,(N181-E181-O181),0),IF((D181+N181-O181)&gt;0,(D181+N181-O181),0)),2)</f>
        <v>1061.5</v>
      </c>
      <c r="Q181" s="14" t="n">
        <f aca="false">ROUND(IF(E181=0,IF((D181+N181-O181)&lt;0,ABS(D181+N181-O181),0),IF((N181-E181-O181)&lt;0,ABS(N181-E181-O181),0)),2)</f>
        <v>0</v>
      </c>
    </row>
    <row r="182" customFormat="false" ht="15" hidden="false" customHeight="true" outlineLevel="0" collapsed="false">
      <c r="A182" s="12" t="s">
        <v>542</v>
      </c>
      <c r="B182" s="12" t="s">
        <v>543</v>
      </c>
      <c r="C182" s="12" t="s">
        <v>544</v>
      </c>
      <c r="D182" s="14" t="n">
        <f aca="false">травень!P182</f>
        <v>715.85</v>
      </c>
      <c r="E182" s="14" t="n">
        <f aca="false">травень!Q182</f>
        <v>0</v>
      </c>
      <c r="F182" s="13" t="n">
        <f aca="false">травень!F182</f>
        <v>0</v>
      </c>
      <c r="G182" s="13" t="n">
        <f aca="false">травень!G182</f>
        <v>34.92</v>
      </c>
      <c r="H182" s="13" t="n">
        <f aca="false">травень!H182</f>
        <v>0</v>
      </c>
      <c r="I182" s="13" t="n">
        <f aca="false">травень!I182</f>
        <v>4.1</v>
      </c>
      <c r="J182" s="14" t="n">
        <f aca="false">ROUND(G182*I182,2)</f>
        <v>143.17</v>
      </c>
      <c r="K182" s="14"/>
      <c r="L182" s="14"/>
      <c r="M182" s="14"/>
      <c r="N182" s="14" t="n">
        <f aca="false">ROUND((G182*I182)-K182-L182-M182,2)</f>
        <v>143.17</v>
      </c>
      <c r="O182" s="14"/>
      <c r="P182" s="14" t="n">
        <f aca="false">ROUND(IF(D182=0,IF((N182-E182-O182)&gt;0,(N182-E182-O182),0),IF((D182+N182-O182)&gt;0,(D182+N182-O182),0)),2)</f>
        <v>859.02</v>
      </c>
      <c r="Q182" s="14" t="n">
        <f aca="false">ROUND(IF(E182=0,IF((D182+N182-O182)&lt;0,ABS(D182+N182-O182),0),IF((N182-E182-O182)&lt;0,ABS(N182-E182-O182),0)),2)</f>
        <v>0</v>
      </c>
    </row>
    <row r="183" customFormat="false" ht="15" hidden="false" customHeight="true" outlineLevel="0" collapsed="false">
      <c r="A183" s="12" t="s">
        <v>545</v>
      </c>
      <c r="B183" s="12" t="s">
        <v>546</v>
      </c>
      <c r="C183" s="12" t="s">
        <v>547</v>
      </c>
      <c r="D183" s="14" t="n">
        <f aca="false">травень!P183</f>
        <v>1269.15</v>
      </c>
      <c r="E183" s="14" t="n">
        <f aca="false">травень!Q183</f>
        <v>0</v>
      </c>
      <c r="F183" s="13" t="n">
        <f aca="false">травень!F183</f>
        <v>0</v>
      </c>
      <c r="G183" s="13" t="n">
        <f aca="false">травень!G183</f>
        <v>61.91</v>
      </c>
      <c r="H183" s="13" t="n">
        <f aca="false">травень!H183</f>
        <v>0</v>
      </c>
      <c r="I183" s="13" t="n">
        <f aca="false">травень!I183</f>
        <v>4.1</v>
      </c>
      <c r="J183" s="14" t="n">
        <f aca="false">ROUND(G183*I183,2)</f>
        <v>253.83</v>
      </c>
      <c r="K183" s="14"/>
      <c r="L183" s="14"/>
      <c r="M183" s="14"/>
      <c r="N183" s="14" t="n">
        <f aca="false">ROUND((G183*I183)-K183-L183-M183,2)</f>
        <v>253.83</v>
      </c>
      <c r="O183" s="14"/>
      <c r="P183" s="14" t="n">
        <f aca="false">ROUND(IF(D183=0,IF((N183-E183-O183)&gt;0,(N183-E183-O183),0),IF((D183+N183-O183)&gt;0,(D183+N183-O183),0)),2)</f>
        <v>1522.98</v>
      </c>
      <c r="Q183" s="14" t="n">
        <f aca="false">ROUND(IF(E183=0,IF((D183+N183-O183)&lt;0,ABS(D183+N183-O183),0),IF((N183-E183-O183)&lt;0,ABS(N183-E183-O183),0)),2)</f>
        <v>0</v>
      </c>
    </row>
    <row r="184" customFormat="false" ht="15" hidden="false" customHeight="true" outlineLevel="0" collapsed="false">
      <c r="A184" s="12" t="s">
        <v>548</v>
      </c>
      <c r="B184" s="12" t="s">
        <v>549</v>
      </c>
      <c r="C184" s="12" t="s">
        <v>550</v>
      </c>
      <c r="D184" s="14" t="n">
        <f aca="false">травень!P184</f>
        <v>13409.71</v>
      </c>
      <c r="E184" s="14" t="n">
        <f aca="false">травень!Q184</f>
        <v>0</v>
      </c>
      <c r="F184" s="13" t="n">
        <f aca="false">травень!F184</f>
        <v>0</v>
      </c>
      <c r="G184" s="13" t="n">
        <f aca="false">травень!G184</f>
        <v>65.15</v>
      </c>
      <c r="H184" s="13" t="n">
        <f aca="false">травень!H184</f>
        <v>0</v>
      </c>
      <c r="I184" s="13" t="n">
        <f aca="false">травень!I184</f>
        <v>4.1</v>
      </c>
      <c r="J184" s="14" t="n">
        <f aca="false">ROUND(G184*I184,2)</f>
        <v>267.12</v>
      </c>
      <c r="K184" s="14"/>
      <c r="L184" s="14"/>
      <c r="M184" s="14"/>
      <c r="N184" s="14" t="n">
        <f aca="false">ROUND((G184*I184)-K184-L184-M184,2)</f>
        <v>267.12</v>
      </c>
      <c r="O184" s="14"/>
      <c r="P184" s="14" t="n">
        <f aca="false">ROUND(IF(D184=0,IF((N184-E184-O184)&gt;0,(N184-E184-O184),0),IF((D184+N184-O184)&gt;0,(D184+N184-O184),0)),2)</f>
        <v>13676.83</v>
      </c>
      <c r="Q184" s="14" t="n">
        <f aca="false">ROUND(IF(E184=0,IF((D184+N184-O184)&lt;0,ABS(D184+N184-O184),0),IF((N184-E184-O184)&lt;0,ABS(N184-E184-O184),0)),2)</f>
        <v>0</v>
      </c>
    </row>
    <row r="185" customFormat="false" ht="15" hidden="false" customHeight="true" outlineLevel="0" collapsed="false">
      <c r="A185" s="12" t="s">
        <v>551</v>
      </c>
      <c r="B185" s="12" t="s">
        <v>552</v>
      </c>
      <c r="C185" s="12" t="s">
        <v>553</v>
      </c>
      <c r="D185" s="14" t="n">
        <f aca="false">травень!P185</f>
        <v>1025</v>
      </c>
      <c r="E185" s="14" t="n">
        <f aca="false">травень!Q185</f>
        <v>0</v>
      </c>
      <c r="F185" s="13" t="n">
        <f aca="false">травень!F185</f>
        <v>0</v>
      </c>
      <c r="G185" s="13" t="n">
        <f aca="false">травень!G185</f>
        <v>50</v>
      </c>
      <c r="H185" s="13" t="n">
        <f aca="false">травень!H185</f>
        <v>0</v>
      </c>
      <c r="I185" s="13" t="n">
        <f aca="false">травень!I185</f>
        <v>4.1</v>
      </c>
      <c r="J185" s="14" t="n">
        <f aca="false">ROUND(G185*I185,2)</f>
        <v>205</v>
      </c>
      <c r="K185" s="14"/>
      <c r="L185" s="14"/>
      <c r="M185" s="14"/>
      <c r="N185" s="14" t="n">
        <f aca="false">ROUND((G185*I185)-K185-L185-M185,2)</f>
        <v>205</v>
      </c>
      <c r="O185" s="14"/>
      <c r="P185" s="14" t="n">
        <f aca="false">ROUND(IF(D185=0,IF((N185-E185-O185)&gt;0,(N185-E185-O185),0),IF((D185+N185-O185)&gt;0,(D185+N185-O185),0)),2)</f>
        <v>1230</v>
      </c>
      <c r="Q185" s="14" t="n">
        <f aca="false">ROUND(IF(E185=0,IF((D185+N185-O185)&lt;0,ABS(D185+N185-O185),0),IF((N185-E185-O185)&lt;0,ABS(N185-E185-O185),0)),2)</f>
        <v>0</v>
      </c>
    </row>
    <row r="186" customFormat="false" ht="15" hidden="false" customHeight="true" outlineLevel="0" collapsed="false">
      <c r="A186" s="12" t="s">
        <v>554</v>
      </c>
      <c r="B186" s="12" t="s">
        <v>555</v>
      </c>
      <c r="C186" s="12" t="s">
        <v>556</v>
      </c>
      <c r="D186" s="14" t="n">
        <f aca="false">травень!P186</f>
        <v>6906.96</v>
      </c>
      <c r="E186" s="14" t="n">
        <f aca="false">травень!Q186</f>
        <v>0</v>
      </c>
      <c r="F186" s="13" t="n">
        <f aca="false">травень!F186</f>
        <v>0</v>
      </c>
      <c r="G186" s="13" t="n">
        <f aca="false">травень!G186</f>
        <v>35.1</v>
      </c>
      <c r="H186" s="13" t="n">
        <f aca="false">травень!H186</f>
        <v>0</v>
      </c>
      <c r="I186" s="13" t="n">
        <f aca="false">травень!I186</f>
        <v>4.1</v>
      </c>
      <c r="J186" s="14" t="n">
        <f aca="false">ROUND(G186*I186,2)</f>
        <v>143.91</v>
      </c>
      <c r="K186" s="14"/>
      <c r="L186" s="14"/>
      <c r="M186" s="14"/>
      <c r="N186" s="14" t="n">
        <f aca="false">ROUND((G186*I186)-K186-L186-M186,2)</f>
        <v>143.91</v>
      </c>
      <c r="O186" s="14"/>
      <c r="P186" s="14" t="n">
        <f aca="false">ROUND(IF(D186=0,IF((N186-E186-O186)&gt;0,(N186-E186-O186),0),IF((D186+N186-O186)&gt;0,(D186+N186-O186),0)),2)</f>
        <v>7050.87</v>
      </c>
      <c r="Q186" s="14" t="n">
        <f aca="false">ROUND(IF(E186=0,IF((D186+N186-O186)&lt;0,ABS(D186+N186-O186),0),IF((N186-E186-O186)&lt;0,ABS(N186-E186-O186),0)),2)</f>
        <v>0</v>
      </c>
    </row>
    <row r="187" customFormat="false" ht="15" hidden="false" customHeight="true" outlineLevel="0" collapsed="false">
      <c r="A187" s="12" t="s">
        <v>557</v>
      </c>
      <c r="B187" s="12" t="s">
        <v>558</v>
      </c>
      <c r="C187" s="12" t="s">
        <v>559</v>
      </c>
      <c r="D187" s="14" t="n">
        <f aca="false">травень!P187</f>
        <v>2766.12</v>
      </c>
      <c r="E187" s="14" t="n">
        <f aca="false">травень!Q187</f>
        <v>0</v>
      </c>
      <c r="F187" s="13" t="n">
        <f aca="false">травень!F187</f>
        <v>0</v>
      </c>
      <c r="G187" s="13" t="n">
        <f aca="false">травень!G187</f>
        <v>61.8</v>
      </c>
      <c r="H187" s="13" t="n">
        <f aca="false">травень!H187</f>
        <v>0</v>
      </c>
      <c r="I187" s="13" t="n">
        <f aca="false">травень!I187</f>
        <v>4.1</v>
      </c>
      <c r="J187" s="14" t="n">
        <f aca="false">ROUND(G187*I187,2)</f>
        <v>253.38</v>
      </c>
      <c r="K187" s="14"/>
      <c r="L187" s="14"/>
      <c r="M187" s="14"/>
      <c r="N187" s="14" t="n">
        <f aca="false">ROUND((G187*I187)-K187-L187-M187,2)</f>
        <v>253.38</v>
      </c>
      <c r="O187" s="14"/>
      <c r="P187" s="14" t="n">
        <f aca="false">ROUND(IF(D187=0,IF((N187-E187-O187)&gt;0,(N187-E187-O187),0),IF((D187+N187-O187)&gt;0,(D187+N187-O187),0)),2)</f>
        <v>3019.5</v>
      </c>
      <c r="Q187" s="14" t="n">
        <f aca="false">ROUND(IF(E187=0,IF((D187+N187-O187)&lt;0,ABS(D187+N187-O187),0),IF((N187-E187-O187)&lt;0,ABS(N187-E187-O187),0)),2)</f>
        <v>0</v>
      </c>
    </row>
    <row r="188" customFormat="false" ht="15" hidden="false" customHeight="true" outlineLevel="0" collapsed="false">
      <c r="A188" s="12" t="s">
        <v>560</v>
      </c>
      <c r="B188" s="12" t="s">
        <v>561</v>
      </c>
      <c r="C188" s="12" t="s">
        <v>562</v>
      </c>
      <c r="D188" s="14" t="n">
        <f aca="false">травень!P188</f>
        <v>1456.75</v>
      </c>
      <c r="E188" s="14" t="n">
        <f aca="false">травень!Q188</f>
        <v>0</v>
      </c>
      <c r="F188" s="13" t="n">
        <f aca="false">травень!F188</f>
        <v>0</v>
      </c>
      <c r="G188" s="13" t="n">
        <f aca="false">травень!G188</f>
        <v>71.06</v>
      </c>
      <c r="H188" s="13" t="n">
        <f aca="false">травень!H188</f>
        <v>0</v>
      </c>
      <c r="I188" s="13" t="n">
        <f aca="false">травень!I188</f>
        <v>4.1</v>
      </c>
      <c r="J188" s="14" t="n">
        <f aca="false">ROUND(G188*I188,2)</f>
        <v>291.35</v>
      </c>
      <c r="K188" s="14"/>
      <c r="L188" s="14"/>
      <c r="M188" s="14"/>
      <c r="N188" s="14" t="n">
        <f aca="false">ROUND((G188*I188)-K188-L188-M188,2)</f>
        <v>291.35</v>
      </c>
      <c r="O188" s="14"/>
      <c r="P188" s="14" t="n">
        <f aca="false">ROUND(IF(D188=0,IF((N188-E188-O188)&gt;0,(N188-E188-O188),0),IF((D188+N188-O188)&gt;0,(D188+N188-O188),0)),2)</f>
        <v>1748.1</v>
      </c>
      <c r="Q188" s="14" t="n">
        <f aca="false">ROUND(IF(E188=0,IF((D188+N188-O188)&lt;0,ABS(D188+N188-O188),0),IF((N188-E188-O188)&lt;0,ABS(N188-E188-O188),0)),2)</f>
        <v>0</v>
      </c>
    </row>
    <row r="189" customFormat="false" ht="15" hidden="false" customHeight="true" outlineLevel="0" collapsed="false">
      <c r="A189" s="12" t="s">
        <v>563</v>
      </c>
      <c r="B189" s="12" t="s">
        <v>564</v>
      </c>
      <c r="C189" s="12" t="s">
        <v>565</v>
      </c>
      <c r="D189" s="14" t="n">
        <f aca="false">травень!P189</f>
        <v>5762.32</v>
      </c>
      <c r="E189" s="14" t="n">
        <f aca="false">травень!Q189</f>
        <v>0</v>
      </c>
      <c r="F189" s="13" t="n">
        <f aca="false">травень!F189</f>
        <v>0</v>
      </c>
      <c r="G189" s="13" t="n">
        <f aca="false">травень!G189</f>
        <v>49.15</v>
      </c>
      <c r="H189" s="13" t="n">
        <f aca="false">травень!H189</f>
        <v>0</v>
      </c>
      <c r="I189" s="13" t="n">
        <f aca="false">травень!I189</f>
        <v>4.1</v>
      </c>
      <c r="J189" s="14" t="n">
        <f aca="false">ROUND(G189*I189,2)</f>
        <v>201.52</v>
      </c>
      <c r="K189" s="14"/>
      <c r="L189" s="14"/>
      <c r="M189" s="14"/>
      <c r="N189" s="14" t="n">
        <f aca="false">ROUND((G189*I189)-K189-L189-M189,2)</f>
        <v>201.52</v>
      </c>
      <c r="O189" s="14"/>
      <c r="P189" s="14" t="n">
        <f aca="false">ROUND(IF(D189=0,IF((N189-E189-O189)&gt;0,(N189-E189-O189),0),IF((D189+N189-O189)&gt;0,(D189+N189-O189),0)),2)</f>
        <v>5963.84</v>
      </c>
      <c r="Q189" s="14" t="n">
        <f aca="false">ROUND(IF(E189=0,IF((D189+N189-O189)&lt;0,ABS(D189+N189-O189),0),IF((N189-E189-O189)&lt;0,ABS(N189-E189-O189),0)),2)</f>
        <v>0</v>
      </c>
    </row>
    <row r="190" customFormat="false" ht="15" hidden="false" customHeight="true" outlineLevel="0" collapsed="false">
      <c r="A190" s="12" t="s">
        <v>566</v>
      </c>
      <c r="B190" s="12" t="s">
        <v>567</v>
      </c>
      <c r="C190" s="12" t="s">
        <v>568</v>
      </c>
      <c r="D190" s="14" t="n">
        <f aca="false">травень!P190</f>
        <v>7272.53</v>
      </c>
      <c r="E190" s="14" t="n">
        <f aca="false">травень!Q190</f>
        <v>0</v>
      </c>
      <c r="F190" s="13" t="n">
        <f aca="false">травень!F190</f>
        <v>0</v>
      </c>
      <c r="G190" s="13" t="n">
        <f aca="false">травень!G190</f>
        <v>53.72</v>
      </c>
      <c r="H190" s="13" t="n">
        <f aca="false">травень!H190</f>
        <v>0</v>
      </c>
      <c r="I190" s="13" t="n">
        <f aca="false">травень!I190</f>
        <v>4.1</v>
      </c>
      <c r="J190" s="14" t="n">
        <f aca="false">ROUND(G190*I190,2)</f>
        <v>220.25</v>
      </c>
      <c r="K190" s="14"/>
      <c r="L190" s="14"/>
      <c r="M190" s="14"/>
      <c r="N190" s="14" t="n">
        <f aca="false">ROUND((G190*I190)-K190-L190-M190,2)</f>
        <v>220.25</v>
      </c>
      <c r="O190" s="14"/>
      <c r="P190" s="14" t="n">
        <f aca="false">ROUND(IF(D190=0,IF((N190-E190-O190)&gt;0,(N190-E190-O190),0),IF((D190+N190-O190)&gt;0,(D190+N190-O190),0)),2)</f>
        <v>7492.78</v>
      </c>
      <c r="Q190" s="14" t="n">
        <f aca="false">ROUND(IF(E190=0,IF((D190+N190-O190)&lt;0,ABS(D190+N190-O190),0),IF((N190-E190-O190)&lt;0,ABS(N190-E190-O190),0)),2)</f>
        <v>0</v>
      </c>
    </row>
    <row r="191" customFormat="false" ht="15" hidden="false" customHeight="true" outlineLevel="0" collapsed="false">
      <c r="A191" s="12" t="s">
        <v>569</v>
      </c>
      <c r="B191" s="12" t="s">
        <v>570</v>
      </c>
      <c r="C191" s="12" t="s">
        <v>571</v>
      </c>
      <c r="D191" s="14" t="n">
        <f aca="false">травень!P191</f>
        <v>1696.68</v>
      </c>
      <c r="E191" s="14" t="n">
        <f aca="false">травень!Q191</f>
        <v>0</v>
      </c>
      <c r="F191" s="13" t="n">
        <f aca="false">травень!F191</f>
        <v>0</v>
      </c>
      <c r="G191" s="13" t="n">
        <f aca="false">травень!G191</f>
        <v>68.97</v>
      </c>
      <c r="H191" s="13" t="n">
        <f aca="false">травень!H191</f>
        <v>0</v>
      </c>
      <c r="I191" s="13" t="n">
        <f aca="false">травень!I191</f>
        <v>4.1</v>
      </c>
      <c r="J191" s="14" t="n">
        <f aca="false">ROUND(G191*I191,2)</f>
        <v>282.78</v>
      </c>
      <c r="K191" s="14"/>
      <c r="L191" s="14"/>
      <c r="M191" s="14"/>
      <c r="N191" s="14" t="n">
        <f aca="false">ROUND((G191*I191)-K191-L191-M191,2)</f>
        <v>282.78</v>
      </c>
      <c r="O191" s="14"/>
      <c r="P191" s="14" t="n">
        <f aca="false">ROUND(IF(D191=0,IF((N191-E191-O191)&gt;0,(N191-E191-O191),0),IF((D191+N191-O191)&gt;0,(D191+N191-O191),0)),2)</f>
        <v>1979.46</v>
      </c>
      <c r="Q191" s="14" t="n">
        <f aca="false">ROUND(IF(E191=0,IF((D191+N191-O191)&lt;0,ABS(D191+N191-O191),0),IF((N191-E191-O191)&lt;0,ABS(N191-E191-O191),0)),2)</f>
        <v>0</v>
      </c>
    </row>
    <row r="192" customFormat="false" ht="15" hidden="false" customHeight="true" outlineLevel="0" collapsed="false">
      <c r="A192" s="12" t="s">
        <v>572</v>
      </c>
      <c r="B192" s="12" t="s">
        <v>573</v>
      </c>
      <c r="C192" s="12" t="s">
        <v>574</v>
      </c>
      <c r="D192" s="14" t="n">
        <f aca="false">травень!P192</f>
        <v>9044.3</v>
      </c>
      <c r="E192" s="14" t="n">
        <f aca="false">травень!Q192</f>
        <v>0</v>
      </c>
      <c r="F192" s="13" t="n">
        <f aca="false">травень!F192</f>
        <v>0</v>
      </c>
      <c r="G192" s="13" t="n">
        <f aca="false">травень!G192</f>
        <v>49.86</v>
      </c>
      <c r="H192" s="13" t="n">
        <f aca="false">травень!H192</f>
        <v>0</v>
      </c>
      <c r="I192" s="13" t="n">
        <f aca="false">травень!I192</f>
        <v>4.1</v>
      </c>
      <c r="J192" s="14" t="n">
        <f aca="false">ROUND(G192*I192,2)</f>
        <v>204.43</v>
      </c>
      <c r="K192" s="14"/>
      <c r="L192" s="14"/>
      <c r="M192" s="14"/>
      <c r="N192" s="14" t="n">
        <f aca="false">ROUND((G192*I192)-K192-L192-M192,2)</f>
        <v>204.43</v>
      </c>
      <c r="O192" s="14"/>
      <c r="P192" s="14" t="n">
        <f aca="false">ROUND(IF(D192=0,IF((N192-E192-O192)&gt;0,(N192-E192-O192),0),IF((D192+N192-O192)&gt;0,(D192+N192-O192),0)),2)</f>
        <v>9248.73</v>
      </c>
      <c r="Q192" s="14" t="n">
        <f aca="false">ROUND(IF(E192=0,IF((D192+N192-O192)&lt;0,ABS(D192+N192-O192),0),IF((N192-E192-O192)&lt;0,ABS(N192-E192-O192),0)),2)</f>
        <v>0</v>
      </c>
    </row>
    <row r="193" customFormat="false" ht="15" hidden="false" customHeight="true" outlineLevel="0" collapsed="false">
      <c r="A193" s="12" t="s">
        <v>575</v>
      </c>
      <c r="B193" s="12" t="s">
        <v>576</v>
      </c>
      <c r="C193" s="12" t="s">
        <v>577</v>
      </c>
      <c r="D193" s="14" t="n">
        <f aca="false">травень!P193</f>
        <v>13134.1</v>
      </c>
      <c r="E193" s="14" t="n">
        <f aca="false">травень!Q193</f>
        <v>0</v>
      </c>
      <c r="F193" s="13" t="n">
        <f aca="false">травень!F193</f>
        <v>0</v>
      </c>
      <c r="G193" s="13" t="n">
        <f aca="false">травень!G193</f>
        <v>60.86</v>
      </c>
      <c r="H193" s="13" t="n">
        <f aca="false">травень!H193</f>
        <v>0</v>
      </c>
      <c r="I193" s="13" t="n">
        <f aca="false">травень!I193</f>
        <v>4.1</v>
      </c>
      <c r="J193" s="14" t="n">
        <f aca="false">ROUND(G193*I193,2)</f>
        <v>249.53</v>
      </c>
      <c r="K193" s="14"/>
      <c r="L193" s="14"/>
      <c r="M193" s="14"/>
      <c r="N193" s="14" t="n">
        <f aca="false">ROUND((G193*I193)-K193-L193-M193,2)</f>
        <v>249.53</v>
      </c>
      <c r="O193" s="14"/>
      <c r="P193" s="14" t="n">
        <f aca="false">ROUND(IF(D193=0,IF((N193-E193-O193)&gt;0,(N193-E193-O193),0),IF((D193+N193-O193)&gt;0,(D193+N193-O193),0)),2)</f>
        <v>13383.63</v>
      </c>
      <c r="Q193" s="14" t="n">
        <f aca="false">ROUND(IF(E193=0,IF((D193+N193-O193)&lt;0,ABS(D193+N193-O193),0),IF((N193-E193-O193)&lt;0,ABS(N193-E193-O193),0)),2)</f>
        <v>0</v>
      </c>
    </row>
    <row r="194" customFormat="false" ht="15" hidden="false" customHeight="true" outlineLevel="0" collapsed="false">
      <c r="A194" s="12" t="s">
        <v>578</v>
      </c>
      <c r="B194" s="12" t="s">
        <v>579</v>
      </c>
      <c r="C194" s="12" t="s">
        <v>580</v>
      </c>
      <c r="D194" s="14" t="n">
        <f aca="false">травень!P194</f>
        <v>9740.51</v>
      </c>
      <c r="E194" s="14" t="n">
        <f aca="false">травень!Q194</f>
        <v>0</v>
      </c>
      <c r="F194" s="13" t="n">
        <f aca="false">травень!F194</f>
        <v>0</v>
      </c>
      <c r="G194" s="13" t="n">
        <f aca="false">травень!G194</f>
        <v>66.75</v>
      </c>
      <c r="H194" s="13" t="n">
        <f aca="false">травень!H194</f>
        <v>0</v>
      </c>
      <c r="I194" s="13" t="n">
        <f aca="false">травень!I194</f>
        <v>4.1</v>
      </c>
      <c r="J194" s="14" t="n">
        <f aca="false">ROUND(G194*I194,2)</f>
        <v>273.68</v>
      </c>
      <c r="K194" s="14"/>
      <c r="L194" s="14"/>
      <c r="M194" s="14"/>
      <c r="N194" s="14" t="n">
        <f aca="false">ROUND((G194*I194)-K194-L194-M194,2)</f>
        <v>273.68</v>
      </c>
      <c r="O194" s="14"/>
      <c r="P194" s="14" t="n">
        <f aca="false">ROUND(IF(D194=0,IF((N194-E194-O194)&gt;0,(N194-E194-O194),0),IF((D194+N194-O194)&gt;0,(D194+N194-O194),0)),2)</f>
        <v>10014.19</v>
      </c>
      <c r="Q194" s="14" t="n">
        <f aca="false">ROUND(IF(E194=0,IF((D194+N194-O194)&lt;0,ABS(D194+N194-O194),0),IF((N194-E194-O194)&lt;0,ABS(N194-E194-O194),0)),2)</f>
        <v>0</v>
      </c>
    </row>
    <row r="195" customFormat="false" ht="15" hidden="false" customHeight="true" outlineLevel="0" collapsed="false">
      <c r="A195" s="12" t="s">
        <v>581</v>
      </c>
      <c r="B195" s="12" t="s">
        <v>582</v>
      </c>
      <c r="C195" s="12" t="s">
        <v>583</v>
      </c>
      <c r="D195" s="14" t="n">
        <f aca="false">травень!P195</f>
        <v>14563.19</v>
      </c>
      <c r="E195" s="14" t="n">
        <f aca="false">травень!Q195</f>
        <v>0</v>
      </c>
      <c r="F195" s="13" t="n">
        <f aca="false">травень!F195</f>
        <v>0</v>
      </c>
      <c r="G195" s="13" t="n">
        <f aca="false">травень!G195</f>
        <v>72.49</v>
      </c>
      <c r="H195" s="13" t="n">
        <f aca="false">травень!H195</f>
        <v>0</v>
      </c>
      <c r="I195" s="13" t="n">
        <f aca="false">травень!I195</f>
        <v>4.1</v>
      </c>
      <c r="J195" s="14" t="n">
        <f aca="false">ROUND(G195*I195,2)</f>
        <v>297.21</v>
      </c>
      <c r="K195" s="14"/>
      <c r="L195" s="14"/>
      <c r="M195" s="14"/>
      <c r="N195" s="14" t="n">
        <f aca="false">ROUND((G195*I195)-K195-L195-M195,2)</f>
        <v>297.21</v>
      </c>
      <c r="O195" s="14"/>
      <c r="P195" s="14" t="n">
        <f aca="false">ROUND(IF(D195=0,IF((N195-E195-O195)&gt;0,(N195-E195-O195),0),IF((D195+N195-O195)&gt;0,(D195+N195-O195),0)),2)</f>
        <v>14860.4</v>
      </c>
      <c r="Q195" s="14" t="n">
        <f aca="false">ROUND(IF(E195=0,IF((D195+N195-O195)&lt;0,ABS(D195+N195-O195),0),IF((N195-E195-O195)&lt;0,ABS(N195-E195-O195),0)),2)</f>
        <v>0</v>
      </c>
    </row>
    <row r="196" customFormat="false" ht="15" hidden="false" customHeight="true" outlineLevel="0" collapsed="false">
      <c r="A196" s="12" t="s">
        <v>584</v>
      </c>
      <c r="B196" s="12" t="s">
        <v>585</v>
      </c>
      <c r="C196" s="12" t="s">
        <v>586</v>
      </c>
      <c r="D196" s="14" t="n">
        <f aca="false">травень!P196</f>
        <v>963.08</v>
      </c>
      <c r="E196" s="14" t="n">
        <f aca="false">травень!Q196</f>
        <v>0</v>
      </c>
      <c r="F196" s="13" t="n">
        <f aca="false">травень!F196</f>
        <v>0</v>
      </c>
      <c r="G196" s="13" t="n">
        <f aca="false">травень!G196</f>
        <v>49.8</v>
      </c>
      <c r="H196" s="13" t="n">
        <f aca="false">травень!H196</f>
        <v>0</v>
      </c>
      <c r="I196" s="13" t="n">
        <f aca="false">травень!I196</f>
        <v>4.1</v>
      </c>
      <c r="J196" s="14" t="n">
        <f aca="false">ROUND(G196*I196,2)</f>
        <v>204.18</v>
      </c>
      <c r="K196" s="14"/>
      <c r="L196" s="14"/>
      <c r="M196" s="14"/>
      <c r="N196" s="14" t="n">
        <f aca="false">ROUND((G196*I196)-K196-L196-M196,2)</f>
        <v>204.18</v>
      </c>
      <c r="O196" s="14"/>
      <c r="P196" s="14" t="n">
        <f aca="false">ROUND(IF(D196=0,IF((N196-E196-O196)&gt;0,(N196-E196-O196),0),IF((D196+N196-O196)&gt;0,(D196+N196-O196),0)),2)</f>
        <v>1167.26</v>
      </c>
      <c r="Q196" s="14" t="n">
        <f aca="false">ROUND(IF(E196=0,IF((D196+N196-O196)&lt;0,ABS(D196+N196-O196),0),IF((N196-E196-O196)&lt;0,ABS(N196-E196-O196),0)),2)</f>
        <v>0</v>
      </c>
    </row>
    <row r="197" customFormat="false" ht="15" hidden="false" customHeight="true" outlineLevel="0" collapsed="false">
      <c r="A197" s="12" t="s">
        <v>587</v>
      </c>
      <c r="B197" s="12" t="s">
        <v>588</v>
      </c>
      <c r="C197" s="12" t="s">
        <v>589</v>
      </c>
      <c r="D197" s="14" t="n">
        <f aca="false">травень!P197</f>
        <v>8517.67</v>
      </c>
      <c r="E197" s="14" t="n">
        <f aca="false">травень!Q197</f>
        <v>0</v>
      </c>
      <c r="F197" s="13" t="n">
        <f aca="false">травень!F197</f>
        <v>0</v>
      </c>
      <c r="G197" s="13" t="n">
        <f aca="false">травень!G197</f>
        <v>62.36</v>
      </c>
      <c r="H197" s="13" t="n">
        <f aca="false">травень!H197</f>
        <v>0</v>
      </c>
      <c r="I197" s="13" t="n">
        <f aca="false">травень!I197</f>
        <v>4.1</v>
      </c>
      <c r="J197" s="14" t="n">
        <f aca="false">ROUND(G197*I197,2)</f>
        <v>255.68</v>
      </c>
      <c r="K197" s="14"/>
      <c r="L197" s="14"/>
      <c r="M197" s="14"/>
      <c r="N197" s="14" t="n">
        <f aca="false">ROUND((G197*I197)-K197-L197-M197,2)</f>
        <v>255.68</v>
      </c>
      <c r="O197" s="14"/>
      <c r="P197" s="14" t="n">
        <f aca="false">ROUND(IF(D197=0,IF((N197-E197-O197)&gt;0,(N197-E197-O197),0),IF((D197+N197-O197)&gt;0,(D197+N197-O197),0)),2)</f>
        <v>8773.35</v>
      </c>
      <c r="Q197" s="14" t="n">
        <f aca="false">ROUND(IF(E197=0,IF((D197+N197-O197)&lt;0,ABS(D197+N197-O197),0),IF((N197-E197-O197)&lt;0,ABS(N197-E197-O197),0)),2)</f>
        <v>0</v>
      </c>
    </row>
    <row r="198" customFormat="false" ht="15" hidden="false" customHeight="true" outlineLevel="0" collapsed="false">
      <c r="A198" s="12" t="s">
        <v>590</v>
      </c>
      <c r="B198" s="12" t="s">
        <v>591</v>
      </c>
      <c r="C198" s="12" t="s">
        <v>592</v>
      </c>
      <c r="D198" s="14" t="n">
        <f aca="false">травень!P198</f>
        <v>1404.25</v>
      </c>
      <c r="E198" s="14" t="n">
        <f aca="false">травень!Q198</f>
        <v>0</v>
      </c>
      <c r="F198" s="13" t="n">
        <f aca="false">травень!F198</f>
        <v>0</v>
      </c>
      <c r="G198" s="13" t="n">
        <f aca="false">травень!G198</f>
        <v>68.5</v>
      </c>
      <c r="H198" s="13" t="n">
        <f aca="false">травень!H198</f>
        <v>0</v>
      </c>
      <c r="I198" s="13" t="n">
        <f aca="false">травень!I198</f>
        <v>4.1</v>
      </c>
      <c r="J198" s="14" t="n">
        <f aca="false">ROUND(G198*I198,2)</f>
        <v>280.85</v>
      </c>
      <c r="K198" s="14"/>
      <c r="L198" s="14"/>
      <c r="M198" s="14"/>
      <c r="N198" s="14" t="n">
        <f aca="false">ROUND((G198*I198)-K198-L198-M198,2)</f>
        <v>280.85</v>
      </c>
      <c r="O198" s="14"/>
      <c r="P198" s="14" t="n">
        <f aca="false">ROUND(IF(D198=0,IF((N198-E198-O198)&gt;0,(N198-E198-O198),0),IF((D198+N198-O198)&gt;0,(D198+N198-O198),0)),2)</f>
        <v>1685.1</v>
      </c>
      <c r="Q198" s="14" t="n">
        <f aca="false">ROUND(IF(E198=0,IF((D198+N198-O198)&lt;0,ABS(D198+N198-O198),0),IF((N198-E198-O198)&lt;0,ABS(N198-E198-O198),0)),2)</f>
        <v>0</v>
      </c>
    </row>
    <row r="199" customFormat="false" ht="15" hidden="false" customHeight="true" outlineLevel="0" collapsed="false">
      <c r="A199" s="12" t="s">
        <v>593</v>
      </c>
      <c r="B199" s="12" t="s">
        <v>594</v>
      </c>
      <c r="C199" s="12" t="s">
        <v>595</v>
      </c>
      <c r="D199" s="14" t="n">
        <f aca="false">травень!P199</f>
        <v>12455.92</v>
      </c>
      <c r="E199" s="14" t="n">
        <f aca="false">травень!Q199</f>
        <v>0</v>
      </c>
      <c r="F199" s="13" t="n">
        <f aca="false">травень!F199</f>
        <v>0</v>
      </c>
      <c r="G199" s="13" t="n">
        <f aca="false">травень!G199</f>
        <v>70.42</v>
      </c>
      <c r="H199" s="13" t="n">
        <f aca="false">травень!H199</f>
        <v>0</v>
      </c>
      <c r="I199" s="13" t="n">
        <f aca="false">травень!I199</f>
        <v>4.1</v>
      </c>
      <c r="J199" s="14" t="n">
        <f aca="false">ROUND(G199*I199,2)</f>
        <v>288.72</v>
      </c>
      <c r="K199" s="14"/>
      <c r="L199" s="14"/>
      <c r="M199" s="14"/>
      <c r="N199" s="14" t="n">
        <f aca="false">ROUND((G199*I199)-K199-L199-M199,2)</f>
        <v>288.72</v>
      </c>
      <c r="O199" s="14"/>
      <c r="P199" s="14" t="n">
        <f aca="false">ROUND(IF(D199=0,IF((N199-E199-O199)&gt;0,(N199-E199-O199),0),IF((D199+N199-O199)&gt;0,(D199+N199-O199),0)),2)</f>
        <v>12744.64</v>
      </c>
      <c r="Q199" s="14" t="n">
        <f aca="false">ROUND(IF(E199=0,IF((D199+N199-O199)&lt;0,ABS(D199+N199-O199),0),IF((N199-E199-O199)&lt;0,ABS(N199-E199-O199),0)),2)</f>
        <v>0</v>
      </c>
    </row>
    <row r="200" customFormat="false" ht="15" hidden="false" customHeight="true" outlineLevel="0" collapsed="false">
      <c r="A200" s="12" t="s">
        <v>596</v>
      </c>
      <c r="B200" s="12" t="s">
        <v>597</v>
      </c>
      <c r="C200" s="12" t="s">
        <v>598</v>
      </c>
      <c r="D200" s="14" t="n">
        <f aca="false">травень!P200</f>
        <v>11097.59</v>
      </c>
      <c r="E200" s="14" t="n">
        <f aca="false">травень!Q200</f>
        <v>0</v>
      </c>
      <c r="F200" s="13" t="n">
        <f aca="false">травень!F200</f>
        <v>0</v>
      </c>
      <c r="G200" s="13" t="n">
        <f aca="false">травень!G200</f>
        <v>49.7</v>
      </c>
      <c r="H200" s="13" t="n">
        <f aca="false">травень!H200</f>
        <v>0</v>
      </c>
      <c r="I200" s="13" t="n">
        <f aca="false">травень!I200</f>
        <v>4.1</v>
      </c>
      <c r="J200" s="14" t="n">
        <f aca="false">ROUND(G200*I200,2)</f>
        <v>203.77</v>
      </c>
      <c r="K200" s="14"/>
      <c r="L200" s="14"/>
      <c r="M200" s="14"/>
      <c r="N200" s="14" t="n">
        <f aca="false">ROUND((G200*I200)-K200-L200-M200,2)</f>
        <v>203.77</v>
      </c>
      <c r="O200" s="14"/>
      <c r="P200" s="14" t="n">
        <f aca="false">ROUND(IF(D200=0,IF((N200-E200-O200)&gt;0,(N200-E200-O200),0),IF((D200+N200-O200)&gt;0,(D200+N200-O200),0)),2)</f>
        <v>11301.36</v>
      </c>
      <c r="Q200" s="14" t="n">
        <f aca="false">ROUND(IF(E200=0,IF((D200+N200-O200)&lt;0,ABS(D200+N200-O200),0),IF((N200-E200-O200)&lt;0,ABS(N200-E200-O200),0)),2)</f>
        <v>0</v>
      </c>
    </row>
    <row r="201" customFormat="false" ht="15" hidden="false" customHeight="true" outlineLevel="0" collapsed="false">
      <c r="A201" s="12" t="s">
        <v>599</v>
      </c>
      <c r="B201" s="12" t="s">
        <v>600</v>
      </c>
      <c r="C201" s="12" t="s">
        <v>601</v>
      </c>
      <c r="D201" s="14" t="n">
        <f aca="false">травень!P201</f>
        <v>13346.32</v>
      </c>
      <c r="E201" s="14" t="n">
        <f aca="false">травень!Q201</f>
        <v>0</v>
      </c>
      <c r="F201" s="13" t="n">
        <f aca="false">травень!F201</f>
        <v>0</v>
      </c>
      <c r="G201" s="13" t="n">
        <f aca="false">травень!G201</f>
        <v>62.6</v>
      </c>
      <c r="H201" s="13" t="n">
        <f aca="false">травень!H201</f>
        <v>0</v>
      </c>
      <c r="I201" s="13" t="n">
        <f aca="false">травень!I201</f>
        <v>4.1</v>
      </c>
      <c r="J201" s="14" t="n">
        <f aca="false">ROUND(G201*I201,2)</f>
        <v>256.66</v>
      </c>
      <c r="K201" s="14"/>
      <c r="L201" s="14"/>
      <c r="M201" s="14"/>
      <c r="N201" s="14" t="n">
        <f aca="false">ROUND((G201*I201)-K201-L201-M201,2)</f>
        <v>256.66</v>
      </c>
      <c r="O201" s="14"/>
      <c r="P201" s="14" t="n">
        <f aca="false">ROUND(IF(D201=0,IF((N201-E201-O201)&gt;0,(N201-E201-O201),0),IF((D201+N201-O201)&gt;0,(D201+N201-O201),0)),2)</f>
        <v>13602.98</v>
      </c>
      <c r="Q201" s="14" t="n">
        <f aca="false">ROUND(IF(E201=0,IF((D201+N201-O201)&lt;0,ABS(D201+N201-O201),0),IF((N201-E201-O201)&lt;0,ABS(N201-E201-O201),0)),2)</f>
        <v>0</v>
      </c>
    </row>
    <row r="202" customFormat="false" ht="15" hidden="false" customHeight="true" outlineLevel="0" collapsed="false">
      <c r="A202" s="12" t="s">
        <v>602</v>
      </c>
      <c r="B202" s="12" t="s">
        <v>603</v>
      </c>
      <c r="C202" s="12" t="s">
        <v>604</v>
      </c>
      <c r="D202" s="14" t="n">
        <f aca="false">травень!P202</f>
        <v>1443.2</v>
      </c>
      <c r="E202" s="14" t="n">
        <f aca="false">травень!Q202</f>
        <v>0</v>
      </c>
      <c r="F202" s="13" t="n">
        <f aca="false">травень!F202</f>
        <v>0</v>
      </c>
      <c r="G202" s="13" t="n">
        <f aca="false">травень!G202</f>
        <v>70.4</v>
      </c>
      <c r="H202" s="13" t="n">
        <f aca="false">травень!H202</f>
        <v>0</v>
      </c>
      <c r="I202" s="13" t="n">
        <f aca="false">травень!I202</f>
        <v>4.1</v>
      </c>
      <c r="J202" s="14" t="n">
        <f aca="false">ROUND(G202*I202,2)</f>
        <v>288.64</v>
      </c>
      <c r="K202" s="14"/>
      <c r="L202" s="14"/>
      <c r="M202" s="14"/>
      <c r="N202" s="14" t="n">
        <f aca="false">ROUND((G202*I202)-K202-L202-M202,2)</f>
        <v>288.64</v>
      </c>
      <c r="O202" s="14"/>
      <c r="P202" s="14" t="n">
        <f aca="false">ROUND(IF(D202=0,IF((N202-E202-O202)&gt;0,(N202-E202-O202),0),IF((D202+N202-O202)&gt;0,(D202+N202-O202),0)),2)</f>
        <v>1731.84</v>
      </c>
      <c r="Q202" s="14" t="n">
        <f aca="false">ROUND(IF(E202=0,IF((D202+N202-O202)&lt;0,ABS(D202+N202-O202),0),IF((N202-E202-O202)&lt;0,ABS(N202-E202-O202),0)),2)</f>
        <v>0</v>
      </c>
    </row>
    <row r="203" customFormat="false" ht="15" hidden="false" customHeight="true" outlineLevel="0" collapsed="false">
      <c r="A203" s="12" t="s">
        <v>605</v>
      </c>
      <c r="B203" s="12" t="s">
        <v>606</v>
      </c>
      <c r="C203" s="12" t="s">
        <v>607</v>
      </c>
      <c r="D203" s="14" t="n">
        <f aca="false">травень!P203</f>
        <v>1439.1</v>
      </c>
      <c r="E203" s="14" t="n">
        <f aca="false">травень!Q203</f>
        <v>0</v>
      </c>
      <c r="F203" s="13" t="n">
        <f aca="false">травень!F203</f>
        <v>0</v>
      </c>
      <c r="G203" s="13" t="n">
        <f aca="false">травень!G203</f>
        <v>70.2</v>
      </c>
      <c r="H203" s="13" t="n">
        <f aca="false">травень!H203</f>
        <v>0</v>
      </c>
      <c r="I203" s="13" t="n">
        <f aca="false">травень!I203</f>
        <v>4.1</v>
      </c>
      <c r="J203" s="14" t="n">
        <f aca="false">ROUND(G203*I203,2)</f>
        <v>287.82</v>
      </c>
      <c r="K203" s="14"/>
      <c r="L203" s="14"/>
      <c r="M203" s="14"/>
      <c r="N203" s="14" t="n">
        <f aca="false">ROUND((G203*I203)-K203-L203-M203,2)</f>
        <v>287.82</v>
      </c>
      <c r="O203" s="14"/>
      <c r="P203" s="14" t="n">
        <f aca="false">ROUND(IF(D203=0,IF((N203-E203-O203)&gt;0,(N203-E203-O203),0),IF((D203+N203-O203)&gt;0,(D203+N203-O203),0)),2)</f>
        <v>1726.92</v>
      </c>
      <c r="Q203" s="14" t="n">
        <f aca="false">ROUND(IF(E203=0,IF((D203+N203-O203)&lt;0,ABS(D203+N203-O203),0),IF((N203-E203-O203)&lt;0,ABS(N203-E203-O203),0)),2)</f>
        <v>0</v>
      </c>
    </row>
    <row r="204" customFormat="false" ht="15" hidden="false" customHeight="true" outlineLevel="0" collapsed="false">
      <c r="A204" s="12" t="s">
        <v>608</v>
      </c>
      <c r="B204" s="12" t="s">
        <v>609</v>
      </c>
      <c r="C204" s="12" t="s">
        <v>610</v>
      </c>
      <c r="D204" s="14" t="n">
        <f aca="false">травень!P204</f>
        <v>10084.02</v>
      </c>
      <c r="E204" s="14" t="n">
        <f aca="false">травень!Q204</f>
        <v>0</v>
      </c>
      <c r="F204" s="13" t="n">
        <f aca="false">травень!F204</f>
        <v>0</v>
      </c>
      <c r="G204" s="13" t="n">
        <f aca="false">травень!G204</f>
        <v>49.94</v>
      </c>
      <c r="H204" s="13" t="n">
        <f aca="false">травень!H204</f>
        <v>0</v>
      </c>
      <c r="I204" s="13" t="n">
        <f aca="false">травень!I204</f>
        <v>4.1</v>
      </c>
      <c r="J204" s="14" t="n">
        <f aca="false">ROUND(G204*I204,2)</f>
        <v>204.75</v>
      </c>
      <c r="K204" s="14"/>
      <c r="L204" s="14"/>
      <c r="M204" s="14"/>
      <c r="N204" s="14" t="n">
        <f aca="false">ROUND((G204*I204)-K204-L204-M204,2)</f>
        <v>204.75</v>
      </c>
      <c r="O204" s="14"/>
      <c r="P204" s="14" t="n">
        <f aca="false">ROUND(IF(D204=0,IF((N204-E204-O204)&gt;0,(N204-E204-O204),0),IF((D204+N204-O204)&gt;0,(D204+N204-O204),0)),2)</f>
        <v>10288.77</v>
      </c>
      <c r="Q204" s="14" t="n">
        <f aca="false">ROUND(IF(E204=0,IF((D204+N204-O204)&lt;0,ABS(D204+N204-O204),0),IF((N204-E204-O204)&lt;0,ABS(N204-E204-O204),0)),2)</f>
        <v>0</v>
      </c>
    </row>
    <row r="205" customFormat="false" ht="15" hidden="false" customHeight="true" outlineLevel="0" collapsed="false">
      <c r="A205" s="12" t="s">
        <v>611</v>
      </c>
      <c r="B205" s="12" t="s">
        <v>612</v>
      </c>
      <c r="C205" s="12" t="s">
        <v>613</v>
      </c>
      <c r="D205" s="14" t="n">
        <f aca="false">травень!P205</f>
        <v>11234.35</v>
      </c>
      <c r="E205" s="14" t="n">
        <f aca="false">травень!Q205</f>
        <v>0</v>
      </c>
      <c r="F205" s="13" t="n">
        <f aca="false">травень!F205</f>
        <v>0</v>
      </c>
      <c r="G205" s="13" t="n">
        <f aca="false">травень!G205</f>
        <v>62.3</v>
      </c>
      <c r="H205" s="13" t="n">
        <f aca="false">травень!H205</f>
        <v>0</v>
      </c>
      <c r="I205" s="13" t="n">
        <f aca="false">травень!I205</f>
        <v>4.1</v>
      </c>
      <c r="J205" s="14" t="n">
        <f aca="false">ROUND(G205*I205,2)</f>
        <v>255.43</v>
      </c>
      <c r="K205" s="14"/>
      <c r="L205" s="14"/>
      <c r="M205" s="14"/>
      <c r="N205" s="14" t="n">
        <f aca="false">ROUND((G205*I205)-K205-L205-M205,2)</f>
        <v>255.43</v>
      </c>
      <c r="O205" s="14"/>
      <c r="P205" s="14" t="n">
        <f aca="false">ROUND(IF(D205=0,IF((N205-E205-O205)&gt;0,(N205-E205-O205),0),IF((D205+N205-O205)&gt;0,(D205+N205-O205),0)),2)</f>
        <v>11489.78</v>
      </c>
      <c r="Q205" s="14" t="n">
        <f aca="false">ROUND(IF(E205=0,IF((D205+N205-O205)&lt;0,ABS(D205+N205-O205),0),IF((N205-E205-O205)&lt;0,ABS(N205-E205-O205),0)),2)</f>
        <v>0</v>
      </c>
    </row>
    <row r="206" customFormat="false" ht="15" hidden="false" customHeight="true" outlineLevel="0" collapsed="false">
      <c r="A206" s="12" t="s">
        <v>614</v>
      </c>
      <c r="B206" s="12" t="s">
        <v>615</v>
      </c>
      <c r="C206" s="12" t="s">
        <v>616</v>
      </c>
      <c r="D206" s="14" t="n">
        <f aca="false">травень!P206</f>
        <v>1108.8</v>
      </c>
      <c r="E206" s="14" t="n">
        <f aca="false">травень!Q206</f>
        <v>0</v>
      </c>
      <c r="F206" s="13" t="n">
        <f aca="false">травень!F206</f>
        <v>0</v>
      </c>
      <c r="G206" s="13" t="n">
        <f aca="false">травень!G206</f>
        <v>67.61</v>
      </c>
      <c r="H206" s="13" t="n">
        <f aca="false">травень!H206</f>
        <v>0</v>
      </c>
      <c r="I206" s="13" t="n">
        <f aca="false">травень!I206</f>
        <v>4.1</v>
      </c>
      <c r="J206" s="14" t="n">
        <f aca="false">ROUND(G206*I206,2)</f>
        <v>277.2</v>
      </c>
      <c r="K206" s="14"/>
      <c r="L206" s="14"/>
      <c r="M206" s="14"/>
      <c r="N206" s="14" t="n">
        <f aca="false">ROUND((G206*I206)-K206-L206-M206,2)</f>
        <v>277.2</v>
      </c>
      <c r="O206" s="14"/>
      <c r="P206" s="14" t="n">
        <f aca="false">ROUND(IF(D206=0,IF((N206-E206-O206)&gt;0,(N206-E206-O206),0),IF((D206+N206-O206)&gt;0,(D206+N206-O206),0)),2)</f>
        <v>1386</v>
      </c>
      <c r="Q206" s="14" t="n">
        <f aca="false">ROUND(IF(E206=0,IF((D206+N206-O206)&lt;0,ABS(D206+N206-O206),0),IF((N206-E206-O206)&lt;0,ABS(N206-E206-O206),0)),2)</f>
        <v>0</v>
      </c>
    </row>
    <row r="207" customFormat="false" ht="15" hidden="false" customHeight="true" outlineLevel="0" collapsed="false">
      <c r="A207" s="12" t="s">
        <v>617</v>
      </c>
      <c r="B207" s="12" t="s">
        <v>618</v>
      </c>
      <c r="C207" s="12" t="s">
        <v>619</v>
      </c>
      <c r="D207" s="14" t="n">
        <f aca="false">травень!P207</f>
        <v>13748.7</v>
      </c>
      <c r="E207" s="14" t="n">
        <f aca="false">травень!Q207</f>
        <v>0</v>
      </c>
      <c r="F207" s="13" t="n">
        <f aca="false">травень!F207</f>
        <v>0</v>
      </c>
      <c r="G207" s="13" t="n">
        <f aca="false">травень!G207</f>
        <v>70.38</v>
      </c>
      <c r="H207" s="13" t="n">
        <f aca="false">травень!H207</f>
        <v>0</v>
      </c>
      <c r="I207" s="13" t="n">
        <f aca="false">травень!I207</f>
        <v>4.1</v>
      </c>
      <c r="J207" s="14" t="n">
        <f aca="false">ROUND(G207*I207,2)</f>
        <v>288.56</v>
      </c>
      <c r="K207" s="14"/>
      <c r="L207" s="14"/>
      <c r="M207" s="14"/>
      <c r="N207" s="14" t="n">
        <f aca="false">ROUND((G207*I207)-K207-L207-M207,2)</f>
        <v>288.56</v>
      </c>
      <c r="O207" s="14"/>
      <c r="P207" s="14" t="n">
        <f aca="false">ROUND(IF(D207=0,IF((N207-E207-O207)&gt;0,(N207-E207-O207),0),IF((D207+N207-O207)&gt;0,(D207+N207-O207),0)),2)</f>
        <v>14037.26</v>
      </c>
      <c r="Q207" s="14" t="n">
        <f aca="false">ROUND(IF(E207=0,IF((D207+N207-O207)&lt;0,ABS(D207+N207-O207),0),IF((N207-E207-O207)&lt;0,ABS(N207-E207-O207),0)),2)</f>
        <v>0</v>
      </c>
    </row>
    <row r="208" customFormat="false" ht="15" hidden="false" customHeight="true" outlineLevel="0" collapsed="false">
      <c r="A208" s="12" t="s">
        <v>620</v>
      </c>
      <c r="B208" s="12" t="s">
        <v>621</v>
      </c>
      <c r="C208" s="12" t="s">
        <v>622</v>
      </c>
      <c r="D208" s="14" t="n">
        <f aca="false">травень!P208</f>
        <v>9854.45</v>
      </c>
      <c r="E208" s="14" t="n">
        <f aca="false">травень!Q208</f>
        <v>0</v>
      </c>
      <c r="F208" s="13" t="n">
        <f aca="false">травень!F208</f>
        <v>0</v>
      </c>
      <c r="G208" s="13" t="n">
        <f aca="false">травень!G208</f>
        <v>49.88</v>
      </c>
      <c r="H208" s="13" t="n">
        <f aca="false">травень!H208</f>
        <v>0</v>
      </c>
      <c r="I208" s="13" t="n">
        <f aca="false">травень!I208</f>
        <v>4.1</v>
      </c>
      <c r="J208" s="14" t="n">
        <f aca="false">ROUND(G208*I208,2)</f>
        <v>204.51</v>
      </c>
      <c r="K208" s="14"/>
      <c r="L208" s="14"/>
      <c r="M208" s="14"/>
      <c r="N208" s="14" t="n">
        <f aca="false">ROUND((G208*I208)-K208-L208-M208,2)</f>
        <v>204.51</v>
      </c>
      <c r="O208" s="14"/>
      <c r="P208" s="14" t="n">
        <f aca="false">ROUND(IF(D208=0,IF((N208-E208-O208)&gt;0,(N208-E208-O208),0),IF((D208+N208-O208)&gt;0,(D208+N208-O208),0)),2)</f>
        <v>10058.96</v>
      </c>
      <c r="Q208" s="14" t="n">
        <f aca="false">ROUND(IF(E208=0,IF((D208+N208-O208)&lt;0,ABS(D208+N208-O208),0),IF((N208-E208-O208)&lt;0,ABS(N208-E208-O208),0)),2)</f>
        <v>0</v>
      </c>
    </row>
    <row r="209" customFormat="false" ht="15" hidden="false" customHeight="true" outlineLevel="0" collapsed="false">
      <c r="A209" s="12" t="s">
        <v>623</v>
      </c>
      <c r="B209" s="12" t="s">
        <v>624</v>
      </c>
      <c r="C209" s="12" t="s">
        <v>625</v>
      </c>
      <c r="D209" s="14" t="n">
        <f aca="false">травень!P209</f>
        <v>11394.72</v>
      </c>
      <c r="E209" s="14" t="n">
        <f aca="false">травень!Q209</f>
        <v>0</v>
      </c>
      <c r="F209" s="13" t="n">
        <f aca="false">травень!F209</f>
        <v>0</v>
      </c>
      <c r="G209" s="13" t="n">
        <f aca="false">травень!G209</f>
        <v>62.02</v>
      </c>
      <c r="H209" s="13" t="n">
        <f aca="false">травень!H209</f>
        <v>0</v>
      </c>
      <c r="I209" s="13" t="n">
        <f aca="false">травень!I209</f>
        <v>4.1</v>
      </c>
      <c r="J209" s="14" t="n">
        <f aca="false">ROUND(G209*I209,2)</f>
        <v>254.28</v>
      </c>
      <c r="K209" s="14"/>
      <c r="L209" s="14"/>
      <c r="M209" s="14"/>
      <c r="N209" s="14" t="n">
        <f aca="false">ROUND((G209*I209)-K209-L209-M209,2)</f>
        <v>254.28</v>
      </c>
      <c r="O209" s="14"/>
      <c r="P209" s="14" t="n">
        <f aca="false">ROUND(IF(D209=0,IF((N209-E209-O209)&gt;0,(N209-E209-O209),0),IF((D209+N209-O209)&gt;0,(D209+N209-O209),0)),2)</f>
        <v>11649</v>
      </c>
      <c r="Q209" s="14" t="n">
        <f aca="false">ROUND(IF(E209=0,IF((D209+N209-O209)&lt;0,ABS(D209+N209-O209),0),IF((N209-E209-O209)&lt;0,ABS(N209-E209-O209),0)),2)</f>
        <v>0</v>
      </c>
    </row>
    <row r="210" customFormat="false" ht="15" hidden="false" customHeight="true" outlineLevel="0" collapsed="false">
      <c r="A210" s="12" t="s">
        <v>626</v>
      </c>
      <c r="B210" s="12" t="s">
        <v>627</v>
      </c>
      <c r="C210" s="12" t="s">
        <v>628</v>
      </c>
      <c r="D210" s="14" t="n">
        <f aca="false">травень!P210</f>
        <v>4511.72</v>
      </c>
      <c r="E210" s="14" t="n">
        <f aca="false">травень!Q210</f>
        <v>0</v>
      </c>
      <c r="F210" s="13" t="n">
        <f aca="false">травень!F210</f>
        <v>0</v>
      </c>
      <c r="G210" s="13" t="n">
        <f aca="false">травень!G210</f>
        <v>67.6</v>
      </c>
      <c r="H210" s="13" t="n">
        <f aca="false">травень!H210</f>
        <v>0</v>
      </c>
      <c r="I210" s="13" t="n">
        <f aca="false">травень!I210</f>
        <v>4.1</v>
      </c>
      <c r="J210" s="14" t="n">
        <f aca="false">ROUND(G210*I210,2)</f>
        <v>277.16</v>
      </c>
      <c r="K210" s="14"/>
      <c r="L210" s="14"/>
      <c r="M210" s="14"/>
      <c r="N210" s="14" t="n">
        <f aca="false">ROUND((G210*I210)-K210-L210-M210,2)</f>
        <v>277.16</v>
      </c>
      <c r="O210" s="14"/>
      <c r="P210" s="14" t="n">
        <f aca="false">ROUND(IF(D210=0,IF((N210-E210-O210)&gt;0,(N210-E210-O210),0),IF((D210+N210-O210)&gt;0,(D210+N210-O210),0)),2)</f>
        <v>4788.88</v>
      </c>
      <c r="Q210" s="14" t="n">
        <f aca="false">ROUND(IF(E210=0,IF((D210+N210-O210)&lt;0,ABS(D210+N210-O210),0),IF((N210-E210-O210)&lt;0,ABS(N210-E210-O210),0)),2)</f>
        <v>0</v>
      </c>
    </row>
    <row r="211" customFormat="false" ht="15" hidden="false" customHeight="true" outlineLevel="0" collapsed="false">
      <c r="A211" s="12" t="s">
        <v>629</v>
      </c>
      <c r="B211" s="12" t="s">
        <v>630</v>
      </c>
      <c r="C211" s="12" t="s">
        <v>631</v>
      </c>
      <c r="D211" s="14" t="n">
        <f aca="false">травень!P211</f>
        <v>11302.16</v>
      </c>
      <c r="E211" s="14" t="n">
        <f aca="false">травень!Q211</f>
        <v>0</v>
      </c>
      <c r="F211" s="13" t="n">
        <f aca="false">травень!F211</f>
        <v>0</v>
      </c>
      <c r="G211" s="13" t="n">
        <f aca="false">травень!G211</f>
        <v>70.42</v>
      </c>
      <c r="H211" s="13" t="n">
        <f aca="false">травень!H211</f>
        <v>0</v>
      </c>
      <c r="I211" s="13" t="n">
        <f aca="false">травень!I211</f>
        <v>4.1</v>
      </c>
      <c r="J211" s="14" t="n">
        <f aca="false">ROUND(G211*I211,2)</f>
        <v>288.72</v>
      </c>
      <c r="K211" s="14"/>
      <c r="L211" s="14"/>
      <c r="M211" s="14"/>
      <c r="N211" s="14" t="n">
        <f aca="false">ROUND((G211*I211)-K211-L211-M211,2)</f>
        <v>288.72</v>
      </c>
      <c r="O211" s="14"/>
      <c r="P211" s="14" t="n">
        <f aca="false">ROUND(IF(D211=0,IF((N211-E211-O211)&gt;0,(N211-E211-O211),0),IF((D211+N211-O211)&gt;0,(D211+N211-O211),0)),2)</f>
        <v>11590.88</v>
      </c>
      <c r="Q211" s="14" t="n">
        <f aca="false">ROUND(IF(E211=0,IF((D211+N211-O211)&lt;0,ABS(D211+N211-O211),0),IF((N211-E211-O211)&lt;0,ABS(N211-E211-O211),0)),2)</f>
        <v>0</v>
      </c>
    </row>
    <row r="212" customFormat="false" ht="15" hidden="false" customHeight="true" outlineLevel="0" collapsed="false">
      <c r="A212" s="12" t="s">
        <v>632</v>
      </c>
      <c r="B212" s="12" t="s">
        <v>633</v>
      </c>
      <c r="C212" s="12" t="s">
        <v>634</v>
      </c>
      <c r="D212" s="14" t="n">
        <f aca="false">травень!P212</f>
        <v>1020.9</v>
      </c>
      <c r="E212" s="14" t="n">
        <f aca="false">травень!Q212</f>
        <v>0</v>
      </c>
      <c r="F212" s="13" t="n">
        <f aca="false">травень!F212</f>
        <v>0</v>
      </c>
      <c r="G212" s="13" t="n">
        <f aca="false">травень!G212</f>
        <v>49.8</v>
      </c>
      <c r="H212" s="13" t="n">
        <f aca="false">травень!H212</f>
        <v>0</v>
      </c>
      <c r="I212" s="13" t="n">
        <f aca="false">травень!I212</f>
        <v>4.1</v>
      </c>
      <c r="J212" s="14" t="n">
        <f aca="false">ROUND(G212*I212,2)</f>
        <v>204.18</v>
      </c>
      <c r="K212" s="14"/>
      <c r="L212" s="14"/>
      <c r="M212" s="14"/>
      <c r="N212" s="14" t="n">
        <f aca="false">ROUND((G212*I212)-K212-L212-M212,2)</f>
        <v>204.18</v>
      </c>
      <c r="O212" s="14"/>
      <c r="P212" s="14" t="n">
        <f aca="false">ROUND(IF(D212=0,IF((N212-E212-O212)&gt;0,(N212-E212-O212),0),IF((D212+N212-O212)&gt;0,(D212+N212-O212),0)),2)</f>
        <v>1225.08</v>
      </c>
      <c r="Q212" s="14" t="n">
        <f aca="false">ROUND(IF(E212=0,IF((D212+N212-O212)&lt;0,ABS(D212+N212-O212),0),IF((N212-E212-O212)&lt;0,ABS(N212-E212-O212),0)),2)</f>
        <v>0</v>
      </c>
    </row>
    <row r="213" customFormat="false" ht="15" hidden="false" customHeight="true" outlineLevel="0" collapsed="false">
      <c r="A213" s="12" t="s">
        <v>635</v>
      </c>
      <c r="B213" s="12" t="s">
        <v>636</v>
      </c>
      <c r="C213" s="12" t="s">
        <v>637</v>
      </c>
      <c r="D213" s="14" t="n">
        <f aca="false">травень!P213</f>
        <v>2515.47</v>
      </c>
      <c r="E213" s="14" t="n">
        <f aca="false">травень!Q213</f>
        <v>0</v>
      </c>
      <c r="F213" s="13" t="n">
        <f aca="false">травень!F213</f>
        <v>0</v>
      </c>
      <c r="G213" s="13" t="n">
        <f aca="false">травень!G213</f>
        <v>62.7</v>
      </c>
      <c r="H213" s="13" t="n">
        <f aca="false">травень!H213</f>
        <v>0</v>
      </c>
      <c r="I213" s="13" t="n">
        <f aca="false">травень!I213</f>
        <v>4.1</v>
      </c>
      <c r="J213" s="14" t="n">
        <f aca="false">ROUND(G213*I213,2)</f>
        <v>257.07</v>
      </c>
      <c r="K213" s="14"/>
      <c r="L213" s="14"/>
      <c r="M213" s="14"/>
      <c r="N213" s="14" t="n">
        <f aca="false">ROUND((G213*I213)-K213-L213-M213,2)</f>
        <v>257.07</v>
      </c>
      <c r="O213" s="14"/>
      <c r="P213" s="14" t="n">
        <f aca="false">ROUND(IF(D213=0,IF((N213-E213-O213)&gt;0,(N213-E213-O213),0),IF((D213+N213-O213)&gt;0,(D213+N213-O213),0)),2)</f>
        <v>2772.54</v>
      </c>
      <c r="Q213" s="14" t="n">
        <f aca="false">ROUND(IF(E213=0,IF((D213+N213-O213)&lt;0,ABS(D213+N213-O213),0),IF((N213-E213-O213)&lt;0,ABS(N213-E213-O213),0)),2)</f>
        <v>0</v>
      </c>
    </row>
    <row r="214" customFormat="false" ht="15" hidden="false" customHeight="true" outlineLevel="0" collapsed="false">
      <c r="A214" s="12" t="s">
        <v>638</v>
      </c>
      <c r="B214" s="12" t="s">
        <v>639</v>
      </c>
      <c r="C214" s="12" t="s">
        <v>640</v>
      </c>
      <c r="D214" s="14" t="n">
        <f aca="false">травень!P214</f>
        <v>1394</v>
      </c>
      <c r="E214" s="14" t="n">
        <f aca="false">травень!Q214</f>
        <v>0</v>
      </c>
      <c r="F214" s="13" t="n">
        <f aca="false">травень!F214</f>
        <v>0</v>
      </c>
      <c r="G214" s="13" t="n">
        <f aca="false">травень!G214</f>
        <v>68</v>
      </c>
      <c r="H214" s="13" t="n">
        <f aca="false">травень!H214</f>
        <v>0</v>
      </c>
      <c r="I214" s="13" t="n">
        <f aca="false">травень!I214</f>
        <v>4.1</v>
      </c>
      <c r="J214" s="14" t="n">
        <f aca="false">ROUND(G214*I214,2)</f>
        <v>278.8</v>
      </c>
      <c r="K214" s="14"/>
      <c r="L214" s="14"/>
      <c r="M214" s="14"/>
      <c r="N214" s="14" t="n">
        <f aca="false">ROUND((G214*I214)-K214-L214-M214,2)</f>
        <v>278.8</v>
      </c>
      <c r="O214" s="14"/>
      <c r="P214" s="14" t="n">
        <f aca="false">ROUND(IF(D214=0,IF((N214-E214-O214)&gt;0,(N214-E214-O214),0),IF((D214+N214-O214)&gt;0,(D214+N214-O214),0)),2)</f>
        <v>1672.8</v>
      </c>
      <c r="Q214" s="14" t="n">
        <f aca="false">ROUND(IF(E214=0,IF((D214+N214-O214)&lt;0,ABS(D214+N214-O214),0),IF((N214-E214-O214)&lt;0,ABS(N214-E214-O214),0)),2)</f>
        <v>0</v>
      </c>
    </row>
    <row r="215" customFormat="false" ht="15" hidden="false" customHeight="true" outlineLevel="0" collapsed="false">
      <c r="A215" s="12" t="s">
        <v>641</v>
      </c>
      <c r="B215" s="12" t="s">
        <v>642</v>
      </c>
      <c r="C215" s="12" t="s">
        <v>643</v>
      </c>
      <c r="D215" s="14" t="n">
        <f aca="false">травень!P215</f>
        <v>1463.87</v>
      </c>
      <c r="E215" s="14" t="n">
        <f aca="false">травень!Q215</f>
        <v>0</v>
      </c>
      <c r="F215" s="13" t="n">
        <f aca="false">травень!F215</f>
        <v>0</v>
      </c>
      <c r="G215" s="13" t="n">
        <f aca="false">травень!G215</f>
        <v>72.1</v>
      </c>
      <c r="H215" s="13" t="n">
        <f aca="false">травень!H215</f>
        <v>0</v>
      </c>
      <c r="I215" s="13" t="n">
        <f aca="false">травень!I215</f>
        <v>4.1</v>
      </c>
      <c r="J215" s="14" t="n">
        <f aca="false">ROUND(G215*I215,2)</f>
        <v>295.61</v>
      </c>
      <c r="K215" s="14"/>
      <c r="L215" s="14"/>
      <c r="M215" s="14"/>
      <c r="N215" s="14" t="n">
        <f aca="false">ROUND((G215*I215)-K215-L215-M215,2)</f>
        <v>295.61</v>
      </c>
      <c r="O215" s="14"/>
      <c r="P215" s="14" t="n">
        <f aca="false">ROUND(IF(D215=0,IF((N215-E215-O215)&gt;0,(N215-E215-O215),0),IF((D215+N215-O215)&gt;0,(D215+N215-O215),0)),2)</f>
        <v>1759.48</v>
      </c>
      <c r="Q215" s="14" t="n">
        <f aca="false">ROUND(IF(E215=0,IF((D215+N215-O215)&lt;0,ABS(D215+N215-O215),0),IF((N215-E215-O215)&lt;0,ABS(N215-E215-O215),0)),2)</f>
        <v>0</v>
      </c>
    </row>
    <row r="216" customFormat="false" ht="15" hidden="false" customHeight="true" outlineLevel="0" collapsed="false">
      <c r="A216" s="12" t="s">
        <v>644</v>
      </c>
      <c r="B216" s="12" t="s">
        <v>645</v>
      </c>
      <c r="C216" s="12" t="s">
        <v>646</v>
      </c>
      <c r="D216" s="14" t="n">
        <f aca="false">травень!P216</f>
        <v>1019.25</v>
      </c>
      <c r="E216" s="14" t="n">
        <f aca="false">травень!Q216</f>
        <v>0</v>
      </c>
      <c r="F216" s="13" t="n">
        <f aca="false">травень!F216</f>
        <v>0</v>
      </c>
      <c r="G216" s="13" t="n">
        <f aca="false">травень!G216</f>
        <v>49.72</v>
      </c>
      <c r="H216" s="13" t="n">
        <f aca="false">травень!H216</f>
        <v>0</v>
      </c>
      <c r="I216" s="13" t="n">
        <f aca="false">травень!I216</f>
        <v>4.1</v>
      </c>
      <c r="J216" s="14" t="n">
        <f aca="false">ROUND(G216*I216,2)</f>
        <v>203.85</v>
      </c>
      <c r="K216" s="14"/>
      <c r="L216" s="14"/>
      <c r="M216" s="14"/>
      <c r="N216" s="14" t="n">
        <f aca="false">ROUND((G216*I216)-K216-L216-M216,2)</f>
        <v>203.85</v>
      </c>
      <c r="O216" s="14"/>
      <c r="P216" s="14" t="n">
        <f aca="false">ROUND(IF(D216=0,IF((N216-E216-O216)&gt;0,(N216-E216-O216),0),IF((D216+N216-O216)&gt;0,(D216+N216-O216),0)),2)</f>
        <v>1223.1</v>
      </c>
      <c r="Q216" s="14" t="n">
        <f aca="false">ROUND(IF(E216=0,IF((D216+N216-O216)&lt;0,ABS(D216+N216-O216),0),IF((N216-E216-O216)&lt;0,ABS(N216-E216-O216),0)),2)</f>
        <v>0</v>
      </c>
    </row>
    <row r="217" customFormat="false" ht="15" hidden="false" customHeight="true" outlineLevel="0" collapsed="false">
      <c r="A217" s="12" t="s">
        <v>647</v>
      </c>
      <c r="B217" s="12" t="s">
        <v>648</v>
      </c>
      <c r="C217" s="12" t="s">
        <v>649</v>
      </c>
      <c r="D217" s="14" t="n">
        <f aca="false">травень!P217</f>
        <v>738.05</v>
      </c>
      <c r="E217" s="14" t="n">
        <f aca="false">травень!Q217</f>
        <v>0</v>
      </c>
      <c r="F217" s="13" t="n">
        <f aca="false">травень!F217</f>
        <v>0</v>
      </c>
      <c r="G217" s="13" t="n">
        <f aca="false">травень!G217</f>
        <v>62.39</v>
      </c>
      <c r="H217" s="13" t="n">
        <f aca="false">травень!H217</f>
        <v>0</v>
      </c>
      <c r="I217" s="13" t="n">
        <f aca="false">травень!I217</f>
        <v>4.1</v>
      </c>
      <c r="J217" s="14" t="n">
        <f aca="false">ROUND(G217*I217,2)</f>
        <v>255.8</v>
      </c>
      <c r="K217" s="14"/>
      <c r="L217" s="14"/>
      <c r="M217" s="14"/>
      <c r="N217" s="14" t="n">
        <f aca="false">ROUND((G217*I217)-K217-L217-M217,2)</f>
        <v>255.8</v>
      </c>
      <c r="O217" s="14"/>
      <c r="P217" s="14" t="n">
        <f aca="false">ROUND(IF(D217=0,IF((N217-E217-O217)&gt;0,(N217-E217-O217),0),IF((D217+N217-O217)&gt;0,(D217+N217-O217),0)),2)</f>
        <v>993.85</v>
      </c>
      <c r="Q217" s="14" t="n">
        <f aca="false">ROUND(IF(E217=0,IF((D217+N217-O217)&lt;0,ABS(D217+N217-O217),0),IF((N217-E217-O217)&lt;0,ABS(N217-E217-O217),0)),2)</f>
        <v>0</v>
      </c>
    </row>
    <row r="218" customFormat="false" ht="15" hidden="false" customHeight="true" outlineLevel="0" collapsed="false">
      <c r="A218" s="12" t="s">
        <v>650</v>
      </c>
      <c r="B218" s="12" t="s">
        <v>651</v>
      </c>
      <c r="C218" s="12" t="s">
        <v>652</v>
      </c>
      <c r="D218" s="14" t="n">
        <f aca="false">травень!P218</f>
        <v>13889.28</v>
      </c>
      <c r="E218" s="14" t="n">
        <f aca="false">травень!Q218</f>
        <v>0</v>
      </c>
      <c r="F218" s="13" t="n">
        <f aca="false">травень!F218</f>
        <v>0</v>
      </c>
      <c r="G218" s="13" t="n">
        <f aca="false">травень!G218</f>
        <v>67.47</v>
      </c>
      <c r="H218" s="13" t="n">
        <f aca="false">травень!H218</f>
        <v>0</v>
      </c>
      <c r="I218" s="13" t="n">
        <f aca="false">травень!I218</f>
        <v>4.1</v>
      </c>
      <c r="J218" s="14" t="n">
        <f aca="false">ROUND(G218*I218,2)</f>
        <v>276.63</v>
      </c>
      <c r="K218" s="14"/>
      <c r="L218" s="14"/>
      <c r="M218" s="14"/>
      <c r="N218" s="14" t="n">
        <f aca="false">ROUND((G218*I218)-K218-L218-M218,2)</f>
        <v>276.63</v>
      </c>
      <c r="O218" s="14"/>
      <c r="P218" s="14" t="n">
        <f aca="false">ROUND(IF(D218=0,IF((N218-E218-O218)&gt;0,(N218-E218-O218),0),IF((D218+N218-O218)&gt;0,(D218+N218-O218),0)),2)</f>
        <v>14165.91</v>
      </c>
      <c r="Q218" s="14" t="n">
        <f aca="false">ROUND(IF(E218=0,IF((D218+N218-O218)&lt;0,ABS(D218+N218-O218),0),IF((N218-E218-O218)&lt;0,ABS(N218-E218-O218),0)),2)</f>
        <v>0</v>
      </c>
    </row>
    <row r="219" customFormat="false" ht="15" hidden="false" customHeight="true" outlineLevel="0" collapsed="false">
      <c r="A219" s="12" t="s">
        <v>653</v>
      </c>
      <c r="B219" s="12" t="s">
        <v>654</v>
      </c>
      <c r="C219" s="12" t="s">
        <v>655</v>
      </c>
      <c r="D219" s="14" t="n">
        <f aca="false">травень!P219</f>
        <v>1443.4</v>
      </c>
      <c r="E219" s="14" t="n">
        <f aca="false">травень!Q219</f>
        <v>0</v>
      </c>
      <c r="F219" s="13" t="n">
        <f aca="false">травень!F219</f>
        <v>0</v>
      </c>
      <c r="G219" s="13" t="n">
        <f aca="false">травень!G219</f>
        <v>70.41</v>
      </c>
      <c r="H219" s="13" t="n">
        <f aca="false">травень!H219</f>
        <v>0</v>
      </c>
      <c r="I219" s="13" t="n">
        <f aca="false">травень!I219</f>
        <v>4.1</v>
      </c>
      <c r="J219" s="14" t="n">
        <f aca="false">ROUND(G219*I219,2)</f>
        <v>288.68</v>
      </c>
      <c r="K219" s="14"/>
      <c r="L219" s="14"/>
      <c r="M219" s="14"/>
      <c r="N219" s="14" t="n">
        <f aca="false">ROUND((G219*I219)-K219-L219-M219,2)</f>
        <v>288.68</v>
      </c>
      <c r="O219" s="14"/>
      <c r="P219" s="14" t="n">
        <f aca="false">ROUND(IF(D219=0,IF((N219-E219-O219)&gt;0,(N219-E219-O219),0),IF((D219+N219-O219)&gt;0,(D219+N219-O219),0)),2)</f>
        <v>1732.08</v>
      </c>
      <c r="Q219" s="14" t="n">
        <f aca="false">ROUND(IF(E219=0,IF((D219+N219-O219)&lt;0,ABS(D219+N219-O219),0),IF((N219-E219-O219)&lt;0,ABS(N219-E219-O219),0)),2)</f>
        <v>0</v>
      </c>
    </row>
    <row r="220" customFormat="false" ht="15" hidden="false" customHeight="true" outlineLevel="0" collapsed="false">
      <c r="A220" s="12" t="s">
        <v>656</v>
      </c>
      <c r="B220" s="12" t="s">
        <v>657</v>
      </c>
      <c r="C220" s="12" t="s">
        <v>658</v>
      </c>
      <c r="D220" s="14" t="n">
        <f aca="false">травень!P220</f>
        <v>5063.91</v>
      </c>
      <c r="E220" s="14" t="n">
        <f aca="false">травень!Q220</f>
        <v>0</v>
      </c>
      <c r="F220" s="13" t="n">
        <f aca="false">травень!F220</f>
        <v>0</v>
      </c>
      <c r="G220" s="13" t="n">
        <f aca="false">травень!G220</f>
        <v>49.73</v>
      </c>
      <c r="H220" s="13" t="n">
        <f aca="false">травень!H220</f>
        <v>0</v>
      </c>
      <c r="I220" s="13" t="n">
        <f aca="false">травень!I220</f>
        <v>4.1</v>
      </c>
      <c r="J220" s="14" t="n">
        <f aca="false">ROUND(G220*I220,2)</f>
        <v>203.89</v>
      </c>
      <c r="K220" s="14"/>
      <c r="L220" s="14"/>
      <c r="M220" s="14"/>
      <c r="N220" s="14" t="n">
        <f aca="false">ROUND((G220*I220)-K220-L220-M220,2)</f>
        <v>203.89</v>
      </c>
      <c r="O220" s="14"/>
      <c r="P220" s="14" t="n">
        <f aca="false">ROUND(IF(D220=0,IF((N220-E220-O220)&gt;0,(N220-E220-O220),0),IF((D220+N220-O220)&gt;0,(D220+N220-O220),0)),2)</f>
        <v>5267.8</v>
      </c>
      <c r="Q220" s="14" t="n">
        <f aca="false">ROUND(IF(E220=0,IF((D220+N220-O220)&lt;0,ABS(D220+N220-O220),0),IF((N220-E220-O220)&lt;0,ABS(N220-E220-O220),0)),2)</f>
        <v>0</v>
      </c>
    </row>
    <row r="221" customFormat="false" ht="15.75" hidden="false" customHeight="true" outlineLevel="0" collapsed="false">
      <c r="A221" s="12" t="s">
        <v>659</v>
      </c>
      <c r="B221" s="12" t="s">
        <v>660</v>
      </c>
      <c r="C221" s="12" t="s">
        <v>661</v>
      </c>
      <c r="D221" s="14" t="n">
        <f aca="false">травень!P221</f>
        <v>8795.8</v>
      </c>
      <c r="E221" s="14" t="n">
        <f aca="false">травень!Q221</f>
        <v>0</v>
      </c>
      <c r="F221" s="13" t="n">
        <f aca="false">травень!F221</f>
        <v>0</v>
      </c>
      <c r="G221" s="13" t="n">
        <f aca="false">травень!G221</f>
        <v>62</v>
      </c>
      <c r="H221" s="13" t="n">
        <f aca="false">травень!H221</f>
        <v>0</v>
      </c>
      <c r="I221" s="13" t="n">
        <f aca="false">травень!I221</f>
        <v>4.1</v>
      </c>
      <c r="J221" s="14" t="n">
        <f aca="false">ROUND(G221*I221,2)</f>
        <v>254.2</v>
      </c>
      <c r="K221" s="14"/>
      <c r="L221" s="14"/>
      <c r="M221" s="14"/>
      <c r="N221" s="14" t="n">
        <f aca="false">ROUND((G221*I221)-K221-L221-M221,2)</f>
        <v>254.2</v>
      </c>
      <c r="O221" s="14"/>
      <c r="P221" s="14" t="n">
        <f aca="false">ROUND(IF(D221=0,IF((N221-E221-O221)&gt;0,(N221-E221-O221),0),IF((D221+N221-O221)&gt;0,(D221+N221-O221),0)),2)</f>
        <v>9050</v>
      </c>
      <c r="Q221" s="14" t="n">
        <f aca="false">ROUND(IF(E221=0,IF((D221+N221-O221)&lt;0,ABS(D221+N221-O221),0),IF((N221-E221-O221)&lt;0,ABS(N221-E221-O221),0)),2)</f>
        <v>0</v>
      </c>
    </row>
    <row r="222" customFormat="false" ht="15" hidden="false" customHeight="true" outlineLevel="0" collapsed="false">
      <c r="A222" s="15"/>
      <c r="B222" s="15"/>
      <c r="C222" s="15"/>
      <c r="D222" s="16" t="n">
        <f aca="false">SUM(D7:D221)</f>
        <v>999822.32</v>
      </c>
      <c r="E222" s="16" t="n">
        <f aca="false">SUM(E7:E221)</f>
        <v>1717.48</v>
      </c>
      <c r="F222" s="16"/>
      <c r="G222" s="20" t="n">
        <f aca="false">SUM(G7:G221)</f>
        <v>11652.42</v>
      </c>
      <c r="H222" s="16" t="n">
        <f aca="false">SUM(H7:H221)</f>
        <v>0</v>
      </c>
      <c r="I222" s="16"/>
      <c r="J222" s="16" t="n">
        <f aca="false">SUM(J7:J221)</f>
        <v>47774.99</v>
      </c>
      <c r="K222" s="16" t="n">
        <f aca="false">SUM(K7:K221)</f>
        <v>0</v>
      </c>
      <c r="L222" s="16" t="n">
        <f aca="false">SUM(L7:L221)</f>
        <v>0</v>
      </c>
      <c r="M222" s="16" t="n">
        <f aca="false">SUM(M7:M221)</f>
        <v>0</v>
      </c>
      <c r="N222" s="16" t="n">
        <f aca="false">SUM(N7:N221)</f>
        <v>47774.99</v>
      </c>
      <c r="O222" s="16" t="n">
        <f aca="false">SUM(O7:O221)</f>
        <v>0</v>
      </c>
      <c r="P222" s="16" t="n">
        <f aca="false">SUM(P7:P221)</f>
        <v>1047188.95</v>
      </c>
      <c r="Q222" s="16" t="n">
        <f aca="false">SUM(Q7:Q221)</f>
        <v>1309.12</v>
      </c>
    </row>
    <row r="223" customFormat="false" ht="15.75" hidden="false" customHeight="true" outlineLevel="0" collapsed="false">
      <c r="A223" s="15"/>
      <c r="B223" s="15"/>
      <c r="C223" s="15"/>
      <c r="D223" s="16" t="n">
        <f aca="false">D222-E222</f>
        <v>998104.84</v>
      </c>
      <c r="E223" s="16"/>
      <c r="F223" s="16"/>
      <c r="G223" s="20"/>
      <c r="H223" s="16"/>
      <c r="I223" s="16"/>
      <c r="J223" s="16"/>
      <c r="K223" s="16"/>
      <c r="L223" s="16"/>
      <c r="M223" s="16"/>
      <c r="N223" s="16"/>
      <c r="O223" s="16"/>
      <c r="P223" s="16" t="n">
        <f aca="false">P222-Q222</f>
        <v>1045879.83</v>
      </c>
      <c r="Q223" s="16"/>
      <c r="U223" s="17" t="n">
        <v>43627.1</v>
      </c>
    </row>
    <row r="224" customFormat="false" ht="15" hidden="false" customHeight="false" outlineLevel="0" collapsed="false">
      <c r="U224" s="17" t="n">
        <f aca="false">U223-O222</f>
        <v>43627.1</v>
      </c>
    </row>
    <row r="227" customFormat="false" ht="15" hidden="false" customHeight="false" outlineLevel="0" collapsed="false">
      <c r="T227" s="17"/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printOptions headings="false" gridLines="false" gridLinesSet="true" horizontalCentered="true" verticalCentered="false"/>
  <pageMargins left="0.118055555555556" right="0.315277777777778" top="0.354166666666667" bottom="0.196527777777778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7"/>
  <sheetViews>
    <sheetView showFormulas="false" showGridLines="true" showRowColHeaders="true" showZeros="false" rightToLeft="false" tabSelected="false" showOutlineSymbols="true" defaultGridColor="true" view="normal" topLeftCell="A137" colorId="64" zoomScale="90" zoomScaleNormal="90" zoomScalePageLayoutView="100" workbookViewId="0">
      <selection pane="topLeft" activeCell="S217" activeCellId="0" sqref="S21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76"/>
    <col collapsed="false" customWidth="true" hidden="false" outlineLevel="0" max="2" min="2" style="1" width="23.25"/>
    <col collapsed="false" customWidth="true" hidden="false" outlineLevel="0" max="3" min="3" style="1" width="7"/>
    <col collapsed="false" customWidth="true" hidden="false" outlineLevel="0" max="4" min="4" style="1" width="9.26"/>
    <col collapsed="false" customWidth="true" hidden="false" outlineLevel="0" max="6" min="6" style="1" width="5.37"/>
    <col collapsed="false" customWidth="true" hidden="false" outlineLevel="0" max="7" min="7" style="1" width="6.88"/>
    <col collapsed="false" customWidth="true" hidden="false" outlineLevel="0" max="8" min="8" style="1" width="5.63"/>
    <col collapsed="false" customWidth="true" hidden="false" outlineLevel="0" max="9" min="9" style="1" width="6.25"/>
    <col collapsed="false" customWidth="true" hidden="false" outlineLevel="0" max="10" min="10" style="1" width="9.12"/>
    <col collapsed="false" customWidth="true" hidden="false" outlineLevel="0" max="11" min="11" style="1" width="6.63"/>
    <col collapsed="false" customWidth="true" hidden="false" outlineLevel="0" max="12" min="12" style="1" width="7.63"/>
    <col collapsed="false" customWidth="true" hidden="false" outlineLevel="0" max="14" min="14" style="1" width="9.12"/>
    <col collapsed="false" customWidth="true" hidden="false" outlineLevel="0" max="15" min="15" style="1" width="9.63"/>
    <col collapsed="false" customWidth="true" hidden="false" outlineLevel="0" max="16" min="16" style="1" width="9.26"/>
    <col collapsed="false" customWidth="true" hidden="false" outlineLevel="0" max="17" min="17" style="1" width="9.12"/>
    <col collapsed="false" customWidth="true" hidden="false" outlineLevel="0" max="21" min="21" style="1" width="9.26"/>
  </cols>
  <sheetData>
    <row r="1" customFormat="false" ht="15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2" t="s">
        <v>1</v>
      </c>
      <c r="O1" s="2"/>
      <c r="P1" s="2"/>
      <c r="Q1" s="2"/>
    </row>
    <row r="2" customFormat="false" ht="18" hidden="false" customHeight="true" outlineLevel="0" collapsed="false">
      <c r="A2" s="3"/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8.75" hidden="false" customHeight="true" outlineLevel="0" collapsed="false">
      <c r="A3" s="3"/>
      <c r="B3" s="4" t="s">
        <v>667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true" outlineLevel="0" collapsed="false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60" hidden="false" customHeight="true" outlineLevel="0" collapsed="false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7</v>
      </c>
      <c r="Q6" s="19" t="s">
        <v>8</v>
      </c>
    </row>
    <row r="7" customFormat="false" ht="15" hidden="false" customHeight="true" outlineLevel="0" collapsed="false">
      <c r="A7" s="12" t="s">
        <v>19</v>
      </c>
      <c r="B7" s="12" t="str">
        <f aca="false">червень!B7</f>
        <v>Бережний В.М.</v>
      </c>
      <c r="C7" s="12" t="s">
        <v>21</v>
      </c>
      <c r="D7" s="14" t="n">
        <f aca="false">червень!P7</f>
        <v>2403.97</v>
      </c>
      <c r="E7" s="14" t="n">
        <f aca="false">червень!Q7</f>
        <v>0</v>
      </c>
      <c r="F7" s="13" t="n">
        <f aca="false">червень!F7</f>
        <v>0</v>
      </c>
      <c r="G7" s="13" t="n">
        <f aca="false">червень!G7</f>
        <v>64.26</v>
      </c>
      <c r="H7" s="13" t="n">
        <f aca="false">червень!H7</f>
        <v>0</v>
      </c>
      <c r="I7" s="13" t="n">
        <f aca="false">червень!I7</f>
        <v>4.1</v>
      </c>
      <c r="J7" s="14" t="n">
        <f aca="false">ROUND(G7*I7,2)</f>
        <v>263.47</v>
      </c>
      <c r="K7" s="14"/>
      <c r="L7" s="14"/>
      <c r="M7" s="14"/>
      <c r="N7" s="14" t="n">
        <f aca="false">ROUND((G7*I7)-K7-L7-M7,2)</f>
        <v>263.47</v>
      </c>
      <c r="O7" s="14"/>
      <c r="P7" s="14" t="n">
        <f aca="false">ROUND(IF(D7=0,IF((N7-E7-O7)&gt;0,(N7-E7-O7),0),IF((D7+N7-O7)&gt;0,(D7+N7-O7),0)),2)</f>
        <v>2667.44</v>
      </c>
      <c r="Q7" s="14" t="n">
        <f aca="false">ROUND(IF(E7=0,IF((D7+N7-O7)&lt;0,ABS(D7+N7-O7),0),IF((N7-E7-O7)&lt;0,ABS(N7-E7-O7),0)),2)</f>
        <v>0</v>
      </c>
    </row>
    <row r="8" customFormat="false" ht="15" hidden="false" customHeight="true" outlineLevel="0" collapsed="false">
      <c r="A8" s="12" t="s">
        <v>22</v>
      </c>
      <c r="B8" s="12" t="str">
        <f aca="false">червень!B8</f>
        <v>Старикова Т.О.</v>
      </c>
      <c r="C8" s="12" t="s">
        <v>24</v>
      </c>
      <c r="D8" s="14" t="n">
        <f aca="false">червень!P8</f>
        <v>1198.26</v>
      </c>
      <c r="E8" s="14" t="n">
        <f aca="false">червень!Q8</f>
        <v>0</v>
      </c>
      <c r="F8" s="13" t="n">
        <f aca="false">червень!F8</f>
        <v>0</v>
      </c>
      <c r="G8" s="13" t="n">
        <f aca="false">червень!G8</f>
        <v>48.71</v>
      </c>
      <c r="H8" s="13" t="n">
        <f aca="false">червень!H8</f>
        <v>0</v>
      </c>
      <c r="I8" s="13" t="n">
        <f aca="false">червень!I8</f>
        <v>4.1</v>
      </c>
      <c r="J8" s="14" t="n">
        <f aca="false">ROUND(G8*I8,2)</f>
        <v>199.71</v>
      </c>
      <c r="K8" s="14"/>
      <c r="L8" s="14"/>
      <c r="M8" s="14"/>
      <c r="N8" s="14" t="n">
        <f aca="false">ROUND((G8*I8)-K8-L8-M8,2)</f>
        <v>199.71</v>
      </c>
      <c r="O8" s="14"/>
      <c r="P8" s="14" t="n">
        <f aca="false">ROUND(IF(D8=0,IF((N8-E8-O8)&gt;0,(N8-E8-O8),0),IF((D8+N8-O8)&gt;0,(D8+N8-O8),0)),2)</f>
        <v>1397.97</v>
      </c>
      <c r="Q8" s="14" t="n">
        <f aca="false">ROUND(IF(E8=0,IF((D8+N8-O8)&lt;0,ABS(D8+N8-O8),0),IF((N8-E8-O8)&lt;0,ABS(N8-E8-O8),0)),2)</f>
        <v>0</v>
      </c>
    </row>
    <row r="9" customFormat="false" ht="15" hidden="false" customHeight="true" outlineLevel="0" collapsed="false">
      <c r="A9" s="12" t="s">
        <v>25</v>
      </c>
      <c r="B9" s="12" t="str">
        <f aca="false">червень!B9</f>
        <v>Мазур Т.В.</v>
      </c>
      <c r="C9" s="12" t="s">
        <v>27</v>
      </c>
      <c r="D9" s="14" t="n">
        <f aca="false">червень!P9</f>
        <v>1004.5</v>
      </c>
      <c r="E9" s="14" t="n">
        <f aca="false">червень!Q9</f>
        <v>0</v>
      </c>
      <c r="F9" s="13" t="n">
        <f aca="false">червень!F9</f>
        <v>0</v>
      </c>
      <c r="G9" s="13" t="n">
        <f aca="false">червень!G9</f>
        <v>35</v>
      </c>
      <c r="H9" s="13" t="n">
        <f aca="false">червень!H9</f>
        <v>0</v>
      </c>
      <c r="I9" s="13" t="n">
        <f aca="false">червень!I9</f>
        <v>4.1</v>
      </c>
      <c r="J9" s="14" t="n">
        <f aca="false">ROUND(G9*I9,2)</f>
        <v>143.5</v>
      </c>
      <c r="K9" s="14"/>
      <c r="L9" s="14"/>
      <c r="M9" s="14"/>
      <c r="N9" s="14" t="n">
        <f aca="false">ROUND((G9*I9)-K9-L9-M9,2)</f>
        <v>143.5</v>
      </c>
      <c r="O9" s="14"/>
      <c r="P9" s="14" t="n">
        <f aca="false">ROUND(IF(D9=0,IF((N9-E9-O9)&gt;0,(N9-E9-O9),0),IF((D9+N9-O9)&gt;0,(D9+N9-O9),0)),2)</f>
        <v>1148</v>
      </c>
      <c r="Q9" s="14" t="n">
        <f aca="false">ROUND(IF(E9=0,IF((D9+N9-O9)&lt;0,ABS(D9+N9-O9),0),IF((N9-E9-O9)&lt;0,ABS(N9-E9-O9),0)),2)</f>
        <v>0</v>
      </c>
    </row>
    <row r="10" customFormat="false" ht="15" hidden="false" customHeight="true" outlineLevel="0" collapsed="false">
      <c r="A10" s="12" t="s">
        <v>28</v>
      </c>
      <c r="B10" s="12" t="str">
        <f aca="false">червень!B10</f>
        <v>Сокол О.В.</v>
      </c>
      <c r="C10" s="12" t="s">
        <v>30</v>
      </c>
      <c r="D10" s="14" t="n">
        <f aca="false">червень!P10</f>
        <v>1262.8</v>
      </c>
      <c r="E10" s="14" t="n">
        <f aca="false">червень!Q10</f>
        <v>0</v>
      </c>
      <c r="F10" s="13" t="n">
        <f aca="false">червень!F10</f>
        <v>0</v>
      </c>
      <c r="G10" s="13" t="n">
        <f aca="false">червень!G10</f>
        <v>61.6</v>
      </c>
      <c r="H10" s="13" t="n">
        <f aca="false">червень!H10</f>
        <v>0</v>
      </c>
      <c r="I10" s="13" t="n">
        <f aca="false">червень!I10</f>
        <v>4.1</v>
      </c>
      <c r="J10" s="14" t="n">
        <f aca="false">ROUND(G10*I10,2)</f>
        <v>252.56</v>
      </c>
      <c r="K10" s="14"/>
      <c r="L10" s="14"/>
      <c r="M10" s="14"/>
      <c r="N10" s="14" t="n">
        <f aca="false">ROUND((G10*I10)-K10-L10-M10,2)</f>
        <v>252.56</v>
      </c>
      <c r="O10" s="14"/>
      <c r="P10" s="14" t="n">
        <f aca="false">ROUND(IF(D10=0,IF((N10-E10-O10)&gt;0,(N10-E10-O10),0),IF((D10+N10-O10)&gt;0,(D10+N10-O10),0)),2)</f>
        <v>1515.36</v>
      </c>
      <c r="Q10" s="14" t="n">
        <f aca="false">ROUND(IF(E10=0,IF((D10+N10-O10)&lt;0,ABS(D10+N10-O10),0),IF((N10-E10-O10)&lt;0,ABS(N10-E10-O10),0)),2)</f>
        <v>0</v>
      </c>
    </row>
    <row r="11" customFormat="false" ht="15" hidden="false" customHeight="true" outlineLevel="0" collapsed="false">
      <c r="A11" s="12" t="s">
        <v>31</v>
      </c>
      <c r="B11" s="12" t="str">
        <f aca="false">червень!B11</f>
        <v>Семко Л.І.</v>
      </c>
      <c r="C11" s="12" t="s">
        <v>33</v>
      </c>
      <c r="D11" s="14" t="n">
        <f aca="false">червень!P11</f>
        <v>3341.01</v>
      </c>
      <c r="E11" s="14" t="n">
        <f aca="false">червень!Q11</f>
        <v>0</v>
      </c>
      <c r="F11" s="13" t="n">
        <f aca="false">червень!F11</f>
        <v>0</v>
      </c>
      <c r="G11" s="13" t="n">
        <f aca="false">червень!G11</f>
        <v>28.34</v>
      </c>
      <c r="H11" s="13" t="n">
        <f aca="false">червень!H11</f>
        <v>0</v>
      </c>
      <c r="I11" s="13" t="n">
        <f aca="false">червень!I11</f>
        <v>4.1</v>
      </c>
      <c r="J11" s="14" t="n">
        <f aca="false">ROUND(G11*I11,2)</f>
        <v>116.19</v>
      </c>
      <c r="K11" s="14"/>
      <c r="L11" s="14"/>
      <c r="M11" s="14"/>
      <c r="N11" s="14" t="n">
        <f aca="false">ROUND((G11*I11)-K11-L11-M11,2)</f>
        <v>116.19</v>
      </c>
      <c r="O11" s="14"/>
      <c r="P11" s="14" t="n">
        <f aca="false">ROUND(IF(D11=0,IF((N11-E11-O11)&gt;0,(N11-E11-O11),0),IF((D11+N11-O11)&gt;0,(D11+N11-O11),0)),2)</f>
        <v>3457.2</v>
      </c>
      <c r="Q11" s="14" t="n">
        <f aca="false">ROUND(IF(E11=0,IF((D11+N11-O11)&lt;0,ABS(D11+N11-O11),0),IF((N11-E11-O11)&lt;0,ABS(N11-E11-O11),0)),2)</f>
        <v>0</v>
      </c>
    </row>
    <row r="12" customFormat="false" ht="15" hidden="false" customHeight="true" outlineLevel="0" collapsed="false">
      <c r="A12" s="12" t="s">
        <v>31</v>
      </c>
      <c r="B12" s="12" t="str">
        <f aca="false">червень!B12</f>
        <v>Гаркуша Н.І.</v>
      </c>
      <c r="C12" s="12" t="s">
        <v>35</v>
      </c>
      <c r="D12" s="14" t="n">
        <f aca="false">червень!P12</f>
        <v>1711.12</v>
      </c>
      <c r="E12" s="14" t="n">
        <f aca="false">червень!Q12</f>
        <v>0</v>
      </c>
      <c r="F12" s="13" t="n">
        <f aca="false">червень!F12</f>
        <v>0</v>
      </c>
      <c r="G12" s="13" t="n">
        <f aca="false">червень!G12</f>
        <v>36.66</v>
      </c>
      <c r="H12" s="13" t="n">
        <f aca="false">червень!H12</f>
        <v>0</v>
      </c>
      <c r="I12" s="13" t="n">
        <f aca="false">червень!I12</f>
        <v>4.1</v>
      </c>
      <c r="J12" s="14" t="n">
        <f aca="false">ROUND(G12*I12,2)</f>
        <v>150.31</v>
      </c>
      <c r="K12" s="14"/>
      <c r="L12" s="14"/>
      <c r="M12" s="14"/>
      <c r="N12" s="14" t="n">
        <f aca="false">ROUND((G12*I12)-K12-L12-M12,2)</f>
        <v>150.31</v>
      </c>
      <c r="O12" s="14"/>
      <c r="P12" s="14" t="n">
        <f aca="false">ROUND(IF(D12=0,IF((N12-E12-O12)&gt;0,(N12-E12-O12),0),IF((D12+N12-O12)&gt;0,(D12+N12-O12),0)),2)</f>
        <v>1861.43</v>
      </c>
      <c r="Q12" s="14" t="n">
        <f aca="false">ROUND(IF(E12=0,IF((D12+N12-O12)&lt;0,ABS(D12+N12-O12),0),IF((N12-E12-O12)&lt;0,ABS(N12-E12-O12),0)),2)</f>
        <v>0</v>
      </c>
    </row>
    <row r="13" customFormat="false" ht="15" hidden="false" customHeight="true" outlineLevel="0" collapsed="false">
      <c r="A13" s="12" t="s">
        <v>36</v>
      </c>
      <c r="B13" s="12" t="str">
        <f aca="false">червень!B13</f>
        <v>Андріяшев В.М</v>
      </c>
      <c r="C13" s="12" t="s">
        <v>38</v>
      </c>
      <c r="D13" s="14" t="n">
        <f aca="false">червень!P13</f>
        <v>1359.64</v>
      </c>
      <c r="E13" s="14" t="n">
        <f aca="false">червень!Q13</f>
        <v>0</v>
      </c>
      <c r="F13" s="13" t="n">
        <f aca="false">червень!F13</f>
        <v>0</v>
      </c>
      <c r="G13" s="13" t="n">
        <f aca="false">червень!G13</f>
        <v>49.8</v>
      </c>
      <c r="H13" s="13" t="n">
        <f aca="false">червень!H13</f>
        <v>0</v>
      </c>
      <c r="I13" s="13" t="n">
        <f aca="false">червень!I13</f>
        <v>4.1</v>
      </c>
      <c r="J13" s="14" t="n">
        <f aca="false">ROUND(G13*I13,2)</f>
        <v>204.18</v>
      </c>
      <c r="K13" s="14"/>
      <c r="L13" s="14"/>
      <c r="M13" s="14"/>
      <c r="N13" s="14" t="n">
        <f aca="false">ROUND((G13*I13)-K13-L13-M13,2)</f>
        <v>204.18</v>
      </c>
      <c r="O13" s="14"/>
      <c r="P13" s="14" t="n">
        <f aca="false">ROUND(IF(D13=0,IF((N13-E13-O13)&gt;0,(N13-E13-O13),0),IF((D13+N13-O13)&gt;0,(D13+N13-O13),0)),2)</f>
        <v>1563.82</v>
      </c>
      <c r="Q13" s="14" t="n">
        <f aca="false">ROUND(IF(E13=0,IF((D13+N13-O13)&lt;0,ABS(D13+N13-O13),0),IF((N13-E13-O13)&lt;0,ABS(N13-E13-O13),0)),2)</f>
        <v>0</v>
      </c>
    </row>
    <row r="14" customFormat="false" ht="15" hidden="false" customHeight="true" outlineLevel="0" collapsed="false">
      <c r="A14" s="12" t="s">
        <v>39</v>
      </c>
      <c r="B14" s="12" t="str">
        <f aca="false">червень!B14</f>
        <v>Старчикова О.М.</v>
      </c>
      <c r="C14" s="12" t="s">
        <v>41</v>
      </c>
      <c r="D14" s="14" t="n">
        <f aca="false">червень!P14</f>
        <v>994.49</v>
      </c>
      <c r="E14" s="14" t="n">
        <f aca="false">червень!Q14</f>
        <v>0</v>
      </c>
      <c r="F14" s="13" t="n">
        <f aca="false">червень!F14</f>
        <v>0</v>
      </c>
      <c r="G14" s="13" t="n">
        <f aca="false">червень!G14</f>
        <v>34.65</v>
      </c>
      <c r="H14" s="13" t="n">
        <f aca="false">червень!H14</f>
        <v>0</v>
      </c>
      <c r="I14" s="13" t="n">
        <f aca="false">червень!I14</f>
        <v>4.1</v>
      </c>
      <c r="J14" s="14" t="n">
        <f aca="false">ROUND(G14*I14,2)</f>
        <v>142.07</v>
      </c>
      <c r="K14" s="14"/>
      <c r="L14" s="14"/>
      <c r="M14" s="14"/>
      <c r="N14" s="14" t="n">
        <f aca="false">ROUND((G14*I14)-K14-L14-M14,2)</f>
        <v>142.07</v>
      </c>
      <c r="O14" s="14"/>
      <c r="P14" s="14" t="n">
        <f aca="false">ROUND(IF(D14=0,IF((N14-E14-O14)&gt;0,(N14-E14-O14),0),IF((D14+N14-O14)&gt;0,(D14+N14-O14),0)),2)</f>
        <v>1136.56</v>
      </c>
      <c r="Q14" s="14" t="n">
        <f aca="false">ROUND(IF(E14=0,IF((D14+N14-O14)&lt;0,ABS(D14+N14-O14),0),IF((N14-E14-O14)&lt;0,ABS(N14-E14-O14),0)),2)</f>
        <v>0</v>
      </c>
    </row>
    <row r="15" customFormat="false" ht="15" hidden="false" customHeight="true" outlineLevel="0" collapsed="false">
      <c r="A15" s="12" t="s">
        <v>42</v>
      </c>
      <c r="B15" s="12" t="str">
        <f aca="false">червень!B15</f>
        <v>Безер Т.М</v>
      </c>
      <c r="C15" s="12" t="s">
        <v>44</v>
      </c>
      <c r="D15" s="14" t="n">
        <f aca="false">червень!P15</f>
        <v>1521.59</v>
      </c>
      <c r="E15" s="14" t="n">
        <f aca="false">червень!Q15</f>
        <v>0</v>
      </c>
      <c r="F15" s="13" t="n">
        <f aca="false">червень!F15</f>
        <v>0</v>
      </c>
      <c r="G15" s="13" t="n">
        <f aca="false">червень!G15</f>
        <v>62.14</v>
      </c>
      <c r="H15" s="13" t="n">
        <f aca="false">червень!H15</f>
        <v>0</v>
      </c>
      <c r="I15" s="13" t="n">
        <f aca="false">червень!I15</f>
        <v>4.1</v>
      </c>
      <c r="J15" s="14" t="n">
        <f aca="false">ROUND(G15*I15,2)</f>
        <v>254.77</v>
      </c>
      <c r="K15" s="14"/>
      <c r="L15" s="14"/>
      <c r="M15" s="14"/>
      <c r="N15" s="14" t="n">
        <f aca="false">ROUND((G15*I15)-K15-L15-M15,2)</f>
        <v>254.77</v>
      </c>
      <c r="O15" s="14"/>
      <c r="P15" s="14" t="n">
        <f aca="false">ROUND(IF(D15=0,IF((N15-E15-O15)&gt;0,(N15-E15-O15),0),IF((D15+N15-O15)&gt;0,(D15+N15-O15),0)),2)</f>
        <v>1776.36</v>
      </c>
      <c r="Q15" s="14" t="n">
        <f aca="false">ROUND(IF(E15=0,IF((D15+N15-O15)&lt;0,ABS(D15+N15-O15),0),IF((N15-E15-O15)&lt;0,ABS(N15-E15-O15),0)),2)</f>
        <v>0</v>
      </c>
    </row>
    <row r="16" customFormat="false" ht="15" hidden="false" customHeight="true" outlineLevel="0" collapsed="false">
      <c r="A16" s="12" t="s">
        <v>45</v>
      </c>
      <c r="B16" s="12" t="str">
        <f aca="false">червень!B16</f>
        <v>Решетило М.М</v>
      </c>
      <c r="C16" s="12" t="s">
        <v>47</v>
      </c>
      <c r="D16" s="14" t="n">
        <f aca="false">червень!P16</f>
        <v>2404.68</v>
      </c>
      <c r="E16" s="14" t="n">
        <f aca="false">червень!Q16</f>
        <v>0</v>
      </c>
      <c r="F16" s="13" t="n">
        <f aca="false">червень!F16</f>
        <v>0</v>
      </c>
      <c r="G16" s="13" t="n">
        <f aca="false">червень!G16</f>
        <v>65.16</v>
      </c>
      <c r="H16" s="13" t="n">
        <f aca="false">червень!H16</f>
        <v>0</v>
      </c>
      <c r="I16" s="13" t="n">
        <f aca="false">червень!I16</f>
        <v>4.1</v>
      </c>
      <c r="J16" s="14" t="n">
        <f aca="false">ROUND(G16*I16,2)</f>
        <v>267.16</v>
      </c>
      <c r="K16" s="14"/>
      <c r="L16" s="14"/>
      <c r="M16" s="14"/>
      <c r="N16" s="14" t="n">
        <f aca="false">ROUND((G16*I16)-K16-L16-M16,2)</f>
        <v>267.16</v>
      </c>
      <c r="O16" s="14"/>
      <c r="P16" s="14" t="n">
        <f aca="false">ROUND(IF(D16=0,IF((N16-E16-O16)&gt;0,(N16-E16-O16),0),IF((D16+N16-O16)&gt;0,(D16+N16-O16),0)),2)</f>
        <v>2671.84</v>
      </c>
      <c r="Q16" s="14" t="n">
        <f aca="false">ROUND(IF(E16=0,IF((D16+N16-O16)&lt;0,ABS(D16+N16-O16),0),IF((N16-E16-O16)&lt;0,ABS(N16-E16-O16),0)),2)</f>
        <v>0</v>
      </c>
    </row>
    <row r="17" customFormat="false" ht="15" hidden="false" customHeight="true" outlineLevel="0" collapsed="false">
      <c r="A17" s="12" t="s">
        <v>48</v>
      </c>
      <c r="B17" s="12" t="str">
        <f aca="false">червень!B17</f>
        <v>Фесенко О.В.</v>
      </c>
      <c r="C17" s="12" t="s">
        <v>50</v>
      </c>
      <c r="D17" s="14" t="n">
        <f aca="false">червень!P17</f>
        <v>6109.15</v>
      </c>
      <c r="E17" s="14" t="n">
        <f aca="false">червень!Q17</f>
        <v>0</v>
      </c>
      <c r="F17" s="13" t="n">
        <f aca="false">червень!F17</f>
        <v>0</v>
      </c>
      <c r="G17" s="13" t="n">
        <f aca="false">червень!G17</f>
        <v>50.1</v>
      </c>
      <c r="H17" s="13" t="n">
        <f aca="false">червень!H17</f>
        <v>0</v>
      </c>
      <c r="I17" s="13" t="n">
        <f aca="false">червень!I17</f>
        <v>4.1</v>
      </c>
      <c r="J17" s="14" t="n">
        <f aca="false">ROUND(G17*I17,2)</f>
        <v>205.41</v>
      </c>
      <c r="K17" s="14"/>
      <c r="L17" s="14"/>
      <c r="M17" s="14"/>
      <c r="N17" s="14" t="n">
        <f aca="false">ROUND((G17*I17)-K17-L17-M17,2)</f>
        <v>205.41</v>
      </c>
      <c r="O17" s="14"/>
      <c r="P17" s="14" t="n">
        <f aca="false">ROUND(IF(D17=0,IF((N17-E17-O17)&gt;0,(N17-E17-O17),0),IF((D17+N17-O17)&gt;0,(D17+N17-O17),0)),2)</f>
        <v>6314.56</v>
      </c>
      <c r="Q17" s="14" t="n">
        <f aca="false">ROUND(IF(E17=0,IF((D17+N17-O17)&lt;0,ABS(D17+N17-O17),0),IF((N17-E17-O17)&lt;0,ABS(N17-E17-O17),0)),2)</f>
        <v>0</v>
      </c>
    </row>
    <row r="18" customFormat="false" ht="15" hidden="false" customHeight="true" outlineLevel="0" collapsed="false">
      <c r="A18" s="12" t="s">
        <v>51</v>
      </c>
      <c r="B18" s="12" t="str">
        <f aca="false">червень!B18</f>
        <v>Петренко О.М.</v>
      </c>
      <c r="C18" s="12" t="s">
        <v>53</v>
      </c>
      <c r="D18" s="14" t="n">
        <f aca="false">червень!P18</f>
        <v>2414.12</v>
      </c>
      <c r="E18" s="14" t="n">
        <f aca="false">червень!Q18</f>
        <v>0</v>
      </c>
      <c r="F18" s="13" t="n">
        <f aca="false">червень!F18</f>
        <v>0</v>
      </c>
      <c r="G18" s="13" t="n">
        <f aca="false">червень!G18</f>
        <v>35.2</v>
      </c>
      <c r="H18" s="13" t="n">
        <f aca="false">червень!H18</f>
        <v>0</v>
      </c>
      <c r="I18" s="13" t="n">
        <f aca="false">червень!I18</f>
        <v>4.1</v>
      </c>
      <c r="J18" s="14" t="n">
        <f aca="false">ROUND(G18*I18,2)</f>
        <v>144.32</v>
      </c>
      <c r="K18" s="14"/>
      <c r="L18" s="14"/>
      <c r="M18" s="14"/>
      <c r="N18" s="14" t="n">
        <f aca="false">ROUND((G18*I18)-K18-L18-M18,2)</f>
        <v>144.32</v>
      </c>
      <c r="O18" s="14"/>
      <c r="P18" s="14" t="n">
        <f aca="false">ROUND(IF(D18=0,IF((N18-E18-O18)&gt;0,(N18-E18-O18),0),IF((D18+N18-O18)&gt;0,(D18+N18-O18),0)),2)</f>
        <v>2558.44</v>
      </c>
      <c r="Q18" s="14" t="n">
        <f aca="false">ROUND(IF(E18=0,IF((D18+N18-O18)&lt;0,ABS(D18+N18-O18),0),IF((N18-E18-O18)&lt;0,ABS(N18-E18-O18),0)),2)</f>
        <v>0</v>
      </c>
    </row>
    <row r="19" customFormat="false" ht="15" hidden="false" customHeight="true" outlineLevel="0" collapsed="false">
      <c r="A19" s="12" t="s">
        <v>54</v>
      </c>
      <c r="B19" s="12" t="str">
        <f aca="false">червень!B19</f>
        <v>Зеленюк А.Д</v>
      </c>
      <c r="C19" s="12" t="s">
        <v>56</v>
      </c>
      <c r="D19" s="14" t="n">
        <f aca="false">червень!P19</f>
        <v>13724.01</v>
      </c>
      <c r="E19" s="14" t="n">
        <f aca="false">червень!Q19</f>
        <v>0</v>
      </c>
      <c r="F19" s="13" t="n">
        <f aca="false">червень!F19</f>
        <v>0</v>
      </c>
      <c r="G19" s="13" t="n">
        <f aca="false">червень!G19</f>
        <v>62.78</v>
      </c>
      <c r="H19" s="13" t="n">
        <f aca="false">червень!H19</f>
        <v>0</v>
      </c>
      <c r="I19" s="13" t="n">
        <f aca="false">червень!I19</f>
        <v>4.1</v>
      </c>
      <c r="J19" s="14" t="n">
        <f aca="false">ROUND(G19*I19,2)</f>
        <v>257.4</v>
      </c>
      <c r="K19" s="14"/>
      <c r="L19" s="14"/>
      <c r="M19" s="14"/>
      <c r="N19" s="14" t="n">
        <f aca="false">ROUND((G19*I19)-K19-L19-M19,2)</f>
        <v>257.4</v>
      </c>
      <c r="O19" s="14"/>
      <c r="P19" s="14" t="n">
        <f aca="false">ROUND(IF(D19=0,IF((N19-E19-O19)&gt;0,(N19-E19-O19),0),IF((D19+N19-O19)&gt;0,(D19+N19-O19),0)),2)</f>
        <v>13981.41</v>
      </c>
      <c r="Q19" s="14" t="n">
        <f aca="false">ROUND(IF(E19=0,IF((D19+N19-O19)&lt;0,ABS(D19+N19-O19),0),IF((N19-E19-O19)&lt;0,ABS(N19-E19-O19),0)),2)</f>
        <v>0</v>
      </c>
    </row>
    <row r="20" customFormat="false" ht="15" hidden="false" customHeight="true" outlineLevel="0" collapsed="false">
      <c r="A20" s="12" t="s">
        <v>57</v>
      </c>
      <c r="B20" s="12" t="str">
        <f aca="false">червень!B20</f>
        <v>Вовк І.В</v>
      </c>
      <c r="C20" s="12" t="s">
        <v>59</v>
      </c>
      <c r="D20" s="14" t="n">
        <f aca="false">червень!P20</f>
        <v>5893.5</v>
      </c>
      <c r="E20" s="14" t="n">
        <f aca="false">червень!Q20</f>
        <v>0</v>
      </c>
      <c r="F20" s="13" t="n">
        <f aca="false">червень!F20</f>
        <v>0</v>
      </c>
      <c r="G20" s="13" t="n">
        <f aca="false">червень!G20</f>
        <v>28.23</v>
      </c>
      <c r="H20" s="13" t="n">
        <f aca="false">червень!H20</f>
        <v>0</v>
      </c>
      <c r="I20" s="13" t="n">
        <f aca="false">червень!I20</f>
        <v>4.1</v>
      </c>
      <c r="J20" s="14" t="n">
        <f aca="false">ROUND(G20*I20,2)</f>
        <v>115.74</v>
      </c>
      <c r="K20" s="14"/>
      <c r="L20" s="14"/>
      <c r="M20" s="14"/>
      <c r="N20" s="14" t="n">
        <f aca="false">ROUND((G20*I20)-K20-L20-M20,2)</f>
        <v>115.74</v>
      </c>
      <c r="O20" s="14"/>
      <c r="P20" s="14" t="n">
        <f aca="false">ROUND(IF(D20=0,IF((N20-E20-O20)&gt;0,(N20-E20-O20),0),IF((D20+N20-O20)&gt;0,(D20+N20-O20),0)),2)</f>
        <v>6009.24</v>
      </c>
      <c r="Q20" s="14" t="n">
        <f aca="false">ROUND(IF(E20=0,IF((D20+N20-O20)&lt;0,ABS(D20+N20-O20),0),IF((N20-E20-O20)&lt;0,ABS(N20-E20-O20),0)),2)</f>
        <v>0</v>
      </c>
    </row>
    <row r="21" customFormat="false" ht="15" hidden="false" customHeight="true" outlineLevel="0" collapsed="false">
      <c r="A21" s="12" t="s">
        <v>57</v>
      </c>
      <c r="B21" s="12" t="str">
        <f aca="false">червень!B21</f>
        <v>Романовський В.М</v>
      </c>
      <c r="C21" s="12" t="s">
        <v>61</v>
      </c>
      <c r="D21" s="14" t="n">
        <f aca="false">червень!P21</f>
        <v>6382.52</v>
      </c>
      <c r="E21" s="14" t="n">
        <f aca="false">червень!Q21</f>
        <v>0</v>
      </c>
      <c r="F21" s="13" t="n">
        <f aca="false">червень!F21</f>
        <v>0</v>
      </c>
      <c r="G21" s="13" t="n">
        <f aca="false">червень!G21</f>
        <v>37.84</v>
      </c>
      <c r="H21" s="13" t="n">
        <f aca="false">червень!H21</f>
        <v>0</v>
      </c>
      <c r="I21" s="13" t="n">
        <f aca="false">червень!I21</f>
        <v>4.1</v>
      </c>
      <c r="J21" s="14" t="n">
        <f aca="false">ROUND(G21*I21,2)</f>
        <v>155.14</v>
      </c>
      <c r="K21" s="14"/>
      <c r="L21" s="14"/>
      <c r="M21" s="14"/>
      <c r="N21" s="14" t="n">
        <f aca="false">ROUND((G21*I21)-K21-L21-M21,2)</f>
        <v>155.14</v>
      </c>
      <c r="O21" s="14"/>
      <c r="P21" s="14" t="n">
        <f aca="false">ROUND(IF(D21=0,IF((N21-E21-O21)&gt;0,(N21-E21-O21),0),IF((D21+N21-O21)&gt;0,(D21+N21-O21),0)),2)</f>
        <v>6537.66</v>
      </c>
      <c r="Q21" s="14" t="n">
        <f aca="false">ROUND(IF(E21=0,IF((D21+N21-O21)&lt;0,ABS(D21+N21-O21),0),IF((N21-E21-O21)&lt;0,ABS(N21-E21-O21),0)),2)</f>
        <v>0</v>
      </c>
    </row>
    <row r="22" customFormat="false" ht="15" hidden="false" customHeight="true" outlineLevel="0" collapsed="false">
      <c r="A22" s="12" t="s">
        <v>62</v>
      </c>
      <c r="B22" s="12" t="str">
        <f aca="false">червень!B22</f>
        <v>Ряба Л.І</v>
      </c>
      <c r="C22" s="12" t="s">
        <v>64</v>
      </c>
      <c r="D22" s="14" t="n">
        <f aca="false">червень!P22</f>
        <v>1277.84</v>
      </c>
      <c r="E22" s="14" t="n">
        <f aca="false">червень!Q22</f>
        <v>0</v>
      </c>
      <c r="F22" s="13" t="n">
        <f aca="false">червень!F22</f>
        <v>0</v>
      </c>
      <c r="G22" s="13" t="n">
        <f aca="false">червень!G22</f>
        <v>49.24</v>
      </c>
      <c r="H22" s="13" t="n">
        <f aca="false">червень!H22</f>
        <v>0</v>
      </c>
      <c r="I22" s="13" t="n">
        <f aca="false">червень!I22</f>
        <v>4.1</v>
      </c>
      <c r="J22" s="14" t="n">
        <f aca="false">ROUND(G22*I22,2)</f>
        <v>201.88</v>
      </c>
      <c r="K22" s="14"/>
      <c r="L22" s="14"/>
      <c r="M22" s="14"/>
      <c r="N22" s="14" t="n">
        <f aca="false">ROUND((G22*I22)-K22-L22-M22,2)</f>
        <v>201.88</v>
      </c>
      <c r="O22" s="14"/>
      <c r="P22" s="14" t="n">
        <f aca="false">ROUND(IF(D22=0,IF((N22-E22-O22)&gt;0,(N22-E22-O22),0),IF((D22+N22-O22)&gt;0,(D22+N22-O22),0)),2)</f>
        <v>1479.72</v>
      </c>
      <c r="Q22" s="14" t="n">
        <f aca="false">ROUND(IF(E22=0,IF((D22+N22-O22)&lt;0,ABS(D22+N22-O22),0),IF((N22-E22-O22)&lt;0,ABS(N22-E22-O22),0)),2)</f>
        <v>0</v>
      </c>
    </row>
    <row r="23" customFormat="false" ht="15" hidden="false" customHeight="true" outlineLevel="0" collapsed="false">
      <c r="A23" s="12" t="s">
        <v>65</v>
      </c>
      <c r="B23" s="12" t="str">
        <f aca="false">червень!B23</f>
        <v>Кас'янова О.А.</v>
      </c>
      <c r="C23" s="12" t="s">
        <v>67</v>
      </c>
      <c r="D23" s="14" t="n">
        <f aca="false">червень!P23</f>
        <v>1299.26</v>
      </c>
      <c r="E23" s="14" t="n">
        <f aca="false">червень!Q23</f>
        <v>0</v>
      </c>
      <c r="F23" s="13" t="n">
        <f aca="false">червень!F23</f>
        <v>0</v>
      </c>
      <c r="G23" s="13" t="n">
        <f aca="false">червень!G23</f>
        <v>35.1</v>
      </c>
      <c r="H23" s="13" t="n">
        <f aca="false">червень!H23</f>
        <v>0</v>
      </c>
      <c r="I23" s="13" t="n">
        <f aca="false">червень!I23</f>
        <v>4.1</v>
      </c>
      <c r="J23" s="14" t="n">
        <f aca="false">ROUND(G23*I23,2)</f>
        <v>143.91</v>
      </c>
      <c r="K23" s="14"/>
      <c r="L23" s="14"/>
      <c r="M23" s="14"/>
      <c r="N23" s="14" t="n">
        <f aca="false">ROUND((G23*I23)-K23-L23-M23,2)</f>
        <v>143.91</v>
      </c>
      <c r="O23" s="14"/>
      <c r="P23" s="14" t="n">
        <f aca="false">ROUND(IF(D23=0,IF((N23-E23-O23)&gt;0,(N23-E23-O23),0),IF((D23+N23-O23)&gt;0,(D23+N23-O23),0)),2)</f>
        <v>1443.17</v>
      </c>
      <c r="Q23" s="14" t="n">
        <f aca="false">ROUND(IF(E23=0,IF((D23+N23-O23)&lt;0,ABS(D23+N23-O23),0),IF((N23-E23-O23)&lt;0,ABS(N23-E23-O23),0)),2)</f>
        <v>0</v>
      </c>
    </row>
    <row r="24" customFormat="false" ht="15" hidden="false" customHeight="true" outlineLevel="0" collapsed="false">
      <c r="A24" s="12" t="s">
        <v>68</v>
      </c>
      <c r="B24" s="12" t="str">
        <f aca="false">червень!B24</f>
        <v>Корякіна М.В.</v>
      </c>
      <c r="C24" s="12" t="s">
        <v>70</v>
      </c>
      <c r="D24" s="14" t="n">
        <f aca="false">червень!P24</f>
        <v>6222.74</v>
      </c>
      <c r="E24" s="14" t="n">
        <f aca="false">червень!Q24</f>
        <v>0</v>
      </c>
      <c r="F24" s="13" t="n">
        <f aca="false">червень!F24</f>
        <v>0</v>
      </c>
      <c r="G24" s="13" t="n">
        <f aca="false">червень!G24</f>
        <v>61.9</v>
      </c>
      <c r="H24" s="13" t="n">
        <f aca="false">червень!H24</f>
        <v>0</v>
      </c>
      <c r="I24" s="13" t="n">
        <f aca="false">червень!I24</f>
        <v>4.1</v>
      </c>
      <c r="J24" s="14" t="n">
        <f aca="false">ROUND(G24*I24,2)</f>
        <v>253.79</v>
      </c>
      <c r="K24" s="14"/>
      <c r="L24" s="14"/>
      <c r="M24" s="14"/>
      <c r="N24" s="14" t="n">
        <f aca="false">ROUND((G24*I24)-K24-L24-M24,2)</f>
        <v>253.79</v>
      </c>
      <c r="O24" s="14"/>
      <c r="P24" s="14" t="n">
        <f aca="false">ROUND(IF(D24=0,IF((N24-E24-O24)&gt;0,(N24-E24-O24),0),IF((D24+N24-O24)&gt;0,(D24+N24-O24),0)),2)</f>
        <v>6476.53</v>
      </c>
      <c r="Q24" s="14" t="n">
        <f aca="false">ROUND(IF(E24=0,IF((D24+N24-O24)&lt;0,ABS(D24+N24-O24),0),IF((N24-E24-O24)&lt;0,ABS(N24-E24-O24),0)),2)</f>
        <v>0</v>
      </c>
    </row>
    <row r="25" customFormat="false" ht="15" hidden="false" customHeight="true" outlineLevel="0" collapsed="false">
      <c r="A25" s="12" t="s">
        <v>71</v>
      </c>
      <c r="B25" s="12" t="str">
        <f aca="false">червень!B25</f>
        <v>Сокерчак А.В.</v>
      </c>
      <c r="C25" s="12" t="s">
        <v>73</v>
      </c>
      <c r="D25" s="14" t="n">
        <f aca="false">червень!P25</f>
        <v>1902.81</v>
      </c>
      <c r="E25" s="14" t="n">
        <f aca="false">червень!Q25</f>
        <v>0</v>
      </c>
      <c r="F25" s="13" t="n">
        <f aca="false">червень!F25</f>
        <v>0</v>
      </c>
      <c r="G25" s="13" t="n">
        <f aca="false">червень!G25</f>
        <v>66.3</v>
      </c>
      <c r="H25" s="13" t="n">
        <f aca="false">червень!H25</f>
        <v>0</v>
      </c>
      <c r="I25" s="13" t="n">
        <f aca="false">червень!I25</f>
        <v>4.1</v>
      </c>
      <c r="J25" s="14" t="n">
        <f aca="false">ROUND(G25*I25,2)</f>
        <v>271.83</v>
      </c>
      <c r="K25" s="14"/>
      <c r="L25" s="14"/>
      <c r="M25" s="14"/>
      <c r="N25" s="14" t="n">
        <f aca="false">ROUND((G25*I25)-K25-L25-M25,2)</f>
        <v>271.83</v>
      </c>
      <c r="O25" s="14"/>
      <c r="P25" s="14" t="n">
        <f aca="false">ROUND(IF(D25=0,IF((N25-E25-O25)&gt;0,(N25-E25-O25),0),IF((D25+N25-O25)&gt;0,(D25+N25-O25),0)),2)</f>
        <v>2174.64</v>
      </c>
      <c r="Q25" s="14" t="n">
        <f aca="false">ROUND(IF(E25=0,IF((D25+N25-O25)&lt;0,ABS(D25+N25-O25),0),IF((N25-E25-O25)&lt;0,ABS(N25-E25-O25),0)),2)</f>
        <v>0</v>
      </c>
    </row>
    <row r="26" customFormat="false" ht="15" hidden="false" customHeight="true" outlineLevel="0" collapsed="false">
      <c r="A26" s="12" t="s">
        <v>74</v>
      </c>
      <c r="B26" s="12" t="str">
        <f aca="false">червень!B26</f>
        <v>Кравченко В.А</v>
      </c>
      <c r="C26" s="12" t="s">
        <v>76</v>
      </c>
      <c r="D26" s="14" t="n">
        <f aca="false">червень!P26</f>
        <v>1266.42</v>
      </c>
      <c r="E26" s="14" t="n">
        <f aca="false">червень!Q26</f>
        <v>0</v>
      </c>
      <c r="F26" s="13" t="n">
        <f aca="false">червень!F26</f>
        <v>0</v>
      </c>
      <c r="G26" s="13" t="n">
        <f aca="false">червень!G26</f>
        <v>51.48</v>
      </c>
      <c r="H26" s="13" t="n">
        <f aca="false">червень!H26</f>
        <v>0</v>
      </c>
      <c r="I26" s="13" t="n">
        <f aca="false">червень!I26</f>
        <v>4.1</v>
      </c>
      <c r="J26" s="14" t="n">
        <f aca="false">ROUND(G26*I26,2)</f>
        <v>211.07</v>
      </c>
      <c r="K26" s="14"/>
      <c r="L26" s="14"/>
      <c r="M26" s="14"/>
      <c r="N26" s="14" t="n">
        <f aca="false">ROUND((G26*I26)-K26-L26-M26,2)</f>
        <v>211.07</v>
      </c>
      <c r="O26" s="14"/>
      <c r="P26" s="14" t="n">
        <f aca="false">ROUND(IF(D26=0,IF((N26-E26-O26)&gt;0,(N26-E26-O26),0),IF((D26+N26-O26)&gt;0,(D26+N26-O26),0)),2)</f>
        <v>1477.49</v>
      </c>
      <c r="Q26" s="14" t="n">
        <f aca="false">ROUND(IF(E26=0,IF((D26+N26-O26)&lt;0,ABS(D26+N26-O26),0),IF((N26-E26-O26)&lt;0,ABS(N26-E26-O26),0)),2)</f>
        <v>0</v>
      </c>
    </row>
    <row r="27" customFormat="false" ht="15" hidden="false" customHeight="true" outlineLevel="0" collapsed="false">
      <c r="A27" s="12" t="s">
        <v>77</v>
      </c>
      <c r="B27" s="12" t="str">
        <f aca="false">червень!B27</f>
        <v>Чичикало А.С</v>
      </c>
      <c r="C27" s="12" t="s">
        <v>79</v>
      </c>
      <c r="D27" s="14" t="n">
        <f aca="false">червень!P27</f>
        <v>292.6</v>
      </c>
      <c r="E27" s="14" t="n">
        <f aca="false">червень!Q27</f>
        <v>0</v>
      </c>
      <c r="F27" s="13" t="n">
        <f aca="false">червень!F27</f>
        <v>0</v>
      </c>
      <c r="G27" s="13" t="n">
        <f aca="false">червень!G27</f>
        <v>35.1</v>
      </c>
      <c r="H27" s="13" t="n">
        <f aca="false">червень!H27</f>
        <v>0</v>
      </c>
      <c r="I27" s="13" t="n">
        <f aca="false">червень!I27</f>
        <v>4.1</v>
      </c>
      <c r="J27" s="14" t="n">
        <f aca="false">ROUND(G27*I27,2)</f>
        <v>143.91</v>
      </c>
      <c r="K27" s="14"/>
      <c r="L27" s="14"/>
      <c r="M27" s="14"/>
      <c r="N27" s="14" t="n">
        <f aca="false">ROUND((G27*I27)-K27-L27-M27,2)</f>
        <v>143.91</v>
      </c>
      <c r="O27" s="14"/>
      <c r="P27" s="14" t="n">
        <f aca="false">ROUND(IF(D27=0,IF((N27-E27-O27)&gt;0,(N27-E27-O27),0),IF((D27+N27-O27)&gt;0,(D27+N27-O27),0)),2)</f>
        <v>436.51</v>
      </c>
      <c r="Q27" s="14" t="n">
        <f aca="false">ROUND(IF(E27=0,IF((D27+N27-O27)&lt;0,ABS(D27+N27-O27),0),IF((N27-E27-O27)&lt;0,ABS(N27-E27-O27),0)),2)</f>
        <v>0</v>
      </c>
    </row>
    <row r="28" customFormat="false" ht="15" hidden="false" customHeight="true" outlineLevel="0" collapsed="false">
      <c r="A28" s="12" t="s">
        <v>80</v>
      </c>
      <c r="B28" s="12" t="str">
        <f aca="false">червень!B28</f>
        <v>Сільващук А.А</v>
      </c>
      <c r="C28" s="12" t="s">
        <v>82</v>
      </c>
      <c r="D28" s="14" t="n">
        <f aca="false">червень!P28</f>
        <v>1542.42</v>
      </c>
      <c r="E28" s="14" t="n">
        <f aca="false">червень!Q28</f>
        <v>0</v>
      </c>
      <c r="F28" s="13" t="n">
        <f aca="false">червень!F28</f>
        <v>0</v>
      </c>
      <c r="G28" s="13" t="n">
        <f aca="false">червень!G28</f>
        <v>62.7</v>
      </c>
      <c r="H28" s="13" t="n">
        <f aca="false">червень!H28</f>
        <v>0</v>
      </c>
      <c r="I28" s="13" t="n">
        <f aca="false">червень!I28</f>
        <v>4.1</v>
      </c>
      <c r="J28" s="14" t="n">
        <f aca="false">ROUND(G28*I28,2)</f>
        <v>257.07</v>
      </c>
      <c r="K28" s="14"/>
      <c r="L28" s="14"/>
      <c r="M28" s="14"/>
      <c r="N28" s="14" t="n">
        <f aca="false">ROUND((G28*I28)-K28-L28-M28,2)</f>
        <v>257.07</v>
      </c>
      <c r="O28" s="14"/>
      <c r="P28" s="14" t="n">
        <f aca="false">ROUND(IF(D28=0,IF((N28-E28-O28)&gt;0,(N28-E28-O28),0),IF((D28+N28-O28)&gt;0,(D28+N28-O28),0)),2)</f>
        <v>1799.49</v>
      </c>
      <c r="Q28" s="14" t="n">
        <f aca="false">ROUND(IF(E28=0,IF((D28+N28-O28)&lt;0,ABS(D28+N28-O28),0),IF((N28-E28-O28)&lt;0,ABS(N28-E28-O28),0)),2)</f>
        <v>0</v>
      </c>
    </row>
    <row r="29" customFormat="false" ht="15" hidden="false" customHeight="true" outlineLevel="0" collapsed="false">
      <c r="A29" s="12" t="s">
        <v>83</v>
      </c>
      <c r="B29" s="12" t="str">
        <f aca="false">червень!B29</f>
        <v>Стеценко Г.М</v>
      </c>
      <c r="C29" s="12" t="s">
        <v>85</v>
      </c>
      <c r="D29" s="14" t="n">
        <f aca="false">червень!P29</f>
        <v>1874.67</v>
      </c>
      <c r="E29" s="14" t="n">
        <f aca="false">червень!Q29</f>
        <v>0</v>
      </c>
      <c r="F29" s="13" t="n">
        <f aca="false">червень!F29</f>
        <v>0</v>
      </c>
      <c r="G29" s="13" t="n">
        <f aca="false">червень!G29</f>
        <v>65.32</v>
      </c>
      <c r="H29" s="13" t="n">
        <f aca="false">червень!H29</f>
        <v>0</v>
      </c>
      <c r="I29" s="13" t="n">
        <f aca="false">червень!I29</f>
        <v>4.1</v>
      </c>
      <c r="J29" s="14" t="n">
        <f aca="false">ROUND(G29*I29,2)</f>
        <v>267.81</v>
      </c>
      <c r="K29" s="14"/>
      <c r="L29" s="14"/>
      <c r="M29" s="14"/>
      <c r="N29" s="14" t="n">
        <f aca="false">ROUND((G29*I29)-K29-L29-M29,2)</f>
        <v>267.81</v>
      </c>
      <c r="O29" s="14"/>
      <c r="P29" s="14" t="n">
        <f aca="false">ROUND(IF(D29=0,IF((N29-E29-O29)&gt;0,(N29-E29-O29),0),IF((D29+N29-O29)&gt;0,(D29+N29-O29),0)),2)</f>
        <v>2142.48</v>
      </c>
      <c r="Q29" s="14" t="n">
        <f aca="false">ROUND(IF(E29=0,IF((D29+N29-O29)&lt;0,ABS(D29+N29-O29),0),IF((N29-E29-O29)&lt;0,ABS(N29-E29-O29),0)),2)</f>
        <v>0</v>
      </c>
    </row>
    <row r="30" customFormat="false" ht="15" hidden="false" customHeight="true" outlineLevel="0" collapsed="false">
      <c r="A30" s="12" t="s">
        <v>86</v>
      </c>
      <c r="B30" s="12" t="str">
        <f aca="false">червень!B30</f>
        <v>Кирдячкіна П.А</v>
      </c>
      <c r="C30" s="12" t="s">
        <v>88</v>
      </c>
      <c r="D30" s="14" t="n">
        <f aca="false">червень!P30</f>
        <v>1172.1</v>
      </c>
      <c r="E30" s="14" t="n">
        <f aca="false">червень!Q30</f>
        <v>0</v>
      </c>
      <c r="F30" s="13" t="n">
        <f aca="false">червень!F30</f>
        <v>0</v>
      </c>
      <c r="G30" s="13" t="n">
        <f aca="false">червень!G30</f>
        <v>49.7</v>
      </c>
      <c r="H30" s="13" t="n">
        <f aca="false">червень!H30</f>
        <v>0</v>
      </c>
      <c r="I30" s="13" t="n">
        <f aca="false">червень!I30</f>
        <v>4.1</v>
      </c>
      <c r="J30" s="14" t="n">
        <f aca="false">ROUND(G30*I30,2)</f>
        <v>203.77</v>
      </c>
      <c r="K30" s="14"/>
      <c r="L30" s="14"/>
      <c r="M30" s="14"/>
      <c r="N30" s="14" t="n">
        <f aca="false">ROUND((G30*I30)-K30-L30-M30,2)</f>
        <v>203.77</v>
      </c>
      <c r="O30" s="14"/>
      <c r="P30" s="14" t="n">
        <f aca="false">ROUND(IF(D30=0,IF((N30-E30-O30)&gt;0,(N30-E30-O30),0),IF((D30+N30-O30)&gt;0,(D30+N30-O30),0)),2)</f>
        <v>1375.87</v>
      </c>
      <c r="Q30" s="14" t="n">
        <f aca="false">ROUND(IF(E30=0,IF((D30+N30-O30)&lt;0,ABS(D30+N30-O30),0),IF((N30-E30-O30)&lt;0,ABS(N30-E30-O30),0)),2)</f>
        <v>0</v>
      </c>
    </row>
    <row r="31" customFormat="false" ht="15" hidden="false" customHeight="true" outlineLevel="0" collapsed="false">
      <c r="A31" s="12" t="s">
        <v>89</v>
      </c>
      <c r="B31" s="12" t="str">
        <f aca="false">червень!B31</f>
        <v>Фоміченко Л.А</v>
      </c>
      <c r="C31" s="12" t="s">
        <v>91</v>
      </c>
      <c r="D31" s="14" t="n">
        <f aca="false">червень!P31</f>
        <v>4544.22</v>
      </c>
      <c r="E31" s="14" t="n">
        <f aca="false">червень!Q31</f>
        <v>0</v>
      </c>
      <c r="F31" s="13" t="n">
        <f aca="false">червень!F31</f>
        <v>0</v>
      </c>
      <c r="G31" s="13" t="n">
        <f aca="false">червень!G31</f>
        <v>35.1</v>
      </c>
      <c r="H31" s="13" t="n">
        <f aca="false">червень!H31</f>
        <v>0</v>
      </c>
      <c r="I31" s="13" t="n">
        <f aca="false">червень!I31</f>
        <v>4.1</v>
      </c>
      <c r="J31" s="14" t="n">
        <f aca="false">ROUND(G31*I31,2)</f>
        <v>143.91</v>
      </c>
      <c r="K31" s="14"/>
      <c r="L31" s="14"/>
      <c r="M31" s="14"/>
      <c r="N31" s="14" t="n">
        <f aca="false">ROUND((G31*I31)-K31-L31-M31,2)</f>
        <v>143.91</v>
      </c>
      <c r="O31" s="14"/>
      <c r="P31" s="14" t="n">
        <f aca="false">ROUND(IF(D31=0,IF((N31-E31-O31)&gt;0,(N31-E31-O31),0),IF((D31+N31-O31)&gt;0,(D31+N31-O31),0)),2)</f>
        <v>4688.13</v>
      </c>
      <c r="Q31" s="14" t="n">
        <f aca="false">ROUND(IF(E31=0,IF((D31+N31-O31)&lt;0,ABS(D31+N31-O31),0),IF((N31-E31-O31)&lt;0,ABS(N31-E31-O31),0)),2)</f>
        <v>0</v>
      </c>
    </row>
    <row r="32" customFormat="false" ht="15" hidden="false" customHeight="true" outlineLevel="0" collapsed="false">
      <c r="A32" s="12" t="s">
        <v>92</v>
      </c>
      <c r="B32" s="12" t="str">
        <f aca="false">червень!B32</f>
        <v>Сердюк А.Г</v>
      </c>
      <c r="C32" s="12" t="s">
        <v>94</v>
      </c>
      <c r="D32" s="14" t="n">
        <f aca="false">червень!P32</f>
        <v>1788.24</v>
      </c>
      <c r="E32" s="14" t="n">
        <f aca="false">червень!Q32</f>
        <v>0</v>
      </c>
      <c r="F32" s="13" t="n">
        <f aca="false">червень!F32</f>
        <v>0</v>
      </c>
      <c r="G32" s="13" t="n">
        <f aca="false">червень!G32</f>
        <v>62.31</v>
      </c>
      <c r="H32" s="13" t="n">
        <f aca="false">червень!H32</f>
        <v>0</v>
      </c>
      <c r="I32" s="13" t="n">
        <f aca="false">червень!I32</f>
        <v>4.1</v>
      </c>
      <c r="J32" s="14" t="n">
        <f aca="false">ROUND(G32*I32,2)</f>
        <v>255.47</v>
      </c>
      <c r="K32" s="14"/>
      <c r="L32" s="14"/>
      <c r="M32" s="14"/>
      <c r="N32" s="14" t="n">
        <f aca="false">ROUND((G32*I32)-K32-L32-M32,2)</f>
        <v>255.47</v>
      </c>
      <c r="O32" s="14"/>
      <c r="P32" s="14" t="n">
        <f aca="false">ROUND(IF(D32=0,IF((N32-E32-O32)&gt;0,(N32-E32-O32),0),IF((D32+N32-O32)&gt;0,(D32+N32-O32),0)),2)</f>
        <v>2043.71</v>
      </c>
      <c r="Q32" s="14" t="n">
        <f aca="false">ROUND(IF(E32=0,IF((D32+N32-O32)&lt;0,ABS(D32+N32-O32),0),IF((N32-E32-O32)&lt;0,ABS(N32-E32-O32),0)),2)</f>
        <v>0</v>
      </c>
    </row>
    <row r="33" customFormat="false" ht="15" hidden="false" customHeight="true" outlineLevel="0" collapsed="false">
      <c r="A33" s="12" t="s">
        <v>95</v>
      </c>
      <c r="B33" s="12" t="str">
        <f aca="false">червень!B33</f>
        <v>Михальченко Г.М</v>
      </c>
      <c r="C33" s="12" t="s">
        <v>97</v>
      </c>
      <c r="D33" s="14" t="n">
        <f aca="false">червень!P33</f>
        <v>13987.2</v>
      </c>
      <c r="E33" s="14" t="n">
        <f aca="false">червень!Q33</f>
        <v>0</v>
      </c>
      <c r="F33" s="13" t="n">
        <f aca="false">червень!F33</f>
        <v>0</v>
      </c>
      <c r="G33" s="13" t="n">
        <f aca="false">червень!G33</f>
        <v>65.04</v>
      </c>
      <c r="H33" s="13" t="n">
        <f aca="false">червень!H33</f>
        <v>0</v>
      </c>
      <c r="I33" s="13" t="n">
        <f aca="false">червень!I33</f>
        <v>4.1</v>
      </c>
      <c r="J33" s="14" t="n">
        <f aca="false">ROUND(G33*I33,2)</f>
        <v>266.66</v>
      </c>
      <c r="K33" s="14"/>
      <c r="L33" s="14"/>
      <c r="M33" s="14"/>
      <c r="N33" s="14" t="n">
        <f aca="false">ROUND((G33*I33)-K33-L33-M33,2)</f>
        <v>266.66</v>
      </c>
      <c r="O33" s="14"/>
      <c r="P33" s="14" t="n">
        <f aca="false">ROUND(IF(D33=0,IF((N33-E33-O33)&gt;0,(N33-E33-O33),0),IF((D33+N33-O33)&gt;0,(D33+N33-O33),0)),2)</f>
        <v>14253.86</v>
      </c>
      <c r="Q33" s="14" t="n">
        <f aca="false">ROUND(IF(E33=0,IF((D33+N33-O33)&lt;0,ABS(D33+N33-O33),0),IF((N33-E33-O33)&lt;0,ABS(N33-E33-O33),0)),2)</f>
        <v>0</v>
      </c>
    </row>
    <row r="34" customFormat="false" ht="15" hidden="false" customHeight="true" outlineLevel="0" collapsed="false">
      <c r="A34" s="12" t="s">
        <v>98</v>
      </c>
      <c r="B34" s="12" t="str">
        <f aca="false">червень!B34</f>
        <v>Замуховська Я.С</v>
      </c>
      <c r="C34" s="12" t="s">
        <v>100</v>
      </c>
      <c r="D34" s="14" t="n">
        <f aca="false">червень!P34</f>
        <v>1633.44</v>
      </c>
      <c r="E34" s="14" t="n">
        <f aca="false">червень!Q34</f>
        <v>0</v>
      </c>
      <c r="F34" s="13" t="n">
        <f aca="false">червень!F34</f>
        <v>0</v>
      </c>
      <c r="G34" s="13" t="n">
        <f aca="false">червень!G34</f>
        <v>49.8</v>
      </c>
      <c r="H34" s="13" t="n">
        <f aca="false">червень!H34</f>
        <v>0</v>
      </c>
      <c r="I34" s="13" t="n">
        <f aca="false">червень!I34</f>
        <v>4.1</v>
      </c>
      <c r="J34" s="14" t="n">
        <f aca="false">ROUND(G34*I34,2)</f>
        <v>204.18</v>
      </c>
      <c r="K34" s="14"/>
      <c r="L34" s="14"/>
      <c r="M34" s="14"/>
      <c r="N34" s="14" t="n">
        <f aca="false">ROUND((G34*I34)-K34-L34-M34,2)</f>
        <v>204.18</v>
      </c>
      <c r="O34" s="14"/>
      <c r="P34" s="14" t="n">
        <f aca="false">ROUND(IF(D34=0,IF((N34-E34-O34)&gt;0,(N34-E34-O34),0),IF((D34+N34-O34)&gt;0,(D34+N34-O34),0)),2)</f>
        <v>1837.62</v>
      </c>
      <c r="Q34" s="14" t="n">
        <f aca="false">ROUND(IF(E34=0,IF((D34+N34-O34)&lt;0,ABS(D34+N34-O34),0),IF((N34-E34-O34)&lt;0,ABS(N34-E34-O34),0)),2)</f>
        <v>0</v>
      </c>
    </row>
    <row r="35" customFormat="false" ht="15" hidden="false" customHeight="true" outlineLevel="0" collapsed="false">
      <c r="A35" s="12" t="s">
        <v>101</v>
      </c>
      <c r="B35" s="12" t="str">
        <f aca="false">червень!B35</f>
        <v>Мержиєвська Г.К</v>
      </c>
      <c r="C35" s="12" t="s">
        <v>103</v>
      </c>
      <c r="D35" s="14" t="n">
        <f aca="false">червень!P35</f>
        <v>1153.6</v>
      </c>
      <c r="E35" s="14" t="n">
        <f aca="false">червень!Q35</f>
        <v>0</v>
      </c>
      <c r="F35" s="13" t="n">
        <f aca="false">червень!F35</f>
        <v>0</v>
      </c>
      <c r="G35" s="13" t="n">
        <f aca="false">червень!G35</f>
        <v>35.17</v>
      </c>
      <c r="H35" s="13" t="n">
        <f aca="false">червень!H35</f>
        <v>0</v>
      </c>
      <c r="I35" s="13" t="n">
        <f aca="false">червень!I35</f>
        <v>4.1</v>
      </c>
      <c r="J35" s="14" t="n">
        <f aca="false">ROUND(G35*I35,2)</f>
        <v>144.2</v>
      </c>
      <c r="K35" s="14"/>
      <c r="L35" s="14"/>
      <c r="M35" s="14"/>
      <c r="N35" s="14" t="n">
        <f aca="false">ROUND((G35*I35)-K35-L35-M35,2)</f>
        <v>144.2</v>
      </c>
      <c r="O35" s="14"/>
      <c r="P35" s="14" t="n">
        <f aca="false">ROUND(IF(D35=0,IF((N35-E35-O35)&gt;0,(N35-E35-O35),0),IF((D35+N35-O35)&gt;0,(D35+N35-O35),0)),2)</f>
        <v>1297.8</v>
      </c>
      <c r="Q35" s="14" t="n">
        <f aca="false">ROUND(IF(E35=0,IF((D35+N35-O35)&lt;0,ABS(D35+N35-O35),0),IF((N35-E35-O35)&lt;0,ABS(N35-E35-O35),0)),2)</f>
        <v>0</v>
      </c>
    </row>
    <row r="36" customFormat="false" ht="15" hidden="false" customHeight="true" outlineLevel="0" collapsed="false">
      <c r="A36" s="12" t="s">
        <v>104</v>
      </c>
      <c r="B36" s="12" t="str">
        <f aca="false">червень!B36</f>
        <v>Кулакова Л.В.</v>
      </c>
      <c r="C36" s="12" t="s">
        <v>106</v>
      </c>
      <c r="D36" s="14" t="n">
        <f aca="false">червень!P36</f>
        <v>1536.78</v>
      </c>
      <c r="E36" s="14" t="n">
        <f aca="false">червень!Q36</f>
        <v>0</v>
      </c>
      <c r="F36" s="13" t="n">
        <f aca="false">червень!F36</f>
        <v>0</v>
      </c>
      <c r="G36" s="13" t="n">
        <f aca="false">червень!G36</f>
        <v>62.47</v>
      </c>
      <c r="H36" s="13" t="n">
        <f aca="false">червень!H36</f>
        <v>0</v>
      </c>
      <c r="I36" s="13" t="n">
        <f aca="false">червень!I36</f>
        <v>4.1</v>
      </c>
      <c r="J36" s="14" t="n">
        <f aca="false">ROUND(G36*I36,2)</f>
        <v>256.13</v>
      </c>
      <c r="K36" s="14"/>
      <c r="L36" s="14"/>
      <c r="M36" s="14"/>
      <c r="N36" s="14" t="n">
        <f aca="false">ROUND((G36*I36)-K36-L36-M36,2)</f>
        <v>256.13</v>
      </c>
      <c r="O36" s="14"/>
      <c r="P36" s="14" t="n">
        <f aca="false">ROUND(IF(D36=0,IF((N36-E36-O36)&gt;0,(N36-E36-O36),0),IF((D36+N36-O36)&gt;0,(D36+N36-O36),0)),2)</f>
        <v>1792.91</v>
      </c>
      <c r="Q36" s="14" t="n">
        <f aca="false">ROUND(IF(E36=0,IF((D36+N36-O36)&lt;0,ABS(D36+N36-O36),0),IF((N36-E36-O36)&lt;0,ABS(N36-E36-O36),0)),2)</f>
        <v>0</v>
      </c>
    </row>
    <row r="37" customFormat="false" ht="15" hidden="false" customHeight="true" outlineLevel="0" collapsed="false">
      <c r="A37" s="12" t="s">
        <v>107</v>
      </c>
      <c r="B37" s="12" t="str">
        <f aca="false">червень!B37</f>
        <v>Бочаров В.Л.</v>
      </c>
      <c r="C37" s="12" t="s">
        <v>109</v>
      </c>
      <c r="D37" s="14" t="n">
        <f aca="false">червень!P37</f>
        <v>8601</v>
      </c>
      <c r="E37" s="14" t="n">
        <f aca="false">червень!Q37</f>
        <v>0</v>
      </c>
      <c r="F37" s="13" t="n">
        <f aca="false">червень!F37</f>
        <v>0</v>
      </c>
      <c r="G37" s="13" t="n">
        <f aca="false">червень!G37</f>
        <v>65.75</v>
      </c>
      <c r="H37" s="13" t="n">
        <f aca="false">червень!H37</f>
        <v>0</v>
      </c>
      <c r="I37" s="13" t="n">
        <f aca="false">червень!I37</f>
        <v>4.1</v>
      </c>
      <c r="J37" s="14" t="n">
        <f aca="false">ROUND(G37*I37,2)</f>
        <v>269.58</v>
      </c>
      <c r="K37" s="14"/>
      <c r="L37" s="14"/>
      <c r="M37" s="14"/>
      <c r="N37" s="14" t="n">
        <f aca="false">ROUND((G37*I37)-K37-L37-M37,2)</f>
        <v>269.58</v>
      </c>
      <c r="O37" s="14"/>
      <c r="P37" s="14" t="n">
        <f aca="false">ROUND(IF(D37=0,IF((N37-E37-O37)&gt;0,(N37-E37-O37),0),IF((D37+N37-O37)&gt;0,(D37+N37-O37),0)),2)</f>
        <v>8870.58</v>
      </c>
      <c r="Q37" s="14" t="n">
        <f aca="false">ROUND(IF(E37=0,IF((D37+N37-O37)&lt;0,ABS(D37+N37-O37),0),IF((N37-E37-O37)&lt;0,ABS(N37-E37-O37),0)),2)</f>
        <v>0</v>
      </c>
    </row>
    <row r="38" customFormat="false" ht="15" hidden="false" customHeight="true" outlineLevel="0" collapsed="false">
      <c r="A38" s="12" t="s">
        <v>110</v>
      </c>
      <c r="B38" s="12" t="str">
        <f aca="false">червень!B38</f>
        <v>Лучков В.Л.</v>
      </c>
      <c r="C38" s="12" t="s">
        <v>112</v>
      </c>
      <c r="D38" s="14" t="n">
        <f aca="false">червень!P38</f>
        <v>10791.17</v>
      </c>
      <c r="E38" s="14" t="n">
        <f aca="false">червень!Q38</f>
        <v>0</v>
      </c>
      <c r="F38" s="13" t="n">
        <f aca="false">червень!F38</f>
        <v>0</v>
      </c>
      <c r="G38" s="13" t="n">
        <f aca="false">червень!G38</f>
        <v>49.7</v>
      </c>
      <c r="H38" s="13" t="n">
        <f aca="false">червень!H38</f>
        <v>0</v>
      </c>
      <c r="I38" s="13" t="n">
        <f aca="false">червень!I38</f>
        <v>4.1</v>
      </c>
      <c r="J38" s="14" t="n">
        <f aca="false">ROUND(G38*I38,2)</f>
        <v>203.77</v>
      </c>
      <c r="K38" s="14"/>
      <c r="L38" s="14"/>
      <c r="M38" s="14"/>
      <c r="N38" s="14" t="n">
        <f aca="false">ROUND((G38*I38)-K38-L38-M38,2)</f>
        <v>203.77</v>
      </c>
      <c r="O38" s="14"/>
      <c r="P38" s="14" t="n">
        <f aca="false">ROUND(IF(D38=0,IF((N38-E38-O38)&gt;0,(N38-E38-O38),0),IF((D38+N38-O38)&gt;0,(D38+N38-O38),0)),2)</f>
        <v>10994.94</v>
      </c>
      <c r="Q38" s="14" t="n">
        <f aca="false">ROUND(IF(E38=0,IF((D38+N38-O38)&lt;0,ABS(D38+N38-O38),0),IF((N38-E38-O38)&lt;0,ABS(N38-E38-O38),0)),2)</f>
        <v>0</v>
      </c>
    </row>
    <row r="39" customFormat="false" ht="15" hidden="false" customHeight="true" outlineLevel="0" collapsed="false">
      <c r="A39" s="12" t="s">
        <v>113</v>
      </c>
      <c r="B39" s="12" t="str">
        <f aca="false">червень!B39</f>
        <v>Кашкар Т.М.</v>
      </c>
      <c r="C39" s="12" t="s">
        <v>115</v>
      </c>
      <c r="D39" s="14" t="n">
        <f aca="false">червень!P39</f>
        <v>863.46</v>
      </c>
      <c r="E39" s="14" t="n">
        <f aca="false">червень!Q39</f>
        <v>0</v>
      </c>
      <c r="F39" s="13" t="n">
        <f aca="false">червень!F39</f>
        <v>0</v>
      </c>
      <c r="G39" s="13" t="n">
        <f aca="false">червень!G39</f>
        <v>35.1</v>
      </c>
      <c r="H39" s="13" t="n">
        <f aca="false">червень!H39</f>
        <v>0</v>
      </c>
      <c r="I39" s="13" t="n">
        <f aca="false">червень!I39</f>
        <v>4.1</v>
      </c>
      <c r="J39" s="14" t="n">
        <f aca="false">ROUND(G39*I39,2)</f>
        <v>143.91</v>
      </c>
      <c r="K39" s="14"/>
      <c r="L39" s="14"/>
      <c r="M39" s="14"/>
      <c r="N39" s="14" t="n">
        <f aca="false">ROUND((G39*I39)-K39-L39-M39,2)</f>
        <v>143.91</v>
      </c>
      <c r="O39" s="14"/>
      <c r="P39" s="14" t="n">
        <f aca="false">ROUND(IF(D39=0,IF((N39-E39-O39)&gt;0,(N39-E39-O39),0),IF((D39+N39-O39)&gt;0,(D39+N39-O39),0)),2)</f>
        <v>1007.37</v>
      </c>
      <c r="Q39" s="14" t="n">
        <f aca="false">ROUND(IF(E39=0,IF((D39+N39-O39)&lt;0,ABS(D39+N39-O39),0),IF((N39-E39-O39)&lt;0,ABS(N39-E39-O39),0)),2)</f>
        <v>0</v>
      </c>
    </row>
    <row r="40" customFormat="false" ht="15" hidden="false" customHeight="true" outlineLevel="0" collapsed="false">
      <c r="A40" s="12" t="s">
        <v>116</v>
      </c>
      <c r="B40" s="12" t="str">
        <f aca="false">червень!B40</f>
        <v>Стецюк Н.П.</v>
      </c>
      <c r="C40" s="12" t="s">
        <v>118</v>
      </c>
      <c r="D40" s="14" t="n">
        <f aca="false">червень!P40</f>
        <v>2440.85</v>
      </c>
      <c r="E40" s="14" t="n">
        <f aca="false">червень!Q40</f>
        <v>0</v>
      </c>
      <c r="F40" s="13" t="n">
        <f aca="false">червень!F40</f>
        <v>0</v>
      </c>
      <c r="G40" s="13" t="n">
        <f aca="false">червень!G40</f>
        <v>61.9</v>
      </c>
      <c r="H40" s="13" t="n">
        <f aca="false">червень!H40</f>
        <v>0</v>
      </c>
      <c r="I40" s="13" t="n">
        <f aca="false">червень!I40</f>
        <v>4.1</v>
      </c>
      <c r="J40" s="14" t="n">
        <f aca="false">ROUND(G40*I40,2)</f>
        <v>253.79</v>
      </c>
      <c r="K40" s="14"/>
      <c r="L40" s="14"/>
      <c r="M40" s="14"/>
      <c r="N40" s="14" t="n">
        <f aca="false">ROUND((G40*I40)-K40-L40-M40,2)</f>
        <v>253.79</v>
      </c>
      <c r="O40" s="14"/>
      <c r="P40" s="14" t="n">
        <f aca="false">ROUND(IF(D40=0,IF((N40-E40-O40)&gt;0,(N40-E40-O40),0),IF((D40+N40-O40)&gt;0,(D40+N40-O40),0)),2)</f>
        <v>2694.64</v>
      </c>
      <c r="Q40" s="14" t="n">
        <f aca="false">ROUND(IF(E40=0,IF((D40+N40-O40)&lt;0,ABS(D40+N40-O40),0),IF((N40-E40-O40)&lt;0,ABS(N40-E40-O40),0)),2)</f>
        <v>0</v>
      </c>
    </row>
    <row r="41" customFormat="false" ht="15" hidden="false" customHeight="true" outlineLevel="0" collapsed="false">
      <c r="A41" s="12" t="s">
        <v>119</v>
      </c>
      <c r="B41" s="12" t="str">
        <f aca="false">червень!B41</f>
        <v>Маханько В.О.</v>
      </c>
      <c r="C41" s="12" t="s">
        <v>121</v>
      </c>
      <c r="D41" s="14" t="n">
        <f aca="false">червень!P41</f>
        <v>11173.43</v>
      </c>
      <c r="E41" s="14" t="n">
        <f aca="false">червень!Q41</f>
        <v>0</v>
      </c>
      <c r="F41" s="13" t="n">
        <f aca="false">червень!F41</f>
        <v>0</v>
      </c>
      <c r="G41" s="13" t="n">
        <f aca="false">червень!G41</f>
        <v>65.53</v>
      </c>
      <c r="H41" s="13" t="n">
        <f aca="false">червень!H41</f>
        <v>0</v>
      </c>
      <c r="I41" s="13" t="n">
        <f aca="false">червень!I41</f>
        <v>4.1</v>
      </c>
      <c r="J41" s="14" t="n">
        <f aca="false">ROUND(G41*I41,2)</f>
        <v>268.67</v>
      </c>
      <c r="K41" s="14"/>
      <c r="L41" s="14"/>
      <c r="M41" s="14"/>
      <c r="N41" s="14" t="n">
        <f aca="false">ROUND((G41*I41)-K41-L41-M41,2)</f>
        <v>268.67</v>
      </c>
      <c r="O41" s="14"/>
      <c r="P41" s="14" t="n">
        <f aca="false">ROUND(IF(D41=0,IF((N41-E41-O41)&gt;0,(N41-E41-O41),0),IF((D41+N41-O41)&gt;0,(D41+N41-O41),0)),2)</f>
        <v>11442.1</v>
      </c>
      <c r="Q41" s="14" t="n">
        <f aca="false">ROUND(IF(E41=0,IF((D41+N41-O41)&lt;0,ABS(D41+N41-O41),0),IF((N41-E41-O41)&lt;0,ABS(N41-E41-O41),0)),2)</f>
        <v>0</v>
      </c>
    </row>
    <row r="42" customFormat="false" ht="15" hidden="false" customHeight="true" outlineLevel="0" collapsed="false">
      <c r="A42" s="12" t="s">
        <v>122</v>
      </c>
      <c r="B42" s="12" t="str">
        <f aca="false">червень!B42</f>
        <v>Реуцька Р.С.</v>
      </c>
      <c r="C42" s="12" t="s">
        <v>124</v>
      </c>
      <c r="D42" s="14" t="n">
        <f aca="false">червень!P42</f>
        <v>9484.08</v>
      </c>
      <c r="E42" s="14" t="n">
        <f aca="false">червень!Q42</f>
        <v>0</v>
      </c>
      <c r="F42" s="13" t="n">
        <f aca="false">червень!F42</f>
        <v>0</v>
      </c>
      <c r="G42" s="13" t="n">
        <f aca="false">червень!G42</f>
        <v>49.7</v>
      </c>
      <c r="H42" s="13" t="n">
        <f aca="false">червень!H42</f>
        <v>0</v>
      </c>
      <c r="I42" s="13" t="n">
        <f aca="false">червень!I42</f>
        <v>4.1</v>
      </c>
      <c r="J42" s="14" t="n">
        <f aca="false">ROUND(G42*I42,2)</f>
        <v>203.77</v>
      </c>
      <c r="K42" s="14"/>
      <c r="L42" s="14"/>
      <c r="M42" s="14"/>
      <c r="N42" s="14" t="n">
        <f aca="false">ROUND((G42*I42)-K42-L42-M42,2)</f>
        <v>203.77</v>
      </c>
      <c r="O42" s="14"/>
      <c r="P42" s="14" t="n">
        <f aca="false">ROUND(IF(D42=0,IF((N42-E42-O42)&gt;0,(N42-E42-O42),0),IF((D42+N42-O42)&gt;0,(D42+N42-O42),0)),2)</f>
        <v>9687.85</v>
      </c>
      <c r="Q42" s="14" t="n">
        <f aca="false">ROUND(IF(E42=0,IF((D42+N42-O42)&lt;0,ABS(D42+N42-O42),0),IF((N42-E42-O42)&lt;0,ABS(N42-E42-O42),0)),2)</f>
        <v>0</v>
      </c>
    </row>
    <row r="43" customFormat="false" ht="15" hidden="false" customHeight="true" outlineLevel="0" collapsed="false">
      <c r="A43" s="12" t="s">
        <v>125</v>
      </c>
      <c r="B43" s="12" t="str">
        <f aca="false">червень!B43</f>
        <v>Колесникова Р.Г.</v>
      </c>
      <c r="C43" s="12" t="s">
        <v>127</v>
      </c>
      <c r="D43" s="14" t="n">
        <f aca="false">червень!P43</f>
        <v>2740.02</v>
      </c>
      <c r="E43" s="14" t="n">
        <f aca="false">червень!Q43</f>
        <v>0</v>
      </c>
      <c r="F43" s="13" t="n">
        <f aca="false">червень!F43</f>
        <v>0</v>
      </c>
      <c r="G43" s="13" t="n">
        <f aca="false">червень!G43</f>
        <v>35.1</v>
      </c>
      <c r="H43" s="13" t="n">
        <f aca="false">червень!H43</f>
        <v>0</v>
      </c>
      <c r="I43" s="13" t="n">
        <f aca="false">червень!I43</f>
        <v>4.1</v>
      </c>
      <c r="J43" s="14" t="n">
        <f aca="false">ROUND(G43*I43,2)</f>
        <v>143.91</v>
      </c>
      <c r="K43" s="14"/>
      <c r="L43" s="14"/>
      <c r="M43" s="14"/>
      <c r="N43" s="14" t="n">
        <f aca="false">ROUND((G43*I43)-K43-L43-M43,2)</f>
        <v>143.91</v>
      </c>
      <c r="O43" s="14"/>
      <c r="P43" s="14" t="n">
        <f aca="false">ROUND(IF(D43=0,IF((N43-E43-O43)&gt;0,(N43-E43-O43),0),IF((D43+N43-O43)&gt;0,(D43+N43-O43),0)),2)</f>
        <v>2883.93</v>
      </c>
      <c r="Q43" s="14" t="n">
        <f aca="false">ROUND(IF(E43=0,IF((D43+N43-O43)&lt;0,ABS(D43+N43-O43),0),IF((N43-E43-O43)&lt;0,ABS(N43-E43-O43),0)),2)</f>
        <v>0</v>
      </c>
    </row>
    <row r="44" customFormat="false" ht="15" hidden="false" customHeight="true" outlineLevel="0" collapsed="false">
      <c r="A44" s="12" t="s">
        <v>128</v>
      </c>
      <c r="B44" s="12" t="str">
        <f aca="false">червень!B44</f>
        <v>Кучеренко М.М.</v>
      </c>
      <c r="C44" s="12" t="s">
        <v>130</v>
      </c>
      <c r="D44" s="14" t="n">
        <f aca="false">червень!P44</f>
        <v>12743.65</v>
      </c>
      <c r="E44" s="14" t="n">
        <f aca="false">червень!Q44</f>
        <v>0</v>
      </c>
      <c r="F44" s="13" t="n">
        <f aca="false">червень!F44</f>
        <v>0</v>
      </c>
      <c r="G44" s="13" t="n">
        <f aca="false">червень!G44</f>
        <v>61.88</v>
      </c>
      <c r="H44" s="13" t="n">
        <f aca="false">червень!H44</f>
        <v>0</v>
      </c>
      <c r="I44" s="13" t="n">
        <f aca="false">червень!I44</f>
        <v>4.1</v>
      </c>
      <c r="J44" s="14" t="n">
        <f aca="false">ROUND(G44*I44,2)</f>
        <v>253.71</v>
      </c>
      <c r="K44" s="14"/>
      <c r="L44" s="14"/>
      <c r="M44" s="14"/>
      <c r="N44" s="14" t="n">
        <f aca="false">ROUND((G44*I44)-K44-L44-M44,2)</f>
        <v>253.71</v>
      </c>
      <c r="O44" s="14"/>
      <c r="P44" s="14" t="n">
        <f aca="false">ROUND(IF(D44=0,IF((N44-E44-O44)&gt;0,(N44-E44-O44),0),IF((D44+N44-O44)&gt;0,(D44+N44-O44),0)),2)</f>
        <v>12997.36</v>
      </c>
      <c r="Q44" s="14" t="n">
        <f aca="false">ROUND(IF(E44=0,IF((D44+N44-O44)&lt;0,ABS(D44+N44-O44),0),IF((N44-E44-O44)&lt;0,ABS(N44-E44-O44),0)),2)</f>
        <v>0</v>
      </c>
    </row>
    <row r="45" customFormat="false" ht="15" hidden="false" customHeight="true" outlineLevel="0" collapsed="false">
      <c r="A45" s="12" t="s">
        <v>131</v>
      </c>
      <c r="B45" s="12" t="str">
        <f aca="false">червень!B45</f>
        <v>Гурова О.М.</v>
      </c>
      <c r="C45" s="12" t="s">
        <v>133</v>
      </c>
      <c r="D45" s="14" t="n">
        <f aca="false">червень!P45</f>
        <v>1213.75</v>
      </c>
      <c r="E45" s="14" t="n">
        <f aca="false">червень!Q45</f>
        <v>0</v>
      </c>
      <c r="F45" s="13" t="n">
        <f aca="false">червень!F45</f>
        <v>0</v>
      </c>
      <c r="G45" s="13" t="n">
        <f aca="false">червень!G45</f>
        <v>62.2</v>
      </c>
      <c r="H45" s="13" t="n">
        <f aca="false">червень!H45</f>
        <v>0</v>
      </c>
      <c r="I45" s="13" t="n">
        <f aca="false">червень!I45</f>
        <v>4.1</v>
      </c>
      <c r="J45" s="14" t="n">
        <f aca="false">ROUND(G45*I45,2)</f>
        <v>255.02</v>
      </c>
      <c r="K45" s="14"/>
      <c r="L45" s="14"/>
      <c r="M45" s="14"/>
      <c r="N45" s="14" t="n">
        <f aca="false">ROUND((G45*I45)-K45-L45-M45,2)</f>
        <v>255.02</v>
      </c>
      <c r="O45" s="14"/>
      <c r="P45" s="14" t="n">
        <f aca="false">ROUND(IF(D45=0,IF((N45-E45-O45)&gt;0,(N45-E45-O45),0),IF((D45+N45-O45)&gt;0,(D45+N45-O45),0)),2)</f>
        <v>1468.77</v>
      </c>
      <c r="Q45" s="14" t="n">
        <f aca="false">ROUND(IF(E45=0,IF((D45+N45-O45)&lt;0,ABS(D45+N45-O45),0),IF((N45-E45-O45)&lt;0,ABS(N45-E45-O45),0)),2)</f>
        <v>0</v>
      </c>
    </row>
    <row r="46" customFormat="false" ht="15" hidden="false" customHeight="true" outlineLevel="0" collapsed="false">
      <c r="A46" s="12" t="s">
        <v>134</v>
      </c>
      <c r="B46" s="12" t="str">
        <f aca="false">червень!B46</f>
        <v>Федорова В.І.</v>
      </c>
      <c r="C46" s="12" t="s">
        <v>136</v>
      </c>
      <c r="D46" s="14" t="n">
        <f aca="false">червень!P46</f>
        <v>501.63</v>
      </c>
      <c r="E46" s="14" t="n">
        <f aca="false">червень!Q46</f>
        <v>0</v>
      </c>
      <c r="F46" s="13" t="n">
        <f aca="false">червень!F46</f>
        <v>0</v>
      </c>
      <c r="G46" s="13" t="n">
        <f aca="false">червень!G46</f>
        <v>34.9</v>
      </c>
      <c r="H46" s="13" t="n">
        <f aca="false">червень!H46</f>
        <v>0</v>
      </c>
      <c r="I46" s="13" t="n">
        <f aca="false">червень!I46</f>
        <v>4.1</v>
      </c>
      <c r="J46" s="14" t="n">
        <f aca="false">ROUND(G46*I46,2)</f>
        <v>143.09</v>
      </c>
      <c r="K46" s="14"/>
      <c r="L46" s="14"/>
      <c r="M46" s="14"/>
      <c r="N46" s="14" t="n">
        <f aca="false">ROUND((G46*I46)-K46-L46-M46,2)</f>
        <v>143.09</v>
      </c>
      <c r="O46" s="14"/>
      <c r="P46" s="14" t="n">
        <f aca="false">ROUND(IF(D46=0,IF((N46-E46-O46)&gt;0,(N46-E46-O46),0),IF((D46+N46-O46)&gt;0,(D46+N46-O46),0)),2)</f>
        <v>644.72</v>
      </c>
      <c r="Q46" s="14" t="n">
        <f aca="false">ROUND(IF(E46=0,IF((D46+N46-O46)&lt;0,ABS(D46+N46-O46),0),IF((N46-E46-O46)&lt;0,ABS(N46-E46-O46),0)),2)</f>
        <v>0</v>
      </c>
    </row>
    <row r="47" customFormat="false" ht="15" hidden="false" customHeight="true" outlineLevel="0" collapsed="false">
      <c r="A47" s="12" t="s">
        <v>137</v>
      </c>
      <c r="B47" s="12" t="str">
        <f aca="false">червень!B47</f>
        <v>Лаптєв В.І.</v>
      </c>
      <c r="C47" s="12" t="s">
        <v>139</v>
      </c>
      <c r="D47" s="14" t="n">
        <f aca="false">червень!P47</f>
        <v>1200.48</v>
      </c>
      <c r="E47" s="14" t="n">
        <f aca="false">червень!Q47</f>
        <v>0</v>
      </c>
      <c r="F47" s="13" t="n">
        <f aca="false">червень!F47</f>
        <v>0</v>
      </c>
      <c r="G47" s="13" t="n">
        <f aca="false">червень!G47</f>
        <v>48.8</v>
      </c>
      <c r="H47" s="13" t="n">
        <f aca="false">червень!H47</f>
        <v>0</v>
      </c>
      <c r="I47" s="13" t="n">
        <f aca="false">червень!I47</f>
        <v>4.1</v>
      </c>
      <c r="J47" s="14" t="n">
        <f aca="false">ROUND(G47*I47,2)</f>
        <v>200.08</v>
      </c>
      <c r="K47" s="14"/>
      <c r="L47" s="14"/>
      <c r="M47" s="14"/>
      <c r="N47" s="14" t="n">
        <f aca="false">ROUND((G47*I47)-K47-L47-M47,2)</f>
        <v>200.08</v>
      </c>
      <c r="O47" s="14"/>
      <c r="P47" s="14" t="n">
        <f aca="false">ROUND(IF(D47=0,IF((N47-E47-O47)&gt;0,(N47-E47-O47),0),IF((D47+N47-O47)&gt;0,(D47+N47-O47),0)),2)</f>
        <v>1400.56</v>
      </c>
      <c r="Q47" s="14" t="n">
        <f aca="false">ROUND(IF(E47=0,IF((D47+N47-O47)&lt;0,ABS(D47+N47-O47),0),IF((N47-E47-O47)&lt;0,ABS(N47-E47-O47),0)),2)</f>
        <v>0</v>
      </c>
    </row>
    <row r="48" customFormat="false" ht="15" hidden="false" customHeight="true" outlineLevel="0" collapsed="false">
      <c r="A48" s="12" t="s">
        <v>140</v>
      </c>
      <c r="B48" s="12" t="str">
        <f aca="false">червень!B48</f>
        <v>Тимощук О.Є.</v>
      </c>
      <c r="C48" s="12" t="s">
        <v>142</v>
      </c>
      <c r="D48" s="14" t="n">
        <f aca="false">червень!P48</f>
        <v>1409.58</v>
      </c>
      <c r="E48" s="14" t="n">
        <f aca="false">червень!Q48</f>
        <v>0</v>
      </c>
      <c r="F48" s="13" t="n">
        <f aca="false">червень!F48</f>
        <v>0</v>
      </c>
      <c r="G48" s="13" t="n">
        <f aca="false">червень!G48</f>
        <v>57.3</v>
      </c>
      <c r="H48" s="13" t="n">
        <f aca="false">червень!H48</f>
        <v>0</v>
      </c>
      <c r="I48" s="13" t="n">
        <f aca="false">червень!I48</f>
        <v>4.1</v>
      </c>
      <c r="J48" s="14" t="n">
        <f aca="false">ROUND(G48*I48,2)</f>
        <v>234.93</v>
      </c>
      <c r="K48" s="14"/>
      <c r="L48" s="14"/>
      <c r="M48" s="14"/>
      <c r="N48" s="14" t="n">
        <f aca="false">ROUND((G48*I48)-K48-L48-M48,2)</f>
        <v>234.93</v>
      </c>
      <c r="O48" s="14"/>
      <c r="P48" s="14" t="n">
        <f aca="false">ROUND(IF(D48=0,IF((N48-E48-O48)&gt;0,(N48-E48-O48),0),IF((D48+N48-O48)&gt;0,(D48+N48-O48),0)),2)</f>
        <v>1644.51</v>
      </c>
      <c r="Q48" s="14" t="n">
        <f aca="false">ROUND(IF(E48=0,IF((D48+N48-O48)&lt;0,ABS(D48+N48-O48),0),IF((N48-E48-O48)&lt;0,ABS(N48-E48-O48),0)),2)</f>
        <v>0</v>
      </c>
    </row>
    <row r="49" customFormat="false" ht="15" hidden="false" customHeight="true" outlineLevel="0" collapsed="false">
      <c r="A49" s="12" t="s">
        <v>143</v>
      </c>
      <c r="B49" s="12" t="str">
        <f aca="false">червень!B49</f>
        <v>Котяш О.В.</v>
      </c>
      <c r="C49" s="12" t="s">
        <v>145</v>
      </c>
      <c r="D49" s="14" t="n">
        <f aca="false">червень!P49</f>
        <v>4669.83</v>
      </c>
      <c r="E49" s="14" t="n">
        <f aca="false">червень!Q49</f>
        <v>0</v>
      </c>
      <c r="F49" s="13" t="n">
        <f aca="false">червень!F49</f>
        <v>0</v>
      </c>
      <c r="G49" s="13" t="n">
        <f aca="false">червень!G49</f>
        <v>63.3</v>
      </c>
      <c r="H49" s="13" t="n">
        <f aca="false">червень!H49</f>
        <v>0</v>
      </c>
      <c r="I49" s="13" t="n">
        <f aca="false">червень!I49</f>
        <v>4.1</v>
      </c>
      <c r="J49" s="14" t="n">
        <f aca="false">ROUND(G49*I49,2)</f>
        <v>259.53</v>
      </c>
      <c r="K49" s="14"/>
      <c r="L49" s="14"/>
      <c r="M49" s="14"/>
      <c r="N49" s="14" t="n">
        <f aca="false">ROUND((G49*I49)-K49-L49-M49,2)</f>
        <v>259.53</v>
      </c>
      <c r="O49" s="14"/>
      <c r="P49" s="14" t="n">
        <f aca="false">ROUND(IF(D49=0,IF((N49-E49-O49)&gt;0,(N49-E49-O49),0),IF((D49+N49-O49)&gt;0,(D49+N49-O49),0)),2)</f>
        <v>4929.36</v>
      </c>
      <c r="Q49" s="14" t="n">
        <f aca="false">ROUND(IF(E49=0,IF((D49+N49-O49)&lt;0,ABS(D49+N49-O49),0),IF((N49-E49-O49)&lt;0,ABS(N49-E49-O49),0)),2)</f>
        <v>0</v>
      </c>
    </row>
    <row r="50" customFormat="false" ht="15" hidden="false" customHeight="true" outlineLevel="0" collapsed="false">
      <c r="A50" s="12" t="s">
        <v>146</v>
      </c>
      <c r="B50" s="12" t="str">
        <f aca="false">червень!B50</f>
        <v>Токовило-Паращенко Л.П.</v>
      </c>
      <c r="C50" s="12" t="s">
        <v>148</v>
      </c>
      <c r="D50" s="14" t="n">
        <f aca="false">червень!P50</f>
        <v>877.74</v>
      </c>
      <c r="E50" s="14" t="n">
        <f aca="false">червень!Q50</f>
        <v>0</v>
      </c>
      <c r="F50" s="13" t="n">
        <f aca="false">червень!F50</f>
        <v>0</v>
      </c>
      <c r="G50" s="13" t="n">
        <f aca="false">червень!G50</f>
        <v>35.68</v>
      </c>
      <c r="H50" s="13" t="n">
        <f aca="false">червень!H50</f>
        <v>0</v>
      </c>
      <c r="I50" s="13" t="n">
        <f aca="false">червень!I50</f>
        <v>4.1</v>
      </c>
      <c r="J50" s="14" t="n">
        <f aca="false">ROUND(G50*I50,2)</f>
        <v>146.29</v>
      </c>
      <c r="K50" s="14"/>
      <c r="L50" s="14"/>
      <c r="M50" s="14"/>
      <c r="N50" s="14" t="n">
        <f aca="false">ROUND((G50*I50)-K50-L50-M50,2)</f>
        <v>146.29</v>
      </c>
      <c r="O50" s="14"/>
      <c r="P50" s="14" t="n">
        <f aca="false">ROUND(IF(D50=0,IF((N50-E50-O50)&gt;0,(N50-E50-O50),0),IF((D50+N50-O50)&gt;0,(D50+N50-O50),0)),2)</f>
        <v>1024.03</v>
      </c>
      <c r="Q50" s="14" t="n">
        <f aca="false">ROUND(IF(E50=0,IF((D50+N50-O50)&lt;0,ABS(D50+N50-O50),0),IF((N50-E50-O50)&lt;0,ABS(N50-E50-O50),0)),2)</f>
        <v>0</v>
      </c>
    </row>
    <row r="51" customFormat="false" ht="15" hidden="false" customHeight="true" outlineLevel="0" collapsed="false">
      <c r="A51" s="12" t="s">
        <v>149</v>
      </c>
      <c r="B51" s="12" t="str">
        <f aca="false">червень!B51</f>
        <v>Бєлая К.В.</v>
      </c>
      <c r="C51" s="12" t="s">
        <v>151</v>
      </c>
      <c r="D51" s="14" t="n">
        <f aca="false">червень!P51</f>
        <v>4045.48</v>
      </c>
      <c r="E51" s="14" t="n">
        <f aca="false">червень!Q51</f>
        <v>0</v>
      </c>
      <c r="F51" s="13" t="n">
        <f aca="false">червень!F51</f>
        <v>0</v>
      </c>
      <c r="G51" s="13" t="n">
        <f aca="false">червень!G51</f>
        <v>49.8</v>
      </c>
      <c r="H51" s="13" t="n">
        <f aca="false">червень!H51</f>
        <v>0</v>
      </c>
      <c r="I51" s="13" t="n">
        <f aca="false">червень!I51</f>
        <v>4.1</v>
      </c>
      <c r="J51" s="14" t="n">
        <f aca="false">ROUND(G51*I51,2)</f>
        <v>204.18</v>
      </c>
      <c r="K51" s="14"/>
      <c r="L51" s="14"/>
      <c r="M51" s="14"/>
      <c r="N51" s="14" t="n">
        <f aca="false">ROUND((G51*I51)-K51-L51-M51,2)</f>
        <v>204.18</v>
      </c>
      <c r="O51" s="14"/>
      <c r="P51" s="14" t="n">
        <f aca="false">ROUND(IF(D51=0,IF((N51-E51-O51)&gt;0,(N51-E51-O51),0),IF((D51+N51-O51)&gt;0,(D51+N51-O51),0)),2)</f>
        <v>4249.66</v>
      </c>
      <c r="Q51" s="14" t="n">
        <f aca="false">ROUND(IF(E51=0,IF((D51+N51-O51)&lt;0,ABS(D51+N51-O51),0),IF((N51-E51-O51)&lt;0,ABS(N51-E51-O51),0)),2)</f>
        <v>0</v>
      </c>
    </row>
    <row r="52" customFormat="false" ht="15" hidden="false" customHeight="true" outlineLevel="0" collapsed="false">
      <c r="A52" s="12" t="s">
        <v>152</v>
      </c>
      <c r="B52" s="12" t="str">
        <f aca="false">червень!B52</f>
        <v>Стадник О.Ф.</v>
      </c>
      <c r="C52" s="12" t="s">
        <v>154</v>
      </c>
      <c r="D52" s="14" t="n">
        <f aca="false">червень!P52</f>
        <v>7346.61</v>
      </c>
      <c r="E52" s="14" t="n">
        <f aca="false">червень!Q52</f>
        <v>0</v>
      </c>
      <c r="F52" s="13" t="n">
        <f aca="false">червень!F52</f>
        <v>0</v>
      </c>
      <c r="G52" s="13" t="n">
        <f aca="false">червень!G52</f>
        <v>65.9</v>
      </c>
      <c r="H52" s="13" t="n">
        <f aca="false">червень!H52</f>
        <v>0</v>
      </c>
      <c r="I52" s="13" t="n">
        <f aca="false">червень!I52</f>
        <v>4.1</v>
      </c>
      <c r="J52" s="14" t="n">
        <f aca="false">ROUND(G52*I52,2)</f>
        <v>270.19</v>
      </c>
      <c r="K52" s="14"/>
      <c r="L52" s="14"/>
      <c r="M52" s="14"/>
      <c r="N52" s="14" t="n">
        <f aca="false">ROUND((G52*I52)-K52-L52-M52,2)</f>
        <v>270.19</v>
      </c>
      <c r="O52" s="14"/>
      <c r="P52" s="14" t="n">
        <f aca="false">ROUND(IF(D52=0,IF((N52-E52-O52)&gt;0,(N52-E52-O52),0),IF((D52+N52-O52)&gt;0,(D52+N52-O52),0)),2)</f>
        <v>7616.8</v>
      </c>
      <c r="Q52" s="14" t="n">
        <f aca="false">ROUND(IF(E52=0,IF((D52+N52-O52)&lt;0,ABS(D52+N52-O52),0),IF((N52-E52-O52)&lt;0,ABS(N52-E52-O52),0)),2)</f>
        <v>0</v>
      </c>
    </row>
    <row r="53" customFormat="false" ht="15" hidden="false" customHeight="true" outlineLevel="0" collapsed="false">
      <c r="A53" s="12" t="s">
        <v>155</v>
      </c>
      <c r="B53" s="12" t="str">
        <f aca="false">червень!B53</f>
        <v>Ляшенко В.М.</v>
      </c>
      <c r="C53" s="12" t="s">
        <v>157</v>
      </c>
      <c r="D53" s="14" t="n">
        <f aca="false">червень!P53</f>
        <v>1525.2</v>
      </c>
      <c r="E53" s="14" t="n">
        <f aca="false">червень!Q53</f>
        <v>0</v>
      </c>
      <c r="F53" s="13" t="n">
        <f aca="false">червень!F53</f>
        <v>0</v>
      </c>
      <c r="G53" s="13" t="n">
        <f aca="false">червень!G53</f>
        <v>62</v>
      </c>
      <c r="H53" s="13" t="n">
        <f aca="false">червень!H53</f>
        <v>0</v>
      </c>
      <c r="I53" s="13" t="n">
        <f aca="false">червень!I53</f>
        <v>4.1</v>
      </c>
      <c r="J53" s="14" t="n">
        <f aca="false">ROUND(G53*I53,2)</f>
        <v>254.2</v>
      </c>
      <c r="K53" s="14"/>
      <c r="L53" s="14"/>
      <c r="M53" s="14"/>
      <c r="N53" s="14" t="n">
        <f aca="false">ROUND((G53*I53)-K53-L53-M53,2)</f>
        <v>254.2</v>
      </c>
      <c r="O53" s="14"/>
      <c r="P53" s="14" t="n">
        <f aca="false">ROUND(IF(D53=0,IF((N53-E53-O53)&gt;0,(N53-E53-O53),0),IF((D53+N53-O53)&gt;0,(D53+N53-O53),0)),2)</f>
        <v>1779.4</v>
      </c>
      <c r="Q53" s="14" t="n">
        <f aca="false">ROUND(IF(E53=0,IF((D53+N53-O53)&lt;0,ABS(D53+N53-O53),0),IF((N53-E53-O53)&lt;0,ABS(N53-E53-O53),0)),2)</f>
        <v>0</v>
      </c>
    </row>
    <row r="54" customFormat="false" ht="15" hidden="false" customHeight="true" outlineLevel="0" collapsed="false">
      <c r="A54" s="12" t="s">
        <v>158</v>
      </c>
      <c r="B54" s="12" t="str">
        <f aca="false">червень!B54</f>
        <v>Смоленська Т.О.</v>
      </c>
      <c r="C54" s="12" t="s">
        <v>160</v>
      </c>
      <c r="D54" s="14" t="n">
        <f aca="false">червень!P54</f>
        <v>863.46</v>
      </c>
      <c r="E54" s="14" t="n">
        <f aca="false">червень!Q54</f>
        <v>0</v>
      </c>
      <c r="F54" s="13" t="n">
        <f aca="false">червень!F54</f>
        <v>0</v>
      </c>
      <c r="G54" s="13" t="n">
        <f aca="false">червень!G54</f>
        <v>35.1</v>
      </c>
      <c r="H54" s="13" t="n">
        <f aca="false">червень!H54</f>
        <v>0</v>
      </c>
      <c r="I54" s="13" t="n">
        <f aca="false">червень!I54</f>
        <v>4.1</v>
      </c>
      <c r="J54" s="14" t="n">
        <f aca="false">ROUND(G54*I54,2)</f>
        <v>143.91</v>
      </c>
      <c r="K54" s="14"/>
      <c r="L54" s="14"/>
      <c r="M54" s="14"/>
      <c r="N54" s="14" t="n">
        <f aca="false">ROUND((G54*I54)-K54-L54-M54,2)</f>
        <v>143.91</v>
      </c>
      <c r="O54" s="14"/>
      <c r="P54" s="14" t="n">
        <f aca="false">ROUND(IF(D54=0,IF((N54-E54-O54)&gt;0,(N54-E54-O54),0),IF((D54+N54-O54)&gt;0,(D54+N54-O54),0)),2)</f>
        <v>1007.37</v>
      </c>
      <c r="Q54" s="14" t="n">
        <f aca="false">ROUND(IF(E54=0,IF((D54+N54-O54)&lt;0,ABS(D54+N54-O54),0),IF((N54-E54-O54)&lt;0,ABS(N54-E54-O54),0)),2)</f>
        <v>0</v>
      </c>
    </row>
    <row r="55" customFormat="false" ht="15" hidden="false" customHeight="true" outlineLevel="0" collapsed="false">
      <c r="A55" s="12" t="s">
        <v>161</v>
      </c>
      <c r="B55" s="12" t="str">
        <f aca="false">червень!B55</f>
        <v>Дудка І.В.</v>
      </c>
      <c r="C55" s="12" t="s">
        <v>163</v>
      </c>
      <c r="D55" s="14" t="n">
        <f aca="false">червень!P55</f>
        <v>1220.16</v>
      </c>
      <c r="E55" s="14" t="n">
        <f aca="false">червень!Q55</f>
        <v>0</v>
      </c>
      <c r="F55" s="13" t="n">
        <f aca="false">червень!F55</f>
        <v>0</v>
      </c>
      <c r="G55" s="13" t="n">
        <f aca="false">червень!G55</f>
        <v>49.6</v>
      </c>
      <c r="H55" s="13" t="n">
        <f aca="false">червень!H55</f>
        <v>0</v>
      </c>
      <c r="I55" s="13" t="n">
        <f aca="false">червень!I55</f>
        <v>4.1</v>
      </c>
      <c r="J55" s="14" t="n">
        <f aca="false">ROUND(G55*I55,2)</f>
        <v>203.36</v>
      </c>
      <c r="K55" s="14"/>
      <c r="L55" s="14"/>
      <c r="M55" s="14"/>
      <c r="N55" s="14" t="n">
        <f aca="false">ROUND((G55*I55)-K55-L55-M55,2)</f>
        <v>203.36</v>
      </c>
      <c r="O55" s="14"/>
      <c r="P55" s="14" t="n">
        <f aca="false">ROUND(IF(D55=0,IF((N55-E55-O55)&gt;0,(N55-E55-O55),0),IF((D55+N55-O55)&gt;0,(D55+N55-O55),0)),2)</f>
        <v>1423.52</v>
      </c>
      <c r="Q55" s="14" t="n">
        <f aca="false">ROUND(IF(E55=0,IF((D55+N55-O55)&lt;0,ABS(D55+N55-O55),0),IF((N55-E55-O55)&lt;0,ABS(N55-E55-O55),0)),2)</f>
        <v>0</v>
      </c>
    </row>
    <row r="56" customFormat="false" ht="15" hidden="false" customHeight="true" outlineLevel="0" collapsed="false">
      <c r="A56" s="12" t="s">
        <v>164</v>
      </c>
      <c r="B56" s="12" t="str">
        <f aca="false">червень!B56</f>
        <v>Буланова Л.І.</v>
      </c>
      <c r="C56" s="12" t="s">
        <v>166</v>
      </c>
      <c r="D56" s="14" t="n">
        <f aca="false">червень!P56</f>
        <v>1634.4</v>
      </c>
      <c r="E56" s="14" t="n">
        <f aca="false">червень!Q56</f>
        <v>0</v>
      </c>
      <c r="F56" s="13" t="n">
        <f aca="false">червень!F56</f>
        <v>0</v>
      </c>
      <c r="G56" s="13" t="n">
        <f aca="false">червень!G56</f>
        <v>66.44</v>
      </c>
      <c r="H56" s="13" t="n">
        <f aca="false">червень!H56</f>
        <v>0</v>
      </c>
      <c r="I56" s="13" t="n">
        <f aca="false">червень!I56</f>
        <v>4.1</v>
      </c>
      <c r="J56" s="14" t="n">
        <f aca="false">ROUND(G56*I56,2)</f>
        <v>272.4</v>
      </c>
      <c r="K56" s="14"/>
      <c r="L56" s="14"/>
      <c r="M56" s="14"/>
      <c r="N56" s="14" t="n">
        <f aca="false">ROUND((G56*I56)-K56-L56-M56,2)</f>
        <v>272.4</v>
      </c>
      <c r="O56" s="14"/>
      <c r="P56" s="14" t="n">
        <f aca="false">ROUND(IF(D56=0,IF((N56-E56-O56)&gt;0,(N56-E56-O56),0),IF((D56+N56-O56)&gt;0,(D56+N56-O56),0)),2)</f>
        <v>1906.8</v>
      </c>
      <c r="Q56" s="14" t="n">
        <f aca="false">ROUND(IF(E56=0,IF((D56+N56-O56)&lt;0,ABS(D56+N56-O56),0),IF((N56-E56-O56)&lt;0,ABS(N56-E56-O56),0)),2)</f>
        <v>0</v>
      </c>
    </row>
    <row r="57" customFormat="false" ht="15" hidden="false" customHeight="true" outlineLevel="0" collapsed="false">
      <c r="A57" s="12" t="s">
        <v>167</v>
      </c>
      <c r="B57" s="12" t="str">
        <f aca="false">червень!B57</f>
        <v>Шалімова О.О.</v>
      </c>
      <c r="C57" s="12" t="s">
        <v>169</v>
      </c>
      <c r="D57" s="14" t="n">
        <f aca="false">червень!P57</f>
        <v>1953.89</v>
      </c>
      <c r="E57" s="14" t="n">
        <f aca="false">червень!Q57</f>
        <v>0</v>
      </c>
      <c r="F57" s="13" t="n">
        <f aca="false">червень!F57</f>
        <v>0</v>
      </c>
      <c r="G57" s="13" t="n">
        <f aca="false">червень!G57</f>
        <v>62.1</v>
      </c>
      <c r="H57" s="13" t="n">
        <f aca="false">червень!H57</f>
        <v>0</v>
      </c>
      <c r="I57" s="13" t="n">
        <f aca="false">червень!I57</f>
        <v>4.1</v>
      </c>
      <c r="J57" s="14" t="n">
        <f aca="false">ROUND(G57*I57,2)</f>
        <v>254.61</v>
      </c>
      <c r="K57" s="14"/>
      <c r="L57" s="14"/>
      <c r="M57" s="14"/>
      <c r="N57" s="14" t="n">
        <f aca="false">ROUND((G57*I57)-K57-L57-M57,2)</f>
        <v>254.61</v>
      </c>
      <c r="O57" s="14"/>
      <c r="P57" s="14" t="n">
        <f aca="false">ROUND(IF(D57=0,IF((N57-E57-O57)&gt;0,(N57-E57-O57),0),IF((D57+N57-O57)&gt;0,(D57+N57-O57),0)),2)</f>
        <v>2208.5</v>
      </c>
      <c r="Q57" s="14" t="n">
        <f aca="false">ROUND(IF(E57=0,IF((D57+N57-O57)&lt;0,ABS(D57+N57-O57),0),IF((N57-E57-O57)&lt;0,ABS(N57-E57-O57),0)),2)</f>
        <v>0</v>
      </c>
    </row>
    <row r="58" customFormat="false" ht="15" hidden="false" customHeight="true" outlineLevel="0" collapsed="false">
      <c r="A58" s="12" t="s">
        <v>170</v>
      </c>
      <c r="B58" s="12" t="str">
        <f aca="false">червень!B58</f>
        <v>Андросик О.О.</v>
      </c>
      <c r="C58" s="12" t="s">
        <v>172</v>
      </c>
      <c r="D58" s="14" t="n">
        <f aca="false">червень!P58</f>
        <v>2071.54</v>
      </c>
      <c r="E58" s="14" t="n">
        <f aca="false">червень!Q58</f>
        <v>0</v>
      </c>
      <c r="F58" s="13" t="n">
        <f aca="false">червень!F58</f>
        <v>0</v>
      </c>
      <c r="G58" s="13" t="n">
        <f aca="false">червень!G58</f>
        <v>34.9</v>
      </c>
      <c r="H58" s="13" t="n">
        <f aca="false">червень!H58</f>
        <v>0</v>
      </c>
      <c r="I58" s="13" t="n">
        <f aca="false">червень!I58</f>
        <v>4.1</v>
      </c>
      <c r="J58" s="14" t="n">
        <f aca="false">ROUND(G58*I58,2)</f>
        <v>143.09</v>
      </c>
      <c r="K58" s="14"/>
      <c r="L58" s="14"/>
      <c r="M58" s="14"/>
      <c r="N58" s="14" t="n">
        <f aca="false">ROUND((G58*I58)-K58-L58-M58,2)</f>
        <v>143.09</v>
      </c>
      <c r="O58" s="14"/>
      <c r="P58" s="14" t="n">
        <f aca="false">ROUND(IF(D58=0,IF((N58-E58-O58)&gt;0,(N58-E58-O58),0),IF((D58+N58-O58)&gt;0,(D58+N58-O58),0)),2)</f>
        <v>2214.63</v>
      </c>
      <c r="Q58" s="14" t="n">
        <f aca="false">ROUND(IF(E58=0,IF((D58+N58-O58)&lt;0,ABS(D58+N58-O58),0),IF((N58-E58-O58)&lt;0,ABS(N58-E58-O58),0)),2)</f>
        <v>0</v>
      </c>
    </row>
    <row r="59" customFormat="false" ht="15" hidden="false" customHeight="true" outlineLevel="0" collapsed="false">
      <c r="A59" s="12" t="s">
        <v>173</v>
      </c>
      <c r="B59" s="12" t="str">
        <f aca="false">червень!B59</f>
        <v>Токар Є.А.</v>
      </c>
      <c r="C59" s="12" t="s">
        <v>175</v>
      </c>
      <c r="D59" s="14" t="n">
        <f aca="false">червень!P59</f>
        <v>4550.55</v>
      </c>
      <c r="E59" s="14" t="n">
        <f aca="false">червень!Q59</f>
        <v>0</v>
      </c>
      <c r="F59" s="13" t="n">
        <f aca="false">червень!F59</f>
        <v>0</v>
      </c>
      <c r="G59" s="13" t="n">
        <f aca="false">червень!G59</f>
        <v>49.22</v>
      </c>
      <c r="H59" s="13" t="n">
        <f aca="false">червень!H59</f>
        <v>0</v>
      </c>
      <c r="I59" s="13" t="n">
        <f aca="false">червень!I59</f>
        <v>4.1</v>
      </c>
      <c r="J59" s="14" t="n">
        <f aca="false">ROUND(G59*I59,2)</f>
        <v>201.8</v>
      </c>
      <c r="K59" s="14"/>
      <c r="L59" s="14"/>
      <c r="M59" s="14"/>
      <c r="N59" s="14" t="n">
        <f aca="false">ROUND((G59*I59)-K59-L59-M59,2)</f>
        <v>201.8</v>
      </c>
      <c r="O59" s="14"/>
      <c r="P59" s="14" t="n">
        <f aca="false">ROUND(IF(D59=0,IF((N59-E59-O59)&gt;0,(N59-E59-O59),0),IF((D59+N59-O59)&gt;0,(D59+N59-O59),0)),2)</f>
        <v>4752.35</v>
      </c>
      <c r="Q59" s="14" t="n">
        <f aca="false">ROUND(IF(E59=0,IF((D59+N59-O59)&lt;0,ABS(D59+N59-O59),0),IF((N59-E59-O59)&lt;0,ABS(N59-E59-O59),0)),2)</f>
        <v>0</v>
      </c>
    </row>
    <row r="60" customFormat="false" ht="15" hidden="false" customHeight="true" outlineLevel="0" collapsed="false">
      <c r="A60" s="12" t="s">
        <v>176</v>
      </c>
      <c r="B60" s="12" t="str">
        <f aca="false">червень!B60</f>
        <v>Констанчук І.В.</v>
      </c>
      <c r="C60" s="12" t="s">
        <v>178</v>
      </c>
      <c r="D60" s="14" t="n">
        <f aca="false">червень!P60</f>
        <v>10480.41</v>
      </c>
      <c r="E60" s="14" t="n">
        <f aca="false">червень!Q60</f>
        <v>0</v>
      </c>
      <c r="F60" s="13" t="n">
        <f aca="false">червень!F60</f>
        <v>0</v>
      </c>
      <c r="G60" s="13" t="n">
        <f aca="false">червень!G60</f>
        <v>65.5</v>
      </c>
      <c r="H60" s="13" t="n">
        <f aca="false">червень!H60</f>
        <v>0</v>
      </c>
      <c r="I60" s="13" t="n">
        <f aca="false">червень!I60</f>
        <v>4.1</v>
      </c>
      <c r="J60" s="14" t="n">
        <f aca="false">ROUND(G60*I60,2)</f>
        <v>268.55</v>
      </c>
      <c r="K60" s="14"/>
      <c r="L60" s="14"/>
      <c r="M60" s="14"/>
      <c r="N60" s="14" t="n">
        <f aca="false">ROUND((G60*I60)-K60-L60-M60,2)</f>
        <v>268.55</v>
      </c>
      <c r="O60" s="14"/>
      <c r="P60" s="14" t="n">
        <f aca="false">ROUND(IF(D60=0,IF((N60-E60-O60)&gt;0,(N60-E60-O60),0),IF((D60+N60-O60)&gt;0,(D60+N60-O60),0)),2)</f>
        <v>10748.96</v>
      </c>
      <c r="Q60" s="14" t="n">
        <f aca="false">ROUND(IF(E60=0,IF((D60+N60-O60)&lt;0,ABS(D60+N60-O60),0),IF((N60-E60-O60)&lt;0,ABS(N60-E60-O60),0)),2)</f>
        <v>0</v>
      </c>
    </row>
    <row r="61" customFormat="false" ht="15" hidden="false" customHeight="true" outlineLevel="0" collapsed="false">
      <c r="A61" s="12" t="s">
        <v>179</v>
      </c>
      <c r="B61" s="12" t="str">
        <f aca="false">червень!B61</f>
        <v>Гончаров В.В.</v>
      </c>
      <c r="C61" s="12" t="s">
        <v>181</v>
      </c>
      <c r="D61" s="14" t="n">
        <f aca="false">червень!P61</f>
        <v>894.92</v>
      </c>
      <c r="E61" s="14" t="n">
        <f aca="false">червень!Q61</f>
        <v>0</v>
      </c>
      <c r="F61" s="13" t="n">
        <f aca="false">червень!F61</f>
        <v>0</v>
      </c>
      <c r="G61" s="13" t="n">
        <f aca="false">червень!G61</f>
        <v>62.64</v>
      </c>
      <c r="H61" s="13" t="n">
        <f aca="false">червень!H61</f>
        <v>0</v>
      </c>
      <c r="I61" s="13" t="n">
        <f aca="false">червень!I61</f>
        <v>4.1</v>
      </c>
      <c r="J61" s="14" t="n">
        <f aca="false">ROUND(G61*I61,2)</f>
        <v>256.82</v>
      </c>
      <c r="K61" s="14"/>
      <c r="L61" s="14"/>
      <c r="M61" s="14"/>
      <c r="N61" s="14" t="n">
        <f aca="false">ROUND((G61*I61)-K61-L61-M61,2)</f>
        <v>256.82</v>
      </c>
      <c r="O61" s="14"/>
      <c r="P61" s="14" t="n">
        <f aca="false">ROUND(IF(D61=0,IF((N61-E61-O61)&gt;0,(N61-E61-O61),0),IF((D61+N61-O61)&gt;0,(D61+N61-O61),0)),2)</f>
        <v>1151.74</v>
      </c>
      <c r="Q61" s="14" t="n">
        <f aca="false">ROUND(IF(E61=0,IF((D61+N61-O61)&lt;0,ABS(D61+N61-O61),0),IF((N61-E61-O61)&lt;0,ABS(N61-E61-O61),0)),2)</f>
        <v>0</v>
      </c>
    </row>
    <row r="62" customFormat="false" ht="15" hidden="false" customHeight="true" outlineLevel="0" collapsed="false">
      <c r="A62" s="12" t="s">
        <v>182</v>
      </c>
      <c r="B62" s="12" t="str">
        <f aca="false">червень!B62</f>
        <v>Ляхомський В.О.</v>
      </c>
      <c r="C62" s="12" t="s">
        <v>184</v>
      </c>
      <c r="D62" s="14" t="n">
        <f aca="false">червень!P62</f>
        <v>1871.17</v>
      </c>
      <c r="E62" s="14" t="n">
        <f aca="false">червень!Q62</f>
        <v>0</v>
      </c>
      <c r="F62" s="13" t="n">
        <f aca="false">червень!F62</f>
        <v>0</v>
      </c>
      <c r="G62" s="13" t="n">
        <f aca="false">червень!G62</f>
        <v>34.9</v>
      </c>
      <c r="H62" s="13" t="n">
        <f aca="false">червень!H62</f>
        <v>0</v>
      </c>
      <c r="I62" s="13" t="n">
        <f aca="false">червень!I62</f>
        <v>4.1</v>
      </c>
      <c r="J62" s="14" t="n">
        <f aca="false">ROUND(G62*I62,2)</f>
        <v>143.09</v>
      </c>
      <c r="K62" s="14"/>
      <c r="L62" s="14"/>
      <c r="M62" s="14"/>
      <c r="N62" s="14" t="n">
        <f aca="false">ROUND((G62*I62)-K62-L62-M62,2)</f>
        <v>143.09</v>
      </c>
      <c r="O62" s="14"/>
      <c r="P62" s="14" t="n">
        <f aca="false">ROUND(IF(D62=0,IF((N62-E62-O62)&gt;0,(N62-E62-O62),0),IF((D62+N62-O62)&gt;0,(D62+N62-O62),0)),2)</f>
        <v>2014.26</v>
      </c>
      <c r="Q62" s="14" t="n">
        <f aca="false">ROUND(IF(E62=0,IF((D62+N62-O62)&lt;0,ABS(D62+N62-O62),0),IF((N62-E62-O62)&lt;0,ABS(N62-E62-O62),0)),2)</f>
        <v>0</v>
      </c>
    </row>
    <row r="63" customFormat="false" ht="15" hidden="false" customHeight="true" outlineLevel="0" collapsed="false">
      <c r="A63" s="12" t="s">
        <v>185</v>
      </c>
      <c r="B63" s="12" t="str">
        <f aca="false">червень!B63</f>
        <v>Крамаренко В.П.</v>
      </c>
      <c r="C63" s="12" t="s">
        <v>187</v>
      </c>
      <c r="D63" s="14" t="n">
        <f aca="false">червень!P63</f>
        <v>2041.4</v>
      </c>
      <c r="E63" s="14" t="n">
        <f aca="false">червень!Q63</f>
        <v>0</v>
      </c>
      <c r="F63" s="13" t="n">
        <f aca="false">червень!F63</f>
        <v>0</v>
      </c>
      <c r="G63" s="13" t="n">
        <f aca="false">червень!G63</f>
        <v>49.79</v>
      </c>
      <c r="H63" s="13" t="n">
        <f aca="false">червень!H63</f>
        <v>0</v>
      </c>
      <c r="I63" s="13" t="n">
        <f aca="false">червень!I63</f>
        <v>4.1</v>
      </c>
      <c r="J63" s="14" t="n">
        <f aca="false">ROUND(G63*I63,2)</f>
        <v>204.14</v>
      </c>
      <c r="K63" s="14"/>
      <c r="L63" s="14"/>
      <c r="M63" s="14"/>
      <c r="N63" s="14" t="n">
        <f aca="false">ROUND((G63*I63)-K63-L63-M63,2)</f>
        <v>204.14</v>
      </c>
      <c r="O63" s="14"/>
      <c r="P63" s="14" t="n">
        <f aca="false">ROUND(IF(D63=0,IF((N63-E63-O63)&gt;0,(N63-E63-O63),0),IF((D63+N63-O63)&gt;0,(D63+N63-O63),0)),2)</f>
        <v>2245.54</v>
      </c>
      <c r="Q63" s="14" t="n">
        <f aca="false">ROUND(IF(E63=0,IF((D63+N63-O63)&lt;0,ABS(D63+N63-O63),0),IF((N63-E63-O63)&lt;0,ABS(N63-E63-O63),0)),2)</f>
        <v>0</v>
      </c>
    </row>
    <row r="64" customFormat="false" ht="15" hidden="false" customHeight="true" outlineLevel="0" collapsed="false">
      <c r="A64" s="12" t="s">
        <v>188</v>
      </c>
      <c r="B64" s="12" t="str">
        <f aca="false">червень!B64</f>
        <v>Родзик С.Г.</v>
      </c>
      <c r="C64" s="12" t="s">
        <v>190</v>
      </c>
      <c r="D64" s="14" t="n">
        <f aca="false">червень!P64</f>
        <v>5079.08</v>
      </c>
      <c r="E64" s="14" t="n">
        <f aca="false">червень!Q64</f>
        <v>0</v>
      </c>
      <c r="F64" s="13" t="n">
        <f aca="false">червень!F64</f>
        <v>0</v>
      </c>
      <c r="G64" s="13" t="n">
        <f aca="false">червень!G64</f>
        <v>65.2</v>
      </c>
      <c r="H64" s="13" t="n">
        <f aca="false">червень!H64</f>
        <v>0</v>
      </c>
      <c r="I64" s="13" t="n">
        <f aca="false">червень!I64</f>
        <v>4.1</v>
      </c>
      <c r="J64" s="14" t="n">
        <f aca="false">ROUND(G64*I64,2)</f>
        <v>267.32</v>
      </c>
      <c r="K64" s="14"/>
      <c r="L64" s="14"/>
      <c r="M64" s="14"/>
      <c r="N64" s="14" t="n">
        <f aca="false">ROUND((G64*I64)-K64-L64-M64,2)</f>
        <v>267.32</v>
      </c>
      <c r="O64" s="14"/>
      <c r="P64" s="14" t="n">
        <f aca="false">ROUND(IF(D64=0,IF((N64-E64-O64)&gt;0,(N64-E64-O64),0),IF((D64+N64-O64)&gt;0,(D64+N64-O64),0)),2)</f>
        <v>5346.4</v>
      </c>
      <c r="Q64" s="14" t="n">
        <f aca="false">ROUND(IF(E64=0,IF((D64+N64-O64)&lt;0,ABS(D64+N64-O64),0),IF((N64-E64-O64)&lt;0,ABS(N64-E64-O64),0)),2)</f>
        <v>0</v>
      </c>
    </row>
    <row r="65" customFormat="false" ht="15" hidden="false" customHeight="true" outlineLevel="0" collapsed="false">
      <c r="A65" s="12" t="s">
        <v>191</v>
      </c>
      <c r="B65" s="12" t="str">
        <f aca="false">червень!B65</f>
        <v>Никоненко Н.С.</v>
      </c>
      <c r="C65" s="12" t="s">
        <v>193</v>
      </c>
      <c r="D65" s="14" t="n">
        <f aca="false">червень!P65</f>
        <v>11565.28</v>
      </c>
      <c r="E65" s="14" t="n">
        <f aca="false">червень!Q65</f>
        <v>0</v>
      </c>
      <c r="F65" s="13" t="n">
        <f aca="false">червень!F65</f>
        <v>0</v>
      </c>
      <c r="G65" s="13" t="n">
        <f aca="false">червень!G65</f>
        <v>61.88</v>
      </c>
      <c r="H65" s="13" t="n">
        <f aca="false">червень!H65</f>
        <v>0</v>
      </c>
      <c r="I65" s="13" t="n">
        <f aca="false">червень!I65</f>
        <v>4.1</v>
      </c>
      <c r="J65" s="14" t="n">
        <f aca="false">ROUND(G65*I65,2)</f>
        <v>253.71</v>
      </c>
      <c r="K65" s="14"/>
      <c r="L65" s="14"/>
      <c r="M65" s="14"/>
      <c r="N65" s="14" t="n">
        <f aca="false">ROUND((G65*I65)-K65-L65-M65,2)</f>
        <v>253.71</v>
      </c>
      <c r="O65" s="14"/>
      <c r="P65" s="14" t="n">
        <f aca="false">ROUND(IF(D65=0,IF((N65-E65-O65)&gt;0,(N65-E65-O65),0),IF((D65+N65-O65)&gt;0,(D65+N65-O65),0)),2)</f>
        <v>11818.99</v>
      </c>
      <c r="Q65" s="14" t="n">
        <f aca="false">ROUND(IF(E65=0,IF((D65+N65-O65)&lt;0,ABS(D65+N65-O65),0),IF((N65-E65-O65)&lt;0,ABS(N65-E65-O65),0)),2)</f>
        <v>0</v>
      </c>
    </row>
    <row r="66" customFormat="false" ht="15" hidden="false" customHeight="true" outlineLevel="0" collapsed="false">
      <c r="A66" s="12" t="s">
        <v>194</v>
      </c>
      <c r="B66" s="12" t="str">
        <f aca="false">червень!B66</f>
        <v>Чепок О.В.</v>
      </c>
      <c r="C66" s="12" t="s">
        <v>196</v>
      </c>
      <c r="D66" s="14" t="n">
        <f aca="false">червень!P66</f>
        <v>6444.91</v>
      </c>
      <c r="E66" s="14" t="n">
        <f aca="false">червень!Q66</f>
        <v>0</v>
      </c>
      <c r="F66" s="13" t="n">
        <f aca="false">червень!F66</f>
        <v>0</v>
      </c>
      <c r="G66" s="13" t="n">
        <f aca="false">червень!G66</f>
        <v>35</v>
      </c>
      <c r="H66" s="13" t="n">
        <f aca="false">червень!H66</f>
        <v>0</v>
      </c>
      <c r="I66" s="13" t="n">
        <f aca="false">червень!I66</f>
        <v>4.1</v>
      </c>
      <c r="J66" s="14" t="n">
        <f aca="false">ROUND(G66*I66,2)</f>
        <v>143.5</v>
      </c>
      <c r="K66" s="14"/>
      <c r="L66" s="14"/>
      <c r="M66" s="14"/>
      <c r="N66" s="14" t="n">
        <f aca="false">ROUND((G66*I66)-K66-L66-M66,2)</f>
        <v>143.5</v>
      </c>
      <c r="O66" s="14"/>
      <c r="P66" s="14" t="n">
        <f aca="false">ROUND(IF(D66=0,IF((N66-E66-O66)&gt;0,(N66-E66-O66),0),IF((D66+N66-O66)&gt;0,(D66+N66-O66),0)),2)</f>
        <v>6588.41</v>
      </c>
      <c r="Q66" s="14" t="n">
        <f aca="false">ROUND(IF(E66=0,IF((D66+N66-O66)&lt;0,ABS(D66+N66-O66),0),IF((N66-E66-O66)&lt;0,ABS(N66-E66-O66),0)),2)</f>
        <v>0</v>
      </c>
    </row>
    <row r="67" customFormat="false" ht="15" hidden="false" customHeight="true" outlineLevel="0" collapsed="false">
      <c r="A67" s="12" t="s">
        <v>197</v>
      </c>
      <c r="B67" s="12" t="str">
        <f aca="false">червень!B67</f>
        <v>Горошенко Л.С.</v>
      </c>
      <c r="C67" s="12" t="s">
        <v>199</v>
      </c>
      <c r="D67" s="14" t="n">
        <f aca="false">червень!P67</f>
        <v>3234.08</v>
      </c>
      <c r="E67" s="14" t="n">
        <f aca="false">червень!Q67</f>
        <v>0</v>
      </c>
      <c r="F67" s="13" t="n">
        <f aca="false">червень!F67</f>
        <v>0</v>
      </c>
      <c r="G67" s="13" t="n">
        <f aca="false">червень!G67</f>
        <v>49.3</v>
      </c>
      <c r="H67" s="13" t="n">
        <f aca="false">червень!H67</f>
        <v>0</v>
      </c>
      <c r="I67" s="13" t="n">
        <f aca="false">червень!I67</f>
        <v>4.1</v>
      </c>
      <c r="J67" s="14" t="n">
        <f aca="false">ROUND(G67*I67,2)</f>
        <v>202.13</v>
      </c>
      <c r="K67" s="14"/>
      <c r="L67" s="14"/>
      <c r="M67" s="14"/>
      <c r="N67" s="14" t="n">
        <f aca="false">ROUND((G67*I67)-K67-L67-M67,2)</f>
        <v>202.13</v>
      </c>
      <c r="O67" s="14"/>
      <c r="P67" s="14" t="n">
        <f aca="false">ROUND(IF(D67=0,IF((N67-E67-O67)&gt;0,(N67-E67-O67),0),IF((D67+N67-O67)&gt;0,(D67+N67-O67),0)),2)</f>
        <v>3436.21</v>
      </c>
      <c r="Q67" s="14" t="n">
        <f aca="false">ROUND(IF(E67=0,IF((D67+N67-O67)&lt;0,ABS(D67+N67-O67),0),IF((N67-E67-O67)&lt;0,ABS(N67-E67-O67),0)),2)</f>
        <v>0</v>
      </c>
    </row>
    <row r="68" customFormat="false" ht="15" hidden="false" customHeight="true" outlineLevel="0" collapsed="false">
      <c r="A68" s="12" t="s">
        <v>200</v>
      </c>
      <c r="B68" s="12" t="str">
        <f aca="false">червень!B68</f>
        <v>Неграчева Л.Г.</v>
      </c>
      <c r="C68" s="12" t="s">
        <v>202</v>
      </c>
      <c r="D68" s="14" t="n">
        <f aca="false">червень!P68</f>
        <v>1638.36</v>
      </c>
      <c r="E68" s="14" t="n">
        <f aca="false">червень!Q68</f>
        <v>0</v>
      </c>
      <c r="F68" s="13" t="n">
        <f aca="false">червень!F68</f>
        <v>0</v>
      </c>
      <c r="G68" s="13" t="n">
        <f aca="false">червень!G68</f>
        <v>66.6</v>
      </c>
      <c r="H68" s="13" t="n">
        <f aca="false">червень!H68</f>
        <v>0</v>
      </c>
      <c r="I68" s="13" t="n">
        <f aca="false">червень!I68</f>
        <v>4.1</v>
      </c>
      <c r="J68" s="14" t="n">
        <f aca="false">ROUND(G68*I68,2)</f>
        <v>273.06</v>
      </c>
      <c r="K68" s="14"/>
      <c r="L68" s="14"/>
      <c r="M68" s="14"/>
      <c r="N68" s="14" t="n">
        <f aca="false">ROUND((G68*I68)-K68-L68-M68,2)</f>
        <v>273.06</v>
      </c>
      <c r="O68" s="14"/>
      <c r="P68" s="14" t="n">
        <f aca="false">ROUND(IF(D68=0,IF((N68-E68-O68)&gt;0,(N68-E68-O68),0),IF((D68+N68-O68)&gt;0,(D68+N68-O68),0)),2)</f>
        <v>1911.42</v>
      </c>
      <c r="Q68" s="14" t="n">
        <f aca="false">ROUND(IF(E68=0,IF((D68+N68-O68)&lt;0,ABS(D68+N68-O68),0),IF((N68-E68-O68)&lt;0,ABS(N68-E68-O68),0)),2)</f>
        <v>0</v>
      </c>
    </row>
    <row r="69" customFormat="false" ht="15" hidden="false" customHeight="true" outlineLevel="0" collapsed="false">
      <c r="A69" s="12" t="s">
        <v>203</v>
      </c>
      <c r="B69" s="12" t="str">
        <f aca="false">червень!B69</f>
        <v>Брежнєв О.В.</v>
      </c>
      <c r="C69" s="12" t="s">
        <v>205</v>
      </c>
      <c r="D69" s="14" t="n">
        <f aca="false">червень!P69</f>
        <v>2936.5</v>
      </c>
      <c r="E69" s="14" t="n">
        <f aca="false">червень!Q69</f>
        <v>0</v>
      </c>
      <c r="F69" s="13" t="n">
        <f aca="false">червень!F69</f>
        <v>0</v>
      </c>
      <c r="G69" s="13" t="n">
        <f aca="false">червень!G69</f>
        <v>61.88</v>
      </c>
      <c r="H69" s="13" t="n">
        <f aca="false">червень!H69</f>
        <v>0</v>
      </c>
      <c r="I69" s="13" t="n">
        <f aca="false">червень!I69</f>
        <v>4.1</v>
      </c>
      <c r="J69" s="14" t="n">
        <f aca="false">ROUND(G69*I69,2)</f>
        <v>253.71</v>
      </c>
      <c r="K69" s="14"/>
      <c r="L69" s="14"/>
      <c r="M69" s="14"/>
      <c r="N69" s="14" t="n">
        <f aca="false">ROUND((G69*I69)-K69-L69-M69,2)</f>
        <v>253.71</v>
      </c>
      <c r="O69" s="14"/>
      <c r="P69" s="14" t="n">
        <f aca="false">ROUND(IF(D69=0,IF((N69-E69-O69)&gt;0,(N69-E69-O69),0),IF((D69+N69-O69)&gt;0,(D69+N69-O69),0)),2)</f>
        <v>3190.21</v>
      </c>
      <c r="Q69" s="14" t="n">
        <f aca="false">ROUND(IF(E69=0,IF((D69+N69-O69)&lt;0,ABS(D69+N69-O69),0),IF((N69-E69-O69)&lt;0,ABS(N69-E69-O69),0)),2)</f>
        <v>0</v>
      </c>
    </row>
    <row r="70" customFormat="false" ht="15" hidden="false" customHeight="true" outlineLevel="0" collapsed="false">
      <c r="A70" s="12" t="s">
        <v>206</v>
      </c>
      <c r="B70" s="12" t="str">
        <f aca="false">червень!B70</f>
        <v>Горбатюк К.О.</v>
      </c>
      <c r="C70" s="12" t="s">
        <v>208</v>
      </c>
      <c r="D70" s="14" t="n">
        <f aca="false">червень!P70</f>
        <v>1863.42</v>
      </c>
      <c r="E70" s="14" t="n">
        <f aca="false">червень!Q70</f>
        <v>0</v>
      </c>
      <c r="F70" s="13" t="n">
        <f aca="false">червень!F70</f>
        <v>0</v>
      </c>
      <c r="G70" s="13" t="n">
        <f aca="false">червень!G70</f>
        <v>34.96</v>
      </c>
      <c r="H70" s="13" t="n">
        <f aca="false">червень!H70</f>
        <v>0</v>
      </c>
      <c r="I70" s="13" t="n">
        <f aca="false">червень!I70</f>
        <v>4.1</v>
      </c>
      <c r="J70" s="14" t="n">
        <f aca="false">ROUND(G70*I70,2)</f>
        <v>143.34</v>
      </c>
      <c r="K70" s="14"/>
      <c r="L70" s="14"/>
      <c r="M70" s="14"/>
      <c r="N70" s="14" t="n">
        <f aca="false">ROUND((G70*I70)-K70-L70-M70,2)</f>
        <v>143.34</v>
      </c>
      <c r="O70" s="14"/>
      <c r="P70" s="14" t="n">
        <f aca="false">ROUND(IF(D70=0,IF((N70-E70-O70)&gt;0,(N70-E70-O70),0),IF((D70+N70-O70)&gt;0,(D70+N70-O70),0)),2)</f>
        <v>2006.76</v>
      </c>
      <c r="Q70" s="14" t="n">
        <f aca="false">ROUND(IF(E70=0,IF((D70+N70-O70)&lt;0,ABS(D70+N70-O70),0),IF((N70-E70-O70)&lt;0,ABS(N70-E70-O70),0)),2)</f>
        <v>0</v>
      </c>
    </row>
    <row r="71" customFormat="false" ht="15" hidden="false" customHeight="true" outlineLevel="0" collapsed="false">
      <c r="A71" s="12" t="s">
        <v>209</v>
      </c>
      <c r="B71" s="12" t="str">
        <f aca="false">червень!B71</f>
        <v>Божик М.О.</v>
      </c>
      <c r="C71" s="12" t="s">
        <v>211</v>
      </c>
      <c r="D71" s="14" t="n">
        <f aca="false">червень!P71</f>
        <v>1025.6</v>
      </c>
      <c r="E71" s="14" t="n">
        <f aca="false">червень!Q71</f>
        <v>0</v>
      </c>
      <c r="F71" s="13" t="n">
        <f aca="false">червень!F71</f>
        <v>0</v>
      </c>
      <c r="G71" s="13" t="n">
        <f aca="false">червень!G71</f>
        <v>50.03</v>
      </c>
      <c r="H71" s="13" t="n">
        <f aca="false">червень!H71</f>
        <v>0</v>
      </c>
      <c r="I71" s="13" t="n">
        <f aca="false">червень!I71</f>
        <v>4.1</v>
      </c>
      <c r="J71" s="14" t="n">
        <f aca="false">ROUND(G71*I71,2)</f>
        <v>205.12</v>
      </c>
      <c r="K71" s="14"/>
      <c r="L71" s="14"/>
      <c r="M71" s="14"/>
      <c r="N71" s="14" t="n">
        <f aca="false">ROUND((G71*I71)-K71-L71-M71,2)</f>
        <v>205.12</v>
      </c>
      <c r="O71" s="14"/>
      <c r="P71" s="14" t="n">
        <f aca="false">ROUND(IF(D71=0,IF((N71-E71-O71)&gt;0,(N71-E71-O71),0),IF((D71+N71-O71)&gt;0,(D71+N71-O71),0)),2)</f>
        <v>1230.72</v>
      </c>
      <c r="Q71" s="14" t="n">
        <f aca="false">ROUND(IF(E71=0,IF((D71+N71-O71)&lt;0,ABS(D71+N71-O71),0),IF((N71-E71-O71)&lt;0,ABS(N71-E71-O71),0)),2)</f>
        <v>0</v>
      </c>
    </row>
    <row r="72" customFormat="false" ht="15" hidden="false" customHeight="true" outlineLevel="0" collapsed="false">
      <c r="A72" s="12" t="s">
        <v>212</v>
      </c>
      <c r="B72" s="12" t="str">
        <f aca="false">червень!B72</f>
        <v>Зайченко С.Л</v>
      </c>
      <c r="C72" s="12" t="s">
        <v>214</v>
      </c>
      <c r="D72" s="14" t="n">
        <f aca="false">червень!P72</f>
        <v>14127.69</v>
      </c>
      <c r="E72" s="14" t="n">
        <f aca="false">червень!Q72</f>
        <v>0</v>
      </c>
      <c r="F72" s="13" t="n">
        <f aca="false">червень!F72</f>
        <v>0</v>
      </c>
      <c r="G72" s="13" t="n">
        <f aca="false">червень!G72</f>
        <v>65.15</v>
      </c>
      <c r="H72" s="13" t="n">
        <f aca="false">червень!H72</f>
        <v>0</v>
      </c>
      <c r="I72" s="13" t="n">
        <f aca="false">червень!I72</f>
        <v>4.1</v>
      </c>
      <c r="J72" s="14" t="n">
        <f aca="false">ROUND(G72*I72,2)</f>
        <v>267.12</v>
      </c>
      <c r="K72" s="14"/>
      <c r="L72" s="14"/>
      <c r="M72" s="14"/>
      <c r="N72" s="14" t="n">
        <f aca="false">ROUND((G72*I72)-K72-L72-M72,2)</f>
        <v>267.12</v>
      </c>
      <c r="O72" s="14"/>
      <c r="P72" s="14" t="n">
        <f aca="false">ROUND(IF(D72=0,IF((N72-E72-O72)&gt;0,(N72-E72-O72),0),IF((D72+N72-O72)&gt;0,(D72+N72-O72),0)),2)</f>
        <v>14394.81</v>
      </c>
      <c r="Q72" s="14" t="n">
        <f aca="false">ROUND(IF(E72=0,IF((D72+N72-O72)&lt;0,ABS(D72+N72-O72),0),IF((N72-E72-O72)&lt;0,ABS(N72-E72-O72),0)),2)</f>
        <v>0</v>
      </c>
    </row>
    <row r="73" customFormat="false" ht="15" hidden="false" customHeight="true" outlineLevel="0" collapsed="false">
      <c r="A73" s="12" t="s">
        <v>215</v>
      </c>
      <c r="B73" s="12" t="str">
        <f aca="false">червень!B73</f>
        <v>Бессараб Н.Г.</v>
      </c>
      <c r="C73" s="12" t="s">
        <v>217</v>
      </c>
      <c r="D73" s="14" t="n">
        <f aca="false">червень!P73</f>
        <v>3107.85</v>
      </c>
      <c r="E73" s="14" t="n">
        <f aca="false">червень!Q73</f>
        <v>0</v>
      </c>
      <c r="F73" s="13" t="n">
        <f aca="false">червень!F73</f>
        <v>0</v>
      </c>
      <c r="G73" s="13" t="n">
        <f aca="false">червень!G73</f>
        <v>63.41</v>
      </c>
      <c r="H73" s="13" t="n">
        <f aca="false">червень!H73</f>
        <v>0</v>
      </c>
      <c r="I73" s="13" t="n">
        <f aca="false">червень!I73</f>
        <v>4.1</v>
      </c>
      <c r="J73" s="14" t="n">
        <f aca="false">ROUND(G73*I73,2)</f>
        <v>259.98</v>
      </c>
      <c r="K73" s="14"/>
      <c r="L73" s="14"/>
      <c r="M73" s="14"/>
      <c r="N73" s="14" t="n">
        <f aca="false">ROUND((G73*I73)-K73-L73-M73,2)</f>
        <v>259.98</v>
      </c>
      <c r="O73" s="14"/>
      <c r="P73" s="14" t="n">
        <f aca="false">ROUND(IF(D73=0,IF((N73-E73-O73)&gt;0,(N73-E73-O73),0),IF((D73+N73-O73)&gt;0,(D73+N73-O73),0)),2)</f>
        <v>3367.83</v>
      </c>
      <c r="Q73" s="14" t="n">
        <f aca="false">ROUND(IF(E73=0,IF((D73+N73-O73)&lt;0,ABS(D73+N73-O73),0),IF((N73-E73-O73)&lt;0,ABS(N73-E73-O73),0)),2)</f>
        <v>0</v>
      </c>
    </row>
    <row r="74" customFormat="false" ht="15" hidden="false" customHeight="true" outlineLevel="0" collapsed="false">
      <c r="A74" s="12" t="s">
        <v>218</v>
      </c>
      <c r="B74" s="12" t="str">
        <f aca="false">червень!B74</f>
        <v>Прохорова С.І.</v>
      </c>
      <c r="C74" s="12" t="s">
        <v>220</v>
      </c>
      <c r="D74" s="14" t="n">
        <f aca="false">червень!P74</f>
        <v>819.92</v>
      </c>
      <c r="E74" s="14" t="n">
        <f aca="false">червень!Q74</f>
        <v>0</v>
      </c>
      <c r="F74" s="13" t="n">
        <f aca="false">червень!F74</f>
        <v>0</v>
      </c>
      <c r="G74" s="13" t="n">
        <f aca="false">червень!G74</f>
        <v>35.19</v>
      </c>
      <c r="H74" s="13" t="n">
        <f aca="false">червень!H74</f>
        <v>0</v>
      </c>
      <c r="I74" s="13" t="n">
        <f aca="false">червень!I74</f>
        <v>4.1</v>
      </c>
      <c r="J74" s="14" t="n">
        <f aca="false">ROUND(G74*I74,2)</f>
        <v>144.28</v>
      </c>
      <c r="K74" s="14"/>
      <c r="L74" s="14"/>
      <c r="M74" s="14"/>
      <c r="N74" s="14" t="n">
        <f aca="false">ROUND((G74*I74)-K74-L74-M74,2)</f>
        <v>144.28</v>
      </c>
      <c r="O74" s="14"/>
      <c r="P74" s="14" t="n">
        <f aca="false">ROUND(IF(D74=0,IF((N74-E74-O74)&gt;0,(N74-E74-O74),0),IF((D74+N74-O74)&gt;0,(D74+N74-O74),0)),2)</f>
        <v>964.2</v>
      </c>
      <c r="Q74" s="14" t="n">
        <f aca="false">ROUND(IF(E74=0,IF((D74+N74-O74)&lt;0,ABS(D74+N74-O74),0),IF((N74-E74-O74)&lt;0,ABS(N74-E74-O74),0)),2)</f>
        <v>0</v>
      </c>
    </row>
    <row r="75" customFormat="false" ht="15" hidden="false" customHeight="true" outlineLevel="0" collapsed="false">
      <c r="A75" s="12" t="s">
        <v>221</v>
      </c>
      <c r="B75" s="12" t="str">
        <f aca="false">червень!B75</f>
        <v>Браташ А.Ф.</v>
      </c>
      <c r="C75" s="12" t="s">
        <v>223</v>
      </c>
      <c r="D75" s="14" t="n">
        <f aca="false">червень!P75</f>
        <v>11108.37</v>
      </c>
      <c r="E75" s="14" t="n">
        <f aca="false">червень!Q75</f>
        <v>0</v>
      </c>
      <c r="F75" s="13" t="n">
        <f aca="false">червень!F75</f>
        <v>0</v>
      </c>
      <c r="G75" s="13" t="n">
        <f aca="false">червень!G75</f>
        <v>49.89</v>
      </c>
      <c r="H75" s="13" t="n">
        <f aca="false">червень!H75</f>
        <v>0</v>
      </c>
      <c r="I75" s="13" t="n">
        <f aca="false">червень!I75</f>
        <v>4.1</v>
      </c>
      <c r="J75" s="14" t="n">
        <f aca="false">ROUND(G75*I75,2)</f>
        <v>204.55</v>
      </c>
      <c r="K75" s="14"/>
      <c r="L75" s="14"/>
      <c r="M75" s="14"/>
      <c r="N75" s="14" t="n">
        <f aca="false">ROUND((G75*I75)-K75-L75-M75,2)</f>
        <v>204.55</v>
      </c>
      <c r="O75" s="14"/>
      <c r="P75" s="14" t="n">
        <f aca="false">ROUND(IF(D75=0,IF((N75-E75-O75)&gt;0,(N75-E75-O75),0),IF((D75+N75-O75)&gt;0,(D75+N75-O75),0)),2)</f>
        <v>11312.92</v>
      </c>
      <c r="Q75" s="14" t="n">
        <f aca="false">ROUND(IF(E75=0,IF((D75+N75-O75)&lt;0,ABS(D75+N75-O75),0),IF((N75-E75-O75)&lt;0,ABS(N75-E75-O75),0)),2)</f>
        <v>0</v>
      </c>
    </row>
    <row r="76" customFormat="false" ht="15" hidden="false" customHeight="true" outlineLevel="0" collapsed="false">
      <c r="A76" s="12" t="s">
        <v>224</v>
      </c>
      <c r="B76" s="12" t="str">
        <f aca="false">червень!B76</f>
        <v>Кудас Д.О.</v>
      </c>
      <c r="C76" s="12" t="s">
        <v>226</v>
      </c>
      <c r="D76" s="14" t="n">
        <f aca="false">червень!P76</f>
        <v>2666.2</v>
      </c>
      <c r="E76" s="14" t="n">
        <f aca="false">червень!Q76</f>
        <v>0</v>
      </c>
      <c r="F76" s="13" t="n">
        <f aca="false">червень!F76</f>
        <v>0</v>
      </c>
      <c r="G76" s="13" t="n">
        <f aca="false">червень!G76</f>
        <v>65.03</v>
      </c>
      <c r="H76" s="13" t="n">
        <f aca="false">червень!H76</f>
        <v>0</v>
      </c>
      <c r="I76" s="13" t="n">
        <f aca="false">червень!I76</f>
        <v>4.1</v>
      </c>
      <c r="J76" s="14" t="n">
        <f aca="false">ROUND(G76*I76,2)</f>
        <v>266.62</v>
      </c>
      <c r="K76" s="14"/>
      <c r="L76" s="14"/>
      <c r="M76" s="14"/>
      <c r="N76" s="14" t="n">
        <f aca="false">ROUND((G76*I76)-K76-L76-M76,2)</f>
        <v>266.62</v>
      </c>
      <c r="O76" s="14"/>
      <c r="P76" s="14" t="n">
        <f aca="false">ROUND(IF(D76=0,IF((N76-E76-O76)&gt;0,(N76-E76-O76),0),IF((D76+N76-O76)&gt;0,(D76+N76-O76),0)),2)</f>
        <v>2932.82</v>
      </c>
      <c r="Q76" s="14" t="n">
        <f aca="false">ROUND(IF(E76=0,IF((D76+N76-O76)&lt;0,ABS(D76+N76-O76),0),IF((N76-E76-O76)&lt;0,ABS(N76-E76-O76),0)),2)</f>
        <v>0</v>
      </c>
    </row>
    <row r="77" customFormat="false" ht="15" hidden="false" customHeight="true" outlineLevel="0" collapsed="false">
      <c r="A77" s="12" t="s">
        <v>227</v>
      </c>
      <c r="B77" s="12" t="str">
        <f aca="false">червень!B77</f>
        <v>Шушлєбін Б.В.</v>
      </c>
      <c r="C77" s="12" t="s">
        <v>229</v>
      </c>
      <c r="D77" s="14" t="n">
        <f aca="false">червень!P77</f>
        <v>1357.2</v>
      </c>
      <c r="E77" s="14" t="n">
        <f aca="false">червень!Q77</f>
        <v>0</v>
      </c>
      <c r="F77" s="13" t="n">
        <f aca="false">червень!F77</f>
        <v>0</v>
      </c>
      <c r="G77" s="13" t="n">
        <f aca="false">червень!G77</f>
        <v>62.11</v>
      </c>
      <c r="H77" s="13" t="n">
        <f aca="false">червень!H77</f>
        <v>0</v>
      </c>
      <c r="I77" s="13" t="n">
        <f aca="false">червень!I77</f>
        <v>4.1</v>
      </c>
      <c r="J77" s="14" t="n">
        <f aca="false">ROUND(G77*I77,2)</f>
        <v>254.65</v>
      </c>
      <c r="K77" s="14"/>
      <c r="L77" s="14"/>
      <c r="M77" s="14"/>
      <c r="N77" s="14" t="n">
        <f aca="false">ROUND((G77*I77)-K77-L77-M77,2)</f>
        <v>254.65</v>
      </c>
      <c r="O77" s="14"/>
      <c r="P77" s="14" t="n">
        <f aca="false">ROUND(IF(D77=0,IF((N77-E77-O77)&gt;0,(N77-E77-O77),0),IF((D77+N77-O77)&gt;0,(D77+N77-O77),0)),2)</f>
        <v>1611.85</v>
      </c>
      <c r="Q77" s="14" t="n">
        <f aca="false">ROUND(IF(E77=0,IF((D77+N77-O77)&lt;0,ABS(D77+N77-O77),0),IF((N77-E77-O77)&lt;0,ABS(N77-E77-O77),0)),2)</f>
        <v>0</v>
      </c>
    </row>
    <row r="78" customFormat="false" ht="15" hidden="false" customHeight="true" outlineLevel="0" collapsed="false">
      <c r="A78" s="12" t="s">
        <v>230</v>
      </c>
      <c r="B78" s="12" t="str">
        <f aca="false">червень!B78</f>
        <v>Бородіна І.О.</v>
      </c>
      <c r="C78" s="12" t="s">
        <v>232</v>
      </c>
      <c r="D78" s="14" t="n">
        <f aca="false">червень!P78</f>
        <v>7048.53</v>
      </c>
      <c r="E78" s="14" t="n">
        <f aca="false">червень!Q78</f>
        <v>0</v>
      </c>
      <c r="F78" s="13" t="n">
        <f aca="false">червень!F78</f>
        <v>0</v>
      </c>
      <c r="G78" s="13" t="n">
        <f aca="false">червень!G78</f>
        <v>34.9</v>
      </c>
      <c r="H78" s="13" t="n">
        <f aca="false">червень!H78</f>
        <v>0</v>
      </c>
      <c r="I78" s="13" t="n">
        <f aca="false">червень!I78</f>
        <v>4.1</v>
      </c>
      <c r="J78" s="14" t="n">
        <f aca="false">ROUND(G78*I78,2)</f>
        <v>143.09</v>
      </c>
      <c r="K78" s="14"/>
      <c r="L78" s="14"/>
      <c r="M78" s="14"/>
      <c r="N78" s="14" t="n">
        <f aca="false">ROUND((G78*I78)-K78-L78-M78,2)</f>
        <v>143.09</v>
      </c>
      <c r="O78" s="14"/>
      <c r="P78" s="14" t="n">
        <f aca="false">ROUND(IF(D78=0,IF((N78-E78-O78)&gt;0,(N78-E78-O78),0),IF((D78+N78-O78)&gt;0,(D78+N78-O78),0)),2)</f>
        <v>7191.62</v>
      </c>
      <c r="Q78" s="14" t="n">
        <f aca="false">ROUND(IF(E78=0,IF((D78+N78-O78)&lt;0,ABS(D78+N78-O78),0),IF((N78-E78-O78)&lt;0,ABS(N78-E78-O78),0)),2)</f>
        <v>0</v>
      </c>
    </row>
    <row r="79" customFormat="false" ht="15" hidden="false" customHeight="true" outlineLevel="0" collapsed="false">
      <c r="A79" s="12" t="s">
        <v>233</v>
      </c>
      <c r="B79" s="12" t="str">
        <f aca="false">червень!B79</f>
        <v>Котурга Л.Й.</v>
      </c>
      <c r="C79" s="12" t="s">
        <v>235</v>
      </c>
      <c r="D79" s="14" t="n">
        <f aca="false">червень!P79</f>
        <v>1210.32</v>
      </c>
      <c r="E79" s="14" t="n">
        <f aca="false">червень!Q79</f>
        <v>0</v>
      </c>
      <c r="F79" s="13" t="n">
        <f aca="false">червень!F79</f>
        <v>0</v>
      </c>
      <c r="G79" s="13" t="n">
        <f aca="false">червень!G79</f>
        <v>49.2</v>
      </c>
      <c r="H79" s="13" t="n">
        <f aca="false">червень!H79</f>
        <v>0</v>
      </c>
      <c r="I79" s="13" t="n">
        <f aca="false">червень!I79</f>
        <v>4.1</v>
      </c>
      <c r="J79" s="14" t="n">
        <f aca="false">ROUND(G79*I79,2)</f>
        <v>201.72</v>
      </c>
      <c r="K79" s="14"/>
      <c r="L79" s="14"/>
      <c r="M79" s="14"/>
      <c r="N79" s="14" t="n">
        <f aca="false">ROUND((G79*I79)-K79-L79-M79,2)</f>
        <v>201.72</v>
      </c>
      <c r="O79" s="14"/>
      <c r="P79" s="14" t="n">
        <f aca="false">ROUND(IF(D79=0,IF((N79-E79-O79)&gt;0,(N79-E79-O79),0),IF((D79+N79-O79)&gt;0,(D79+N79-O79),0)),2)</f>
        <v>1412.04</v>
      </c>
      <c r="Q79" s="14" t="n">
        <f aca="false">ROUND(IF(E79=0,IF((D79+N79-O79)&lt;0,ABS(D79+N79-O79),0),IF((N79-E79-O79)&lt;0,ABS(N79-E79-O79),0)),2)</f>
        <v>0</v>
      </c>
    </row>
    <row r="80" customFormat="false" ht="15" hidden="false" customHeight="true" outlineLevel="0" collapsed="false">
      <c r="A80" s="12" t="s">
        <v>236</v>
      </c>
      <c r="B80" s="12" t="str">
        <f aca="false">червень!B80</f>
        <v>Горова О.І.</v>
      </c>
      <c r="C80" s="12" t="s">
        <v>238</v>
      </c>
      <c r="D80" s="14" t="n">
        <f aca="false">червень!P80</f>
        <v>1877.82</v>
      </c>
      <c r="E80" s="14" t="n">
        <f aca="false">червень!Q80</f>
        <v>0</v>
      </c>
      <c r="F80" s="13" t="n">
        <f aca="false">червень!F80</f>
        <v>0</v>
      </c>
      <c r="G80" s="13" t="n">
        <f aca="false">червень!G80</f>
        <v>65.43</v>
      </c>
      <c r="H80" s="13" t="n">
        <f aca="false">червень!H80</f>
        <v>0</v>
      </c>
      <c r="I80" s="13" t="n">
        <f aca="false">червень!I80</f>
        <v>4.1</v>
      </c>
      <c r="J80" s="14" t="n">
        <f aca="false">ROUND(G80*I80,2)</f>
        <v>268.26</v>
      </c>
      <c r="K80" s="14"/>
      <c r="L80" s="14"/>
      <c r="M80" s="14"/>
      <c r="N80" s="14" t="n">
        <f aca="false">ROUND((G80*I80)-K80-L80-M80,2)</f>
        <v>268.26</v>
      </c>
      <c r="O80" s="14"/>
      <c r="P80" s="14" t="n">
        <f aca="false">ROUND(IF(D80=0,IF((N80-E80-O80)&gt;0,(N80-E80-O80),0),IF((D80+N80-O80)&gt;0,(D80+N80-O80),0)),2)</f>
        <v>2146.08</v>
      </c>
      <c r="Q80" s="14" t="n">
        <f aca="false">ROUND(IF(E80=0,IF((D80+N80-O80)&lt;0,ABS(D80+N80-O80),0),IF((N80-E80-O80)&lt;0,ABS(N80-E80-O80),0)),2)</f>
        <v>0</v>
      </c>
    </row>
    <row r="81" customFormat="false" ht="15" hidden="false" customHeight="true" outlineLevel="0" collapsed="false">
      <c r="A81" s="12" t="s">
        <v>239</v>
      </c>
      <c r="B81" s="12" t="str">
        <f aca="false">червень!B81</f>
        <v>Рибакевич М.П.</v>
      </c>
      <c r="C81" s="12" t="s">
        <v>241</v>
      </c>
      <c r="D81" s="14" t="n">
        <f aca="false">червень!P81</f>
        <v>2599</v>
      </c>
      <c r="E81" s="14" t="n">
        <f aca="false">червень!Q81</f>
        <v>0</v>
      </c>
      <c r="F81" s="13" t="n">
        <f aca="false">червень!F81</f>
        <v>0</v>
      </c>
      <c r="G81" s="13" t="n">
        <f aca="false">червень!G81</f>
        <v>64.5</v>
      </c>
      <c r="H81" s="13" t="n">
        <f aca="false">червень!H81</f>
        <v>0</v>
      </c>
      <c r="I81" s="13" t="n">
        <f aca="false">червень!I81</f>
        <v>4.1</v>
      </c>
      <c r="J81" s="14" t="n">
        <f aca="false">ROUND(G81*I81,2)</f>
        <v>264.45</v>
      </c>
      <c r="K81" s="14"/>
      <c r="L81" s="14"/>
      <c r="M81" s="14"/>
      <c r="N81" s="14" t="n">
        <f aca="false">ROUND((G81*I81)-K81-L81-M81,2)</f>
        <v>264.45</v>
      </c>
      <c r="O81" s="14"/>
      <c r="P81" s="14" t="n">
        <f aca="false">ROUND(IF(D81=0,IF((N81-E81-O81)&gt;0,(N81-E81-O81),0),IF((D81+N81-O81)&gt;0,(D81+N81-O81),0)),2)</f>
        <v>2863.45</v>
      </c>
      <c r="Q81" s="14" t="n">
        <f aca="false">ROUND(IF(E81=0,IF((D81+N81-O81)&lt;0,ABS(D81+N81-O81),0),IF((N81-E81-O81)&lt;0,ABS(N81-E81-O81),0)),2)</f>
        <v>0</v>
      </c>
    </row>
    <row r="82" customFormat="false" ht="15" hidden="false" customHeight="true" outlineLevel="0" collapsed="false">
      <c r="A82" s="12" t="s">
        <v>242</v>
      </c>
      <c r="B82" s="12" t="str">
        <f aca="false">червень!B82</f>
        <v>Башкалов В.В.</v>
      </c>
      <c r="C82" s="12" t="s">
        <v>244</v>
      </c>
      <c r="D82" s="14" t="n">
        <f aca="false">червень!P82</f>
        <v>1246.76</v>
      </c>
      <c r="E82" s="14" t="n">
        <f aca="false">червень!Q82</f>
        <v>0</v>
      </c>
      <c r="F82" s="13" t="n">
        <f aca="false">червень!F82</f>
        <v>0</v>
      </c>
      <c r="G82" s="13" t="n">
        <f aca="false">червень!G82</f>
        <v>50.8</v>
      </c>
      <c r="H82" s="13" t="n">
        <f aca="false">червень!H82</f>
        <v>0</v>
      </c>
      <c r="I82" s="13" t="n">
        <f aca="false">червень!I82</f>
        <v>4.1</v>
      </c>
      <c r="J82" s="14" t="n">
        <f aca="false">ROUND(G82*I82,2)</f>
        <v>208.28</v>
      </c>
      <c r="K82" s="14"/>
      <c r="L82" s="14"/>
      <c r="M82" s="14"/>
      <c r="N82" s="14" t="n">
        <f aca="false">ROUND((G82*I82)-K82-L82-M82,2)</f>
        <v>208.28</v>
      </c>
      <c r="O82" s="14"/>
      <c r="P82" s="14" t="n">
        <f aca="false">ROUND(IF(D82=0,IF((N82-E82-O82)&gt;0,(N82-E82-O82),0),IF((D82+N82-O82)&gt;0,(D82+N82-O82),0)),2)</f>
        <v>1455.04</v>
      </c>
      <c r="Q82" s="14" t="n">
        <f aca="false">ROUND(IF(E82=0,IF((D82+N82-O82)&lt;0,ABS(D82+N82-O82),0),IF((N82-E82-O82)&lt;0,ABS(N82-E82-O82),0)),2)</f>
        <v>0</v>
      </c>
    </row>
    <row r="83" customFormat="false" ht="15" hidden="false" customHeight="true" outlineLevel="0" collapsed="false">
      <c r="A83" s="12" t="s">
        <v>245</v>
      </c>
      <c r="B83" s="12" t="str">
        <f aca="false">червень!B83</f>
        <v>Тіхенко Г.Д.</v>
      </c>
      <c r="C83" s="12" t="s">
        <v>247</v>
      </c>
      <c r="D83" s="14" t="n">
        <f aca="false">червень!P83</f>
        <v>4576.05</v>
      </c>
      <c r="E83" s="14" t="n">
        <f aca="false">червень!Q83</f>
        <v>0</v>
      </c>
      <c r="F83" s="13" t="n">
        <f aca="false">червень!F83</f>
        <v>0</v>
      </c>
      <c r="G83" s="13" t="n">
        <f aca="false">червень!G83</f>
        <v>34.9</v>
      </c>
      <c r="H83" s="13" t="n">
        <f aca="false">червень!H83</f>
        <v>0</v>
      </c>
      <c r="I83" s="13" t="n">
        <f aca="false">червень!I83</f>
        <v>4.1</v>
      </c>
      <c r="J83" s="14" t="n">
        <f aca="false">ROUND(G83*I83,2)</f>
        <v>143.09</v>
      </c>
      <c r="K83" s="14"/>
      <c r="L83" s="14"/>
      <c r="M83" s="14"/>
      <c r="N83" s="14" t="n">
        <f aca="false">ROUND((G83*I83)-K83-L83-M83,2)</f>
        <v>143.09</v>
      </c>
      <c r="O83" s="14"/>
      <c r="P83" s="14" t="n">
        <f aca="false">ROUND(IF(D83=0,IF((N83-E83-O83)&gt;0,(N83-E83-O83),0),IF((D83+N83-O83)&gt;0,(D83+N83-O83),0)),2)</f>
        <v>4719.14</v>
      </c>
      <c r="Q83" s="14" t="n">
        <f aca="false">ROUND(IF(E83=0,IF((D83+N83-O83)&lt;0,ABS(D83+N83-O83),0),IF((N83-E83-O83)&lt;0,ABS(N83-E83-O83),0)),2)</f>
        <v>0</v>
      </c>
    </row>
    <row r="84" customFormat="false" ht="15" hidden="false" customHeight="true" outlineLevel="0" collapsed="false">
      <c r="A84" s="12" t="s">
        <v>248</v>
      </c>
      <c r="B84" s="12" t="str">
        <f aca="false">червень!B84</f>
        <v>Головченко В.Г.</v>
      </c>
      <c r="C84" s="12" t="s">
        <v>250</v>
      </c>
      <c r="D84" s="14" t="n">
        <f aca="false">червень!P84</f>
        <v>1500.7</v>
      </c>
      <c r="E84" s="14" t="n">
        <f aca="false">червень!Q84</f>
        <v>0</v>
      </c>
      <c r="F84" s="13" t="n">
        <f aca="false">червень!F84</f>
        <v>0</v>
      </c>
      <c r="G84" s="13" t="n">
        <f aca="false">червень!G84</f>
        <v>61</v>
      </c>
      <c r="H84" s="13" t="n">
        <f aca="false">червень!H84</f>
        <v>0</v>
      </c>
      <c r="I84" s="13" t="n">
        <f aca="false">червень!I84</f>
        <v>4.1</v>
      </c>
      <c r="J84" s="14" t="n">
        <f aca="false">ROUND(G84*I84,2)</f>
        <v>250.1</v>
      </c>
      <c r="K84" s="14"/>
      <c r="L84" s="14"/>
      <c r="M84" s="14"/>
      <c r="N84" s="14" t="n">
        <f aca="false">ROUND((G84*I84)-K84-L84-M84,2)</f>
        <v>250.1</v>
      </c>
      <c r="O84" s="14"/>
      <c r="P84" s="14" t="n">
        <f aca="false">ROUND(IF(D84=0,IF((N84-E84-O84)&gt;0,(N84-E84-O84),0),IF((D84+N84-O84)&gt;0,(D84+N84-O84),0)),2)</f>
        <v>1750.8</v>
      </c>
      <c r="Q84" s="14" t="n">
        <f aca="false">ROUND(IF(E84=0,IF((D84+N84-O84)&lt;0,ABS(D84+N84-O84),0),IF((N84-E84-O84)&lt;0,ABS(N84-E84-O84),0)),2)</f>
        <v>0</v>
      </c>
    </row>
    <row r="85" customFormat="false" ht="15" hidden="false" customHeight="true" outlineLevel="0" collapsed="false">
      <c r="A85" s="12" t="s">
        <v>251</v>
      </c>
      <c r="B85" s="12" t="str">
        <f aca="false">червень!B85</f>
        <v>Семанішина Є.С.</v>
      </c>
      <c r="C85" s="12" t="s">
        <v>253</v>
      </c>
      <c r="D85" s="14" t="n">
        <f aca="false">червень!P85</f>
        <v>1987.85</v>
      </c>
      <c r="E85" s="14" t="n">
        <f aca="false">червень!Q85</f>
        <v>0</v>
      </c>
      <c r="F85" s="13" t="n">
        <f aca="false">червень!F85</f>
        <v>0</v>
      </c>
      <c r="G85" s="13" t="n">
        <f aca="false">червень!G85</f>
        <v>64.5</v>
      </c>
      <c r="H85" s="13" t="n">
        <f aca="false">червень!H85</f>
        <v>0</v>
      </c>
      <c r="I85" s="13" t="n">
        <f aca="false">червень!I85</f>
        <v>4.1</v>
      </c>
      <c r="J85" s="14" t="n">
        <f aca="false">ROUND(G85*I85,2)</f>
        <v>264.45</v>
      </c>
      <c r="K85" s="14"/>
      <c r="L85" s="14"/>
      <c r="M85" s="14"/>
      <c r="N85" s="14" t="n">
        <f aca="false">ROUND((G85*I85)-K85-L85-M85,2)</f>
        <v>264.45</v>
      </c>
      <c r="O85" s="14"/>
      <c r="P85" s="14" t="n">
        <f aca="false">ROUND(IF(D85=0,IF((N85-E85-O85)&gt;0,(N85-E85-O85),0),IF((D85+N85-O85)&gt;0,(D85+N85-O85),0)),2)</f>
        <v>2252.3</v>
      </c>
      <c r="Q85" s="14" t="n">
        <f aca="false">ROUND(IF(E85=0,IF((D85+N85-O85)&lt;0,ABS(D85+N85-O85),0),IF((N85-E85-O85)&lt;0,ABS(N85-E85-O85),0)),2)</f>
        <v>0</v>
      </c>
    </row>
    <row r="86" customFormat="false" ht="15" hidden="false" customHeight="true" outlineLevel="0" collapsed="false">
      <c r="A86" s="12" t="s">
        <v>254</v>
      </c>
      <c r="B86" s="12" t="str">
        <f aca="false">червень!B86</f>
        <v>Зінченко Ю.В.</v>
      </c>
      <c r="C86" s="12" t="s">
        <v>256</v>
      </c>
      <c r="D86" s="14" t="n">
        <f aca="false">червень!P86</f>
        <v>1197.04</v>
      </c>
      <c r="E86" s="14" t="n">
        <f aca="false">червень!Q86</f>
        <v>0</v>
      </c>
      <c r="F86" s="13" t="n">
        <f aca="false">червень!F86</f>
        <v>0</v>
      </c>
      <c r="G86" s="13" t="n">
        <f aca="false">червень!G86</f>
        <v>49.3</v>
      </c>
      <c r="H86" s="13" t="n">
        <f aca="false">червень!H86</f>
        <v>0</v>
      </c>
      <c r="I86" s="13" t="n">
        <f aca="false">червень!I86</f>
        <v>4.1</v>
      </c>
      <c r="J86" s="14" t="n">
        <f aca="false">ROUND(G86*I86,2)</f>
        <v>202.13</v>
      </c>
      <c r="K86" s="14"/>
      <c r="L86" s="14"/>
      <c r="M86" s="14"/>
      <c r="N86" s="14" t="n">
        <f aca="false">ROUND((G86*I86)-K86-L86-M86,2)</f>
        <v>202.13</v>
      </c>
      <c r="O86" s="14"/>
      <c r="P86" s="14" t="n">
        <f aca="false">ROUND(IF(D86=0,IF((N86-E86-O86)&gt;0,(N86-E86-O86),0),IF((D86+N86-O86)&gt;0,(D86+N86-O86),0)),2)</f>
        <v>1399.17</v>
      </c>
      <c r="Q86" s="14" t="n">
        <f aca="false">ROUND(IF(E86=0,IF((D86+N86-O86)&lt;0,ABS(D86+N86-O86),0),IF((N86-E86-O86)&lt;0,ABS(N86-E86-O86),0)),2)</f>
        <v>0</v>
      </c>
    </row>
    <row r="87" customFormat="false" ht="15" hidden="false" customHeight="true" outlineLevel="0" collapsed="false">
      <c r="A87" s="12" t="s">
        <v>257</v>
      </c>
      <c r="B87" s="12" t="str">
        <f aca="false">червень!B87</f>
        <v>Рилова Г.П.</v>
      </c>
      <c r="C87" s="12" t="s">
        <v>259</v>
      </c>
      <c r="D87" s="14" t="n">
        <f aca="false">червень!P87</f>
        <v>1004.5</v>
      </c>
      <c r="E87" s="14" t="n">
        <f aca="false">червень!Q87</f>
        <v>0</v>
      </c>
      <c r="F87" s="13" t="n">
        <f aca="false">червень!F87</f>
        <v>0</v>
      </c>
      <c r="G87" s="13" t="n">
        <f aca="false">червень!G87</f>
        <v>35</v>
      </c>
      <c r="H87" s="13" t="n">
        <f aca="false">червень!H87</f>
        <v>0</v>
      </c>
      <c r="I87" s="13" t="n">
        <f aca="false">червень!I87</f>
        <v>4.1</v>
      </c>
      <c r="J87" s="14" t="n">
        <f aca="false">ROUND(G87*I87,2)</f>
        <v>143.5</v>
      </c>
      <c r="K87" s="14"/>
      <c r="L87" s="14"/>
      <c r="M87" s="14"/>
      <c r="N87" s="14" t="n">
        <f aca="false">ROUND((G87*I87)-K87-L87-M87,2)</f>
        <v>143.5</v>
      </c>
      <c r="O87" s="14"/>
      <c r="P87" s="14" t="n">
        <f aca="false">ROUND(IF(D87=0,IF((N87-E87-O87)&gt;0,(N87-E87-O87),0),IF((D87+N87-O87)&gt;0,(D87+N87-O87),0)),2)</f>
        <v>1148</v>
      </c>
      <c r="Q87" s="14" t="n">
        <f aca="false">ROUND(IF(E87=0,IF((D87+N87-O87)&lt;0,ABS(D87+N87-O87),0),IF((N87-E87-O87)&lt;0,ABS(N87-E87-O87),0)),2)</f>
        <v>0</v>
      </c>
    </row>
    <row r="88" customFormat="false" ht="15" hidden="false" customHeight="true" outlineLevel="0" collapsed="false">
      <c r="A88" s="12" t="s">
        <v>260</v>
      </c>
      <c r="B88" s="12" t="str">
        <f aca="false">червень!B88</f>
        <v>Ленський І.О.</v>
      </c>
      <c r="C88" s="12" t="s">
        <v>262</v>
      </c>
      <c r="D88" s="14" t="n">
        <f aca="false">червень!P88</f>
        <v>1773.66</v>
      </c>
      <c r="E88" s="14" t="n">
        <f aca="false">червень!Q88</f>
        <v>0</v>
      </c>
      <c r="F88" s="13" t="n">
        <f aca="false">червень!F88</f>
        <v>0</v>
      </c>
      <c r="G88" s="13" t="n">
        <f aca="false">червень!G88</f>
        <v>61.8</v>
      </c>
      <c r="H88" s="13" t="n">
        <f aca="false">червень!H88</f>
        <v>0</v>
      </c>
      <c r="I88" s="13" t="n">
        <f aca="false">червень!I88</f>
        <v>4.1</v>
      </c>
      <c r="J88" s="14" t="n">
        <f aca="false">ROUND(G88*I88,2)</f>
        <v>253.38</v>
      </c>
      <c r="K88" s="14"/>
      <c r="L88" s="14"/>
      <c r="M88" s="14"/>
      <c r="N88" s="14" t="n">
        <f aca="false">ROUND((G88*I88)-K88-L88-M88,2)</f>
        <v>253.38</v>
      </c>
      <c r="O88" s="14"/>
      <c r="P88" s="14" t="n">
        <f aca="false">ROUND(IF(D88=0,IF((N88-E88-O88)&gt;0,(N88-E88-O88),0),IF((D88+N88-O88)&gt;0,(D88+N88-O88),0)),2)</f>
        <v>2027.04</v>
      </c>
      <c r="Q88" s="14" t="n">
        <f aca="false">ROUND(IF(E88=0,IF((D88+N88-O88)&lt;0,ABS(D88+N88-O88),0),IF((N88-E88-O88)&lt;0,ABS(N88-E88-O88),0)),2)</f>
        <v>0</v>
      </c>
    </row>
    <row r="89" customFormat="false" ht="15" hidden="false" customHeight="true" outlineLevel="0" collapsed="false">
      <c r="A89" s="12" t="s">
        <v>263</v>
      </c>
      <c r="B89" s="12" t="str">
        <f aca="false">червень!B89</f>
        <v>Слюсар О.О.</v>
      </c>
      <c r="C89" s="12" t="s">
        <v>265</v>
      </c>
      <c r="D89" s="14" t="n">
        <f aca="false">червень!P89</f>
        <v>14165.99</v>
      </c>
      <c r="E89" s="14" t="n">
        <f aca="false">червень!Q89</f>
        <v>0</v>
      </c>
      <c r="F89" s="13" t="n">
        <f aca="false">червень!F89</f>
        <v>0</v>
      </c>
      <c r="G89" s="13" t="n">
        <f aca="false">червень!G89</f>
        <v>65.81</v>
      </c>
      <c r="H89" s="13" t="n">
        <f aca="false">червень!H89</f>
        <v>0</v>
      </c>
      <c r="I89" s="13" t="n">
        <f aca="false">червень!I89</f>
        <v>4.1</v>
      </c>
      <c r="J89" s="14" t="n">
        <f aca="false">ROUND(G89*I89,2)</f>
        <v>269.82</v>
      </c>
      <c r="K89" s="14"/>
      <c r="L89" s="14"/>
      <c r="M89" s="14"/>
      <c r="N89" s="14" t="n">
        <f aca="false">ROUND((G89*I89)-K89-L89-M89,2)</f>
        <v>269.82</v>
      </c>
      <c r="O89" s="14"/>
      <c r="P89" s="14" t="n">
        <f aca="false">ROUND(IF(D89=0,IF((N89-E89-O89)&gt;0,(N89-E89-O89),0),IF((D89+N89-O89)&gt;0,(D89+N89-O89),0)),2)</f>
        <v>14435.81</v>
      </c>
      <c r="Q89" s="14" t="n">
        <f aca="false">ROUND(IF(E89=0,IF((D89+N89-O89)&lt;0,ABS(D89+N89-O89),0),IF((N89-E89-O89)&lt;0,ABS(N89-E89-O89),0)),2)</f>
        <v>0</v>
      </c>
    </row>
    <row r="90" customFormat="false" ht="15" hidden="false" customHeight="true" outlineLevel="0" collapsed="false">
      <c r="A90" s="12" t="s">
        <v>266</v>
      </c>
      <c r="B90" s="12" t="str">
        <f aca="false">червень!B90</f>
        <v>Кісельов Г.О.</v>
      </c>
      <c r="C90" s="12" t="s">
        <v>268</v>
      </c>
      <c r="D90" s="14" t="n">
        <f aca="false">червень!P90</f>
        <v>609.93</v>
      </c>
      <c r="E90" s="14" t="n">
        <f aca="false">червень!Q90</f>
        <v>0</v>
      </c>
      <c r="F90" s="13" t="n">
        <f aca="false">червень!F90</f>
        <v>0</v>
      </c>
      <c r="G90" s="13" t="n">
        <f aca="false">червень!G90</f>
        <v>49.7</v>
      </c>
      <c r="H90" s="13" t="n">
        <f aca="false">червень!H90</f>
        <v>0</v>
      </c>
      <c r="I90" s="13" t="n">
        <f aca="false">червень!I90</f>
        <v>4.1</v>
      </c>
      <c r="J90" s="14" t="n">
        <f aca="false">ROUND(G90*I90,2)</f>
        <v>203.77</v>
      </c>
      <c r="K90" s="14"/>
      <c r="L90" s="14"/>
      <c r="M90" s="14"/>
      <c r="N90" s="14" t="n">
        <f aca="false">ROUND((G90*I90)-K90-L90-M90,2)</f>
        <v>203.77</v>
      </c>
      <c r="O90" s="14"/>
      <c r="P90" s="14" t="n">
        <f aca="false">ROUND(IF(D90=0,IF((N90-E90-O90)&gt;0,(N90-E90-O90),0),IF((D90+N90-O90)&gt;0,(D90+N90-O90),0)),2)</f>
        <v>813.7</v>
      </c>
      <c r="Q90" s="14" t="n">
        <f aca="false">ROUND(IF(E90=0,IF((D90+N90-O90)&lt;0,ABS(D90+N90-O90),0),IF((N90-E90-O90)&lt;0,ABS(N90-E90-O90),0)),2)</f>
        <v>0</v>
      </c>
    </row>
    <row r="91" customFormat="false" ht="15" hidden="false" customHeight="true" outlineLevel="0" collapsed="false">
      <c r="A91" s="12" t="s">
        <v>269</v>
      </c>
      <c r="B91" s="12" t="str">
        <f aca="false">червень!B91</f>
        <v>Губанова Н.С.</v>
      </c>
      <c r="C91" s="12" t="s">
        <v>271</v>
      </c>
      <c r="D91" s="14" t="n">
        <f aca="false">червень!P91</f>
        <v>6648.15</v>
      </c>
      <c r="E91" s="14" t="n">
        <f aca="false">червень!Q91</f>
        <v>0</v>
      </c>
      <c r="F91" s="13" t="n">
        <f aca="false">червень!F91</f>
        <v>0</v>
      </c>
      <c r="G91" s="13" t="n">
        <f aca="false">червень!G91</f>
        <v>34.5</v>
      </c>
      <c r="H91" s="13" t="n">
        <f aca="false">червень!H91</f>
        <v>0</v>
      </c>
      <c r="I91" s="13" t="n">
        <f aca="false">червень!I91</f>
        <v>4.1</v>
      </c>
      <c r="J91" s="14" t="n">
        <f aca="false">ROUND(G91*I91,2)</f>
        <v>141.45</v>
      </c>
      <c r="K91" s="14"/>
      <c r="L91" s="14"/>
      <c r="M91" s="14"/>
      <c r="N91" s="14" t="n">
        <f aca="false">ROUND((G91*I91)-K91-L91-M91,2)</f>
        <v>141.45</v>
      </c>
      <c r="O91" s="14"/>
      <c r="P91" s="14" t="n">
        <f aca="false">ROUND(IF(D91=0,IF((N91-E91-O91)&gt;0,(N91-E91-O91),0),IF((D91+N91-O91)&gt;0,(D91+N91-O91),0)),2)</f>
        <v>6789.6</v>
      </c>
      <c r="Q91" s="14" t="n">
        <f aca="false">ROUND(IF(E91=0,IF((D91+N91-O91)&lt;0,ABS(D91+N91-O91),0),IF((N91-E91-O91)&lt;0,ABS(N91-E91-O91),0)),2)</f>
        <v>0</v>
      </c>
    </row>
    <row r="92" customFormat="false" ht="15" hidden="false" customHeight="true" outlineLevel="0" collapsed="false">
      <c r="A92" s="12" t="s">
        <v>272</v>
      </c>
      <c r="B92" s="12" t="str">
        <f aca="false">червень!B92</f>
        <v>Попова А.В.</v>
      </c>
      <c r="C92" s="12" t="s">
        <v>274</v>
      </c>
      <c r="D92" s="14" t="n">
        <f aca="false">червень!P92</f>
        <v>5291.47</v>
      </c>
      <c r="E92" s="14" t="n">
        <f aca="false">червень!Q92</f>
        <v>0</v>
      </c>
      <c r="F92" s="13" t="n">
        <f aca="false">червень!F92</f>
        <v>0</v>
      </c>
      <c r="G92" s="13" t="n">
        <f aca="false">червень!G92</f>
        <v>62.4</v>
      </c>
      <c r="H92" s="13" t="n">
        <f aca="false">червень!H92</f>
        <v>0</v>
      </c>
      <c r="I92" s="13" t="n">
        <f aca="false">червень!I92</f>
        <v>4.1</v>
      </c>
      <c r="J92" s="14" t="n">
        <f aca="false">ROUND(G92*I92,2)</f>
        <v>255.84</v>
      </c>
      <c r="K92" s="14"/>
      <c r="L92" s="14"/>
      <c r="M92" s="14"/>
      <c r="N92" s="14" t="n">
        <f aca="false">ROUND((G92*I92)-K92-L92-M92,2)</f>
        <v>255.84</v>
      </c>
      <c r="O92" s="14"/>
      <c r="P92" s="14" t="n">
        <f aca="false">ROUND(IF(D92=0,IF((N92-E92-O92)&gt;0,(N92-E92-O92),0),IF((D92+N92-O92)&gt;0,(D92+N92-O92),0)),2)</f>
        <v>5547.31</v>
      </c>
      <c r="Q92" s="14" t="n">
        <f aca="false">ROUND(IF(E92=0,IF((D92+N92-O92)&lt;0,ABS(D92+N92-O92),0),IF((N92-E92-O92)&lt;0,ABS(N92-E92-O92),0)),2)</f>
        <v>0</v>
      </c>
    </row>
    <row r="93" customFormat="false" ht="15" hidden="false" customHeight="true" outlineLevel="0" collapsed="false">
      <c r="A93" s="12" t="s">
        <v>275</v>
      </c>
      <c r="B93" s="12" t="str">
        <f aca="false">червень!B93</f>
        <v>Стародубець О.К.</v>
      </c>
      <c r="C93" s="12" t="s">
        <v>277</v>
      </c>
      <c r="D93" s="14" t="n">
        <f aca="false">червень!P93</f>
        <v>1907.43</v>
      </c>
      <c r="E93" s="14" t="n">
        <f aca="false">червень!Q93</f>
        <v>0</v>
      </c>
      <c r="F93" s="13" t="n">
        <f aca="false">червень!F93</f>
        <v>0</v>
      </c>
      <c r="G93" s="13" t="n">
        <f aca="false">червень!G93</f>
        <v>66.46</v>
      </c>
      <c r="H93" s="13" t="n">
        <f aca="false">червень!H93</f>
        <v>0</v>
      </c>
      <c r="I93" s="13" t="n">
        <f aca="false">червень!I93</f>
        <v>4.1</v>
      </c>
      <c r="J93" s="14" t="n">
        <f aca="false">ROUND(G93*I93,2)</f>
        <v>272.49</v>
      </c>
      <c r="K93" s="14"/>
      <c r="L93" s="14"/>
      <c r="M93" s="14"/>
      <c r="N93" s="14" t="n">
        <f aca="false">ROUND((G93*I93)-K93-L93-M93,2)</f>
        <v>272.49</v>
      </c>
      <c r="O93" s="14"/>
      <c r="P93" s="14" t="n">
        <f aca="false">ROUND(IF(D93=0,IF((N93-E93-O93)&gt;0,(N93-E93-O93),0),IF((D93+N93-O93)&gt;0,(D93+N93-O93),0)),2)</f>
        <v>2179.92</v>
      </c>
      <c r="Q93" s="14" t="n">
        <f aca="false">ROUND(IF(E93=0,IF((D93+N93-O93)&lt;0,ABS(D93+N93-O93),0),IF((N93-E93-O93)&lt;0,ABS(N93-E93-O93),0)),2)</f>
        <v>0</v>
      </c>
    </row>
    <row r="94" customFormat="false" ht="15" hidden="false" customHeight="true" outlineLevel="0" collapsed="false">
      <c r="A94" s="12" t="s">
        <v>278</v>
      </c>
      <c r="B94" s="12" t="str">
        <f aca="false">червень!B94</f>
        <v>Сакун Т.А.</v>
      </c>
      <c r="C94" s="12" t="s">
        <v>280</v>
      </c>
      <c r="D94" s="14" t="n">
        <f aca="false">червень!P94</f>
        <v>9009.96</v>
      </c>
      <c r="E94" s="14" t="n">
        <f aca="false">червень!Q94</f>
        <v>0</v>
      </c>
      <c r="F94" s="13" t="n">
        <f aca="false">червень!F94</f>
        <v>0</v>
      </c>
      <c r="G94" s="13" t="n">
        <f aca="false">червень!G94</f>
        <v>49.73</v>
      </c>
      <c r="H94" s="13" t="n">
        <f aca="false">червень!H94</f>
        <v>0</v>
      </c>
      <c r="I94" s="13" t="n">
        <f aca="false">червень!I94</f>
        <v>4.1</v>
      </c>
      <c r="J94" s="14" t="n">
        <f aca="false">ROUND(G94*I94,2)</f>
        <v>203.89</v>
      </c>
      <c r="K94" s="14"/>
      <c r="L94" s="14"/>
      <c r="M94" s="14"/>
      <c r="N94" s="14" t="n">
        <f aca="false">ROUND((G94*I94)-K94-L94-M94,2)</f>
        <v>203.89</v>
      </c>
      <c r="O94" s="14"/>
      <c r="P94" s="14" t="n">
        <f aca="false">ROUND(IF(D94=0,IF((N94-E94-O94)&gt;0,(N94-E94-O94),0),IF((D94+N94-O94)&gt;0,(D94+N94-O94),0)),2)</f>
        <v>9213.85</v>
      </c>
      <c r="Q94" s="14" t="n">
        <f aca="false">ROUND(IF(E94=0,IF((D94+N94-O94)&lt;0,ABS(D94+N94-O94),0),IF((N94-E94-O94)&lt;0,ABS(N94-E94-O94),0)),2)</f>
        <v>0</v>
      </c>
    </row>
    <row r="95" customFormat="false" ht="15" hidden="false" customHeight="true" outlineLevel="0" collapsed="false">
      <c r="A95" s="12" t="s">
        <v>281</v>
      </c>
      <c r="B95" s="12" t="str">
        <f aca="false">червень!B95</f>
        <v>Фатєєв Ю.О.</v>
      </c>
      <c r="C95" s="12" t="s">
        <v>283</v>
      </c>
      <c r="D95" s="14" t="n">
        <f aca="false">червень!P95</f>
        <v>9802.23</v>
      </c>
      <c r="E95" s="14" t="n">
        <f aca="false">червень!Q95</f>
        <v>0</v>
      </c>
      <c r="F95" s="13" t="n">
        <f aca="false">червень!F95</f>
        <v>0</v>
      </c>
      <c r="G95" s="13" t="n">
        <f aca="false">червень!G95</f>
        <v>34.9</v>
      </c>
      <c r="H95" s="13" t="n">
        <f aca="false">червень!H95</f>
        <v>0</v>
      </c>
      <c r="I95" s="13" t="n">
        <f aca="false">червень!I95</f>
        <v>4.1</v>
      </c>
      <c r="J95" s="14" t="n">
        <f aca="false">ROUND(G95*I95,2)</f>
        <v>143.09</v>
      </c>
      <c r="K95" s="14"/>
      <c r="L95" s="14"/>
      <c r="M95" s="14"/>
      <c r="N95" s="14" t="n">
        <f aca="false">ROUND((G95*I95)-K95-L95-M95,2)</f>
        <v>143.09</v>
      </c>
      <c r="O95" s="14"/>
      <c r="P95" s="14" t="n">
        <f aca="false">ROUND(IF(D95=0,IF((N95-E95-O95)&gt;0,(N95-E95-O95),0),IF((D95+N95-O95)&gt;0,(D95+N95-O95),0)),2)</f>
        <v>9945.32</v>
      </c>
      <c r="Q95" s="14" t="n">
        <f aca="false">ROUND(IF(E95=0,IF((D95+N95-O95)&lt;0,ABS(D95+N95-O95),0),IF((N95-E95-O95)&lt;0,ABS(N95-E95-O95),0)),2)</f>
        <v>0</v>
      </c>
    </row>
    <row r="96" customFormat="false" ht="15" hidden="false" customHeight="true" outlineLevel="0" collapsed="false">
      <c r="A96" s="12" t="s">
        <v>284</v>
      </c>
      <c r="B96" s="12" t="str">
        <f aca="false">червень!B96</f>
        <v>Лукашов Є.В.</v>
      </c>
      <c r="C96" s="12" t="s">
        <v>286</v>
      </c>
      <c r="D96" s="14" t="n">
        <f aca="false">червень!P96</f>
        <v>14900.13</v>
      </c>
      <c r="E96" s="14" t="n">
        <f aca="false">червень!Q96</f>
        <v>0</v>
      </c>
      <c r="F96" s="13" t="n">
        <f aca="false">червень!F96</f>
        <v>0</v>
      </c>
      <c r="G96" s="13" t="n">
        <f aca="false">червень!G96</f>
        <v>61.9</v>
      </c>
      <c r="H96" s="13" t="n">
        <f aca="false">червень!H96</f>
        <v>0</v>
      </c>
      <c r="I96" s="13" t="n">
        <f aca="false">червень!I96</f>
        <v>4.1</v>
      </c>
      <c r="J96" s="14" t="n">
        <f aca="false">ROUND(G96*I96,2)</f>
        <v>253.79</v>
      </c>
      <c r="K96" s="14"/>
      <c r="L96" s="14"/>
      <c r="M96" s="14"/>
      <c r="N96" s="14" t="n">
        <f aca="false">ROUND((G96*I96)-K96-L96-M96,2)</f>
        <v>253.79</v>
      </c>
      <c r="O96" s="14"/>
      <c r="P96" s="14" t="n">
        <f aca="false">ROUND(IF(D96=0,IF((N96-E96-O96)&gt;0,(N96-E96-O96),0),IF((D96+N96-O96)&gt;0,(D96+N96-O96),0)),2)</f>
        <v>15153.92</v>
      </c>
      <c r="Q96" s="14" t="n">
        <f aca="false">ROUND(IF(E96=0,IF((D96+N96-O96)&lt;0,ABS(D96+N96-O96),0),IF((N96-E96-O96)&lt;0,ABS(N96-E96-O96),0)),2)</f>
        <v>0</v>
      </c>
    </row>
    <row r="97" customFormat="false" ht="15" hidden="false" customHeight="true" outlineLevel="0" collapsed="false">
      <c r="A97" s="12" t="s">
        <v>287</v>
      </c>
      <c r="B97" s="12" t="str">
        <f aca="false">червень!B97</f>
        <v>Довбета В.М.</v>
      </c>
      <c r="C97" s="12" t="s">
        <v>289</v>
      </c>
      <c r="D97" s="14" t="n">
        <f aca="false">червень!P97</f>
        <v>1334.14</v>
      </c>
      <c r="E97" s="14" t="n">
        <f aca="false">червень!Q97</f>
        <v>0</v>
      </c>
      <c r="F97" s="13" t="n">
        <f aca="false">червень!F97</f>
        <v>0</v>
      </c>
      <c r="G97" s="13" t="n">
        <f aca="false">червень!G97</f>
        <v>65.3</v>
      </c>
      <c r="H97" s="13" t="n">
        <f aca="false">червень!H97</f>
        <v>0</v>
      </c>
      <c r="I97" s="13" t="n">
        <f aca="false">червень!I97</f>
        <v>4.1</v>
      </c>
      <c r="J97" s="14" t="n">
        <f aca="false">ROUND(G97*I97,2)</f>
        <v>267.73</v>
      </c>
      <c r="K97" s="14"/>
      <c r="L97" s="14"/>
      <c r="M97" s="14"/>
      <c r="N97" s="14" t="n">
        <f aca="false">ROUND((G97*I97)-K97-L97-M97,2)</f>
        <v>267.73</v>
      </c>
      <c r="O97" s="14"/>
      <c r="P97" s="14" t="n">
        <f aca="false">ROUND(IF(D97=0,IF((N97-E97-O97)&gt;0,(N97-E97-O97),0),IF((D97+N97-O97)&gt;0,(D97+N97-O97),0)),2)</f>
        <v>1601.87</v>
      </c>
      <c r="Q97" s="14" t="n">
        <f aca="false">ROUND(IF(E97=0,IF((D97+N97-O97)&lt;0,ABS(D97+N97-O97),0),IF((N97-E97-O97)&lt;0,ABS(N97-E97-O97),0)),2)</f>
        <v>0</v>
      </c>
    </row>
    <row r="98" customFormat="false" ht="15" hidden="false" customHeight="true" outlineLevel="0" collapsed="false">
      <c r="A98" s="12" t="s">
        <v>290</v>
      </c>
      <c r="B98" s="12" t="str">
        <f aca="false">червень!B98</f>
        <v>Черняк К.В.</v>
      </c>
      <c r="C98" s="12" t="s">
        <v>292</v>
      </c>
      <c r="D98" s="14" t="n">
        <f aca="false">червень!P98</f>
        <v>988.91</v>
      </c>
      <c r="E98" s="14" t="n">
        <f aca="false">червень!Q98</f>
        <v>0</v>
      </c>
      <c r="F98" s="13" t="n">
        <f aca="false">червень!F98</f>
        <v>0</v>
      </c>
      <c r="G98" s="13" t="n">
        <f aca="false">червень!G98</f>
        <v>49.48</v>
      </c>
      <c r="H98" s="13" t="n">
        <f aca="false">червень!H98</f>
        <v>0</v>
      </c>
      <c r="I98" s="13" t="n">
        <f aca="false">червень!I98</f>
        <v>4.1</v>
      </c>
      <c r="J98" s="14" t="n">
        <f aca="false">ROUND(G98*I98,2)</f>
        <v>202.87</v>
      </c>
      <c r="K98" s="14"/>
      <c r="L98" s="14"/>
      <c r="M98" s="14"/>
      <c r="N98" s="14" t="n">
        <f aca="false">ROUND((G98*I98)-K98-L98-M98,2)</f>
        <v>202.87</v>
      </c>
      <c r="O98" s="14"/>
      <c r="P98" s="14" t="n">
        <f aca="false">ROUND(IF(D98=0,IF((N98-E98-O98)&gt;0,(N98-E98-O98),0),IF((D98+N98-O98)&gt;0,(D98+N98-O98),0)),2)</f>
        <v>1191.78</v>
      </c>
      <c r="Q98" s="14" t="n">
        <f aca="false">ROUND(IF(E98=0,IF((D98+N98-O98)&lt;0,ABS(D98+N98-O98),0),IF((N98-E98-O98)&lt;0,ABS(N98-E98-O98),0)),2)</f>
        <v>0</v>
      </c>
    </row>
    <row r="99" customFormat="false" ht="15" hidden="false" customHeight="true" outlineLevel="0" collapsed="false">
      <c r="A99" s="12" t="s">
        <v>293</v>
      </c>
      <c r="B99" s="12" t="str">
        <f aca="false">червень!B99</f>
        <v>Довбета С.П.</v>
      </c>
      <c r="C99" s="12" t="s">
        <v>295</v>
      </c>
      <c r="D99" s="14" t="n">
        <f aca="false">червень!P99</f>
        <v>860.32</v>
      </c>
      <c r="E99" s="14" t="n">
        <f aca="false">червень!Q99</f>
        <v>0</v>
      </c>
      <c r="F99" s="13" t="n">
        <f aca="false">червень!F99</f>
        <v>0</v>
      </c>
      <c r="G99" s="13" t="n">
        <f aca="false">червень!G99</f>
        <v>35.1</v>
      </c>
      <c r="H99" s="13" t="n">
        <f aca="false">червень!H99</f>
        <v>0</v>
      </c>
      <c r="I99" s="13" t="n">
        <f aca="false">червень!I99</f>
        <v>4.1</v>
      </c>
      <c r="J99" s="14" t="n">
        <f aca="false">ROUND(G99*I99,2)</f>
        <v>143.91</v>
      </c>
      <c r="K99" s="14"/>
      <c r="L99" s="14"/>
      <c r="M99" s="14"/>
      <c r="N99" s="14" t="n">
        <f aca="false">ROUND((G99*I99)-K99-L99-M99,2)</f>
        <v>143.91</v>
      </c>
      <c r="O99" s="14"/>
      <c r="P99" s="14" t="n">
        <f aca="false">ROUND(IF(D99=0,IF((N99-E99-O99)&gt;0,(N99-E99-O99),0),IF((D99+N99-O99)&gt;0,(D99+N99-O99),0)),2)</f>
        <v>1004.23</v>
      </c>
      <c r="Q99" s="14" t="n">
        <f aca="false">ROUND(IF(E99=0,IF((D99+N99-O99)&lt;0,ABS(D99+N99-O99),0),IF((N99-E99-O99)&lt;0,ABS(N99-E99-O99),0)),2)</f>
        <v>0</v>
      </c>
    </row>
    <row r="100" customFormat="false" ht="15" hidden="false" customHeight="true" outlineLevel="0" collapsed="false">
      <c r="A100" s="12" t="s">
        <v>296</v>
      </c>
      <c r="B100" s="12" t="str">
        <f aca="false">червень!B100</f>
        <v>Липка Г.Ю.</v>
      </c>
      <c r="C100" s="12" t="s">
        <v>298</v>
      </c>
      <c r="D100" s="14" t="n">
        <f aca="false">червень!P100</f>
        <v>14510.72</v>
      </c>
      <c r="E100" s="14" t="n">
        <f aca="false">червень!Q100</f>
        <v>0</v>
      </c>
      <c r="F100" s="13" t="n">
        <f aca="false">червень!F100</f>
        <v>0</v>
      </c>
      <c r="G100" s="13" t="n">
        <f aca="false">червень!G100</f>
        <v>63.2</v>
      </c>
      <c r="H100" s="13" t="n">
        <f aca="false">червень!H100</f>
        <v>0</v>
      </c>
      <c r="I100" s="13" t="n">
        <f aca="false">червень!I100</f>
        <v>4.1</v>
      </c>
      <c r="J100" s="14" t="n">
        <f aca="false">ROUND(G100*I100,2)</f>
        <v>259.12</v>
      </c>
      <c r="K100" s="14"/>
      <c r="L100" s="14"/>
      <c r="M100" s="14"/>
      <c r="N100" s="14" t="n">
        <f aca="false">ROUND((G100*I100)-K100-L100-M100,2)</f>
        <v>259.12</v>
      </c>
      <c r="O100" s="14"/>
      <c r="P100" s="14" t="n">
        <f aca="false">ROUND(IF(D100=0,IF((N100-E100-O100)&gt;0,(N100-E100-O100),0),IF((D100+N100-O100)&gt;0,(D100+N100-O100),0)),2)</f>
        <v>14769.84</v>
      </c>
      <c r="Q100" s="14" t="n">
        <f aca="false">ROUND(IF(E100=0,IF((D100+N100-O100)&lt;0,ABS(D100+N100-O100),0),IF((N100-E100-O100)&lt;0,ABS(N100-E100-O100),0)),2)</f>
        <v>0</v>
      </c>
    </row>
    <row r="101" customFormat="false" ht="15" hidden="false" customHeight="true" outlineLevel="0" collapsed="false">
      <c r="A101" s="12" t="s">
        <v>299</v>
      </c>
      <c r="B101" s="12" t="str">
        <f aca="false">червень!B101</f>
        <v>Утьосов Д.М.</v>
      </c>
      <c r="C101" s="12" t="s">
        <v>301</v>
      </c>
      <c r="D101" s="14" t="n">
        <f aca="false">червень!P101</f>
        <v>9020.9</v>
      </c>
      <c r="E101" s="14" t="n">
        <f aca="false">червень!Q101</f>
        <v>0</v>
      </c>
      <c r="F101" s="13" t="n">
        <f aca="false">червень!F101</f>
        <v>0</v>
      </c>
      <c r="G101" s="13" t="n">
        <f aca="false">червень!G101</f>
        <v>66.1</v>
      </c>
      <c r="H101" s="13" t="n">
        <f aca="false">червень!H101</f>
        <v>0</v>
      </c>
      <c r="I101" s="13" t="n">
        <f aca="false">червень!I101</f>
        <v>4.1</v>
      </c>
      <c r="J101" s="14" t="n">
        <f aca="false">ROUND(G101*I101,2)</f>
        <v>271.01</v>
      </c>
      <c r="K101" s="14"/>
      <c r="L101" s="14"/>
      <c r="M101" s="14"/>
      <c r="N101" s="14" t="n">
        <f aca="false">ROUND((G101*I101)-K101-L101-M101,2)</f>
        <v>271.01</v>
      </c>
      <c r="O101" s="14"/>
      <c r="P101" s="14" t="n">
        <f aca="false">ROUND(IF(D101=0,IF((N101-E101-O101)&gt;0,(N101-E101-O101),0),IF((D101+N101-O101)&gt;0,(D101+N101-O101),0)),2)</f>
        <v>9291.91</v>
      </c>
      <c r="Q101" s="14" t="n">
        <f aca="false">ROUND(IF(E101=0,IF((D101+N101-O101)&lt;0,ABS(D101+N101-O101),0),IF((N101-E101-O101)&lt;0,ABS(N101-E101-O101),0)),2)</f>
        <v>0</v>
      </c>
    </row>
    <row r="102" customFormat="false" ht="15" hidden="false" customHeight="true" outlineLevel="0" collapsed="false">
      <c r="A102" s="12" t="s">
        <v>302</v>
      </c>
      <c r="B102" s="12" t="str">
        <f aca="false">червень!B102</f>
        <v>Стеценко Д.М.</v>
      </c>
      <c r="C102" s="12" t="s">
        <v>304</v>
      </c>
      <c r="D102" s="14" t="n">
        <f aca="false">червень!P102</f>
        <v>8575.63</v>
      </c>
      <c r="E102" s="14" t="n">
        <f aca="false">червень!Q102</f>
        <v>0</v>
      </c>
      <c r="F102" s="13" t="n">
        <f aca="false">червень!F102</f>
        <v>0</v>
      </c>
      <c r="G102" s="13" t="n">
        <f aca="false">червень!G102</f>
        <v>49.8</v>
      </c>
      <c r="H102" s="13" t="n">
        <f aca="false">червень!H102</f>
        <v>0</v>
      </c>
      <c r="I102" s="13" t="n">
        <f aca="false">червень!I102</f>
        <v>4.1</v>
      </c>
      <c r="J102" s="14" t="n">
        <f aca="false">ROUND(G102*I102,2)</f>
        <v>204.18</v>
      </c>
      <c r="K102" s="14"/>
      <c r="L102" s="14"/>
      <c r="M102" s="14"/>
      <c r="N102" s="14" t="n">
        <f aca="false">ROUND((G102*I102)-K102-L102-M102,2)</f>
        <v>204.18</v>
      </c>
      <c r="O102" s="14"/>
      <c r="P102" s="14" t="n">
        <f aca="false">ROUND(IF(D102=0,IF((N102-E102-O102)&gt;0,(N102-E102-O102),0),IF((D102+N102-O102)&gt;0,(D102+N102-O102),0)),2)</f>
        <v>8779.81</v>
      </c>
      <c r="Q102" s="14" t="n">
        <f aca="false">ROUND(IF(E102=0,IF((D102+N102-O102)&lt;0,ABS(D102+N102-O102),0),IF((N102-E102-O102)&lt;0,ABS(N102-E102-O102),0)),2)</f>
        <v>0</v>
      </c>
    </row>
    <row r="103" customFormat="false" ht="15" hidden="false" customHeight="true" outlineLevel="0" collapsed="false">
      <c r="A103" s="12" t="s">
        <v>305</v>
      </c>
      <c r="B103" s="12" t="str">
        <f aca="false">червень!B103</f>
        <v>Задніпряна О.М.</v>
      </c>
      <c r="C103" s="12" t="s">
        <v>307</v>
      </c>
      <c r="D103" s="14" t="n">
        <f aca="false">червень!P103</f>
        <v>7094.6</v>
      </c>
      <c r="E103" s="14" t="n">
        <f aca="false">червень!Q103</f>
        <v>0</v>
      </c>
      <c r="F103" s="13" t="n">
        <f aca="false">червень!F103</f>
        <v>0</v>
      </c>
      <c r="G103" s="13" t="n">
        <f aca="false">червень!G103</f>
        <v>34.6</v>
      </c>
      <c r="H103" s="13" t="n">
        <f aca="false">червень!H103</f>
        <v>0</v>
      </c>
      <c r="I103" s="13" t="n">
        <f aca="false">червень!I103</f>
        <v>4.1</v>
      </c>
      <c r="J103" s="14" t="n">
        <f aca="false">ROUND(G103*I103,2)</f>
        <v>141.86</v>
      </c>
      <c r="K103" s="14"/>
      <c r="L103" s="14"/>
      <c r="M103" s="14"/>
      <c r="N103" s="14" t="n">
        <f aca="false">ROUND((G103*I103)-K103-L103-M103,2)</f>
        <v>141.86</v>
      </c>
      <c r="O103" s="14"/>
      <c r="P103" s="14" t="n">
        <f aca="false">ROUND(IF(D103=0,IF((N103-E103-O103)&gt;0,(N103-E103-O103),0),IF((D103+N103-O103)&gt;0,(D103+N103-O103),0)),2)</f>
        <v>7236.46</v>
      </c>
      <c r="Q103" s="14" t="n">
        <f aca="false">ROUND(IF(E103=0,IF((D103+N103-O103)&lt;0,ABS(D103+N103-O103),0),IF((N103-E103-O103)&lt;0,ABS(N103-E103-O103),0)),2)</f>
        <v>0</v>
      </c>
    </row>
    <row r="104" customFormat="false" ht="15" hidden="false" customHeight="true" outlineLevel="0" collapsed="false">
      <c r="A104" s="12" t="s">
        <v>308</v>
      </c>
      <c r="B104" s="12" t="str">
        <f aca="false">червень!B104</f>
        <v>Геращенко М.Д.</v>
      </c>
      <c r="C104" s="12" t="s">
        <v>310</v>
      </c>
      <c r="D104" s="14" t="n">
        <f aca="false">червень!P104</f>
        <v>1539.96</v>
      </c>
      <c r="E104" s="14" t="n">
        <f aca="false">червень!Q104</f>
        <v>0</v>
      </c>
      <c r="F104" s="13" t="n">
        <f aca="false">червень!F104</f>
        <v>0</v>
      </c>
      <c r="G104" s="13" t="n">
        <f aca="false">червень!G104</f>
        <v>62.6</v>
      </c>
      <c r="H104" s="13" t="n">
        <f aca="false">червень!H104</f>
        <v>0</v>
      </c>
      <c r="I104" s="13" t="n">
        <f aca="false">червень!I104</f>
        <v>4.1</v>
      </c>
      <c r="J104" s="14" t="n">
        <f aca="false">ROUND(G104*I104,2)</f>
        <v>256.66</v>
      </c>
      <c r="K104" s="14"/>
      <c r="L104" s="14"/>
      <c r="M104" s="14"/>
      <c r="N104" s="14" t="n">
        <f aca="false">ROUND((G104*I104)-K104-L104-M104,2)</f>
        <v>256.66</v>
      </c>
      <c r="O104" s="14"/>
      <c r="P104" s="14" t="n">
        <f aca="false">ROUND(IF(D104=0,IF((N104-E104-O104)&gt;0,(N104-E104-O104),0),IF((D104+N104-O104)&gt;0,(D104+N104-O104),0)),2)</f>
        <v>1796.62</v>
      </c>
      <c r="Q104" s="14" t="n">
        <f aca="false">ROUND(IF(E104=0,IF((D104+N104-O104)&lt;0,ABS(D104+N104-O104),0),IF((N104-E104-O104)&lt;0,ABS(N104-E104-O104),0)),2)</f>
        <v>0</v>
      </c>
    </row>
    <row r="105" customFormat="false" ht="15" hidden="false" customHeight="true" outlineLevel="0" collapsed="false">
      <c r="A105" s="12" t="s">
        <v>311</v>
      </c>
      <c r="B105" s="12" t="str">
        <f aca="false">червень!B105</f>
        <v>Горб В.М.</v>
      </c>
      <c r="C105" s="12" t="s">
        <v>313</v>
      </c>
      <c r="D105" s="14" t="n">
        <f aca="false">червень!P105</f>
        <v>12901.63</v>
      </c>
      <c r="E105" s="14" t="n">
        <f aca="false">червень!Q105</f>
        <v>0</v>
      </c>
      <c r="F105" s="13" t="n">
        <f aca="false">червень!F105</f>
        <v>0</v>
      </c>
      <c r="G105" s="13" t="n">
        <f aca="false">червень!G105</f>
        <v>65.57</v>
      </c>
      <c r="H105" s="13" t="n">
        <f aca="false">червень!H105</f>
        <v>0</v>
      </c>
      <c r="I105" s="13" t="n">
        <f aca="false">червень!I105</f>
        <v>4.1</v>
      </c>
      <c r="J105" s="14" t="n">
        <f aca="false">ROUND(G105*I105,2)</f>
        <v>268.84</v>
      </c>
      <c r="K105" s="14"/>
      <c r="L105" s="14"/>
      <c r="M105" s="14"/>
      <c r="N105" s="14" t="n">
        <f aca="false">ROUND((G105*I105)-K105-L105-M105,2)</f>
        <v>268.84</v>
      </c>
      <c r="O105" s="14"/>
      <c r="P105" s="14" t="n">
        <f aca="false">ROUND(IF(D105=0,IF((N105-E105-O105)&gt;0,(N105-E105-O105),0),IF((D105+N105-O105)&gt;0,(D105+N105-O105),0)),2)</f>
        <v>13170.47</v>
      </c>
      <c r="Q105" s="14" t="n">
        <f aca="false">ROUND(IF(E105=0,IF((D105+N105-O105)&lt;0,ABS(D105+N105-O105),0),IF((N105-E105-O105)&lt;0,ABS(N105-E105-O105),0)),2)</f>
        <v>0</v>
      </c>
    </row>
    <row r="106" customFormat="false" ht="15" hidden="false" customHeight="true" outlineLevel="0" collapsed="false">
      <c r="A106" s="12" t="s">
        <v>314</v>
      </c>
      <c r="B106" s="12" t="str">
        <f aca="false">червень!B106</f>
        <v>Нойок Г.К.</v>
      </c>
      <c r="C106" s="12" t="s">
        <v>316</v>
      </c>
      <c r="D106" s="14" t="n">
        <f aca="false">червень!P106</f>
        <v>8589.23</v>
      </c>
      <c r="E106" s="14" t="n">
        <f aca="false">червень!Q106</f>
        <v>0</v>
      </c>
      <c r="F106" s="13" t="n">
        <f aca="false">червень!F106</f>
        <v>0</v>
      </c>
      <c r="G106" s="13" t="n">
        <f aca="false">червень!G106</f>
        <v>49.8</v>
      </c>
      <c r="H106" s="13" t="n">
        <f aca="false">червень!H106</f>
        <v>0</v>
      </c>
      <c r="I106" s="13" t="n">
        <f aca="false">червень!I106</f>
        <v>4.1</v>
      </c>
      <c r="J106" s="14" t="n">
        <f aca="false">ROUND(G106*I106,2)</f>
        <v>204.18</v>
      </c>
      <c r="K106" s="14"/>
      <c r="L106" s="14"/>
      <c r="M106" s="14"/>
      <c r="N106" s="14" t="n">
        <f aca="false">ROUND((G106*I106)-K106-L106-M106,2)</f>
        <v>204.18</v>
      </c>
      <c r="O106" s="14"/>
      <c r="P106" s="14" t="n">
        <f aca="false">ROUND(IF(D106=0,IF((N106-E106-O106)&gt;0,(N106-E106-O106),0),IF((D106+N106-O106)&gt;0,(D106+N106-O106),0)),2)</f>
        <v>8793.41</v>
      </c>
      <c r="Q106" s="14" t="n">
        <f aca="false">ROUND(IF(E106=0,IF((D106+N106-O106)&lt;0,ABS(D106+N106-O106),0),IF((N106-E106-O106)&lt;0,ABS(N106-E106-O106),0)),2)</f>
        <v>0</v>
      </c>
    </row>
    <row r="107" customFormat="false" ht="15" hidden="false" customHeight="true" outlineLevel="0" collapsed="false">
      <c r="A107" s="12" t="s">
        <v>317</v>
      </c>
      <c r="B107" s="12" t="str">
        <f aca="false">червень!B107</f>
        <v>Сафонова О.В.</v>
      </c>
      <c r="C107" s="12" t="s">
        <v>319</v>
      </c>
      <c r="D107" s="14" t="n">
        <f aca="false">червень!P107</f>
        <v>6822.5</v>
      </c>
      <c r="E107" s="14" t="n">
        <f aca="false">червень!Q107</f>
        <v>0</v>
      </c>
      <c r="F107" s="13" t="n">
        <f aca="false">червень!F107</f>
        <v>0</v>
      </c>
      <c r="G107" s="13" t="n">
        <f aca="false">червень!G107</f>
        <v>34.9</v>
      </c>
      <c r="H107" s="13" t="n">
        <f aca="false">червень!H107</f>
        <v>0</v>
      </c>
      <c r="I107" s="13" t="n">
        <f aca="false">червень!I107</f>
        <v>4.1</v>
      </c>
      <c r="J107" s="14" t="n">
        <f aca="false">ROUND(G107*I107,2)</f>
        <v>143.09</v>
      </c>
      <c r="K107" s="14"/>
      <c r="L107" s="14"/>
      <c r="M107" s="14"/>
      <c r="N107" s="14" t="n">
        <f aca="false">ROUND((G107*I107)-K107-L107-M107,2)</f>
        <v>143.09</v>
      </c>
      <c r="O107" s="14"/>
      <c r="P107" s="14" t="n">
        <f aca="false">ROUND(IF(D107=0,IF((N107-E107-O107)&gt;0,(N107-E107-O107),0),IF((D107+N107-O107)&gt;0,(D107+N107-O107),0)),2)</f>
        <v>6965.59</v>
      </c>
      <c r="Q107" s="14" t="n">
        <f aca="false">ROUND(IF(E107=0,IF((D107+N107-O107)&lt;0,ABS(D107+N107-O107),0),IF((N107-E107-O107)&lt;0,ABS(N107-E107-O107),0)),2)</f>
        <v>0</v>
      </c>
    </row>
    <row r="108" customFormat="false" ht="15" hidden="false" customHeight="true" outlineLevel="0" collapsed="false">
      <c r="A108" s="12" t="s">
        <v>320</v>
      </c>
      <c r="B108" s="12" t="str">
        <f aca="false">червень!B108</f>
        <v>Вінарська Н.П.</v>
      </c>
      <c r="C108" s="12" t="s">
        <v>322</v>
      </c>
      <c r="D108" s="14" t="n">
        <f aca="false">червень!P108</f>
        <v>13641.44</v>
      </c>
      <c r="E108" s="14" t="n">
        <f aca="false">червень!Q108</f>
        <v>0</v>
      </c>
      <c r="F108" s="13" t="n">
        <f aca="false">червень!F108</f>
        <v>0</v>
      </c>
      <c r="G108" s="13" t="n">
        <f aca="false">червень!G108</f>
        <v>62.78</v>
      </c>
      <c r="H108" s="13" t="n">
        <f aca="false">червень!H108</f>
        <v>0</v>
      </c>
      <c r="I108" s="13" t="n">
        <f aca="false">червень!I108</f>
        <v>4.1</v>
      </c>
      <c r="J108" s="14" t="n">
        <f aca="false">ROUND(G108*I108,2)</f>
        <v>257.4</v>
      </c>
      <c r="K108" s="14"/>
      <c r="L108" s="14"/>
      <c r="M108" s="14"/>
      <c r="N108" s="14" t="n">
        <f aca="false">ROUND((G108*I108)-K108-L108-M108,2)</f>
        <v>257.4</v>
      </c>
      <c r="O108" s="14"/>
      <c r="P108" s="14" t="n">
        <f aca="false">ROUND(IF(D108=0,IF((N108-E108-O108)&gt;0,(N108-E108-O108),0),IF((D108+N108-O108)&gt;0,(D108+N108-O108),0)),2)</f>
        <v>13898.84</v>
      </c>
      <c r="Q108" s="14" t="n">
        <f aca="false">ROUND(IF(E108=0,IF((D108+N108-O108)&lt;0,ABS(D108+N108-O108),0),IF((N108-E108-O108)&lt;0,ABS(N108-E108-O108),0)),2)</f>
        <v>0</v>
      </c>
    </row>
    <row r="109" customFormat="false" ht="15" hidden="false" customHeight="true" outlineLevel="0" collapsed="false">
      <c r="A109" s="12" t="s">
        <v>323</v>
      </c>
      <c r="B109" s="12" t="str">
        <f aca="false">червень!B109</f>
        <v>Чернова Н.І.</v>
      </c>
      <c r="C109" s="12" t="s">
        <v>325</v>
      </c>
      <c r="D109" s="14" t="n">
        <f aca="false">червень!P109</f>
        <v>14323.94</v>
      </c>
      <c r="E109" s="14" t="n">
        <f aca="false">червень!Q109</f>
        <v>0</v>
      </c>
      <c r="F109" s="13" t="n">
        <f aca="false">червень!F109</f>
        <v>0</v>
      </c>
      <c r="G109" s="13" t="n">
        <f aca="false">червень!G109</f>
        <v>66.29</v>
      </c>
      <c r="H109" s="13" t="n">
        <f aca="false">червень!H109</f>
        <v>0</v>
      </c>
      <c r="I109" s="13" t="n">
        <f aca="false">червень!I109</f>
        <v>4.1</v>
      </c>
      <c r="J109" s="14" t="n">
        <f aca="false">ROUND(G109*I109,2)</f>
        <v>271.79</v>
      </c>
      <c r="K109" s="14"/>
      <c r="L109" s="14"/>
      <c r="M109" s="14"/>
      <c r="N109" s="14" t="n">
        <f aca="false">ROUND((G109*I109)-K109-L109-M109,2)</f>
        <v>271.79</v>
      </c>
      <c r="O109" s="14"/>
      <c r="P109" s="14" t="n">
        <f aca="false">ROUND(IF(D109=0,IF((N109-E109-O109)&gt;0,(N109-E109-O109),0),IF((D109+N109-O109)&gt;0,(D109+N109-O109),0)),2)</f>
        <v>14595.73</v>
      </c>
      <c r="Q109" s="14" t="n">
        <f aca="false">ROUND(IF(E109=0,IF((D109+N109-O109)&lt;0,ABS(D109+N109-O109),0),IF((N109-E109-O109)&lt;0,ABS(N109-E109-O109),0)),2)</f>
        <v>0</v>
      </c>
    </row>
    <row r="110" customFormat="false" ht="15" hidden="false" customHeight="true" outlineLevel="0" collapsed="false">
      <c r="A110" s="12" t="s">
        <v>326</v>
      </c>
      <c r="B110" s="12" t="str">
        <f aca="false">червень!B110</f>
        <v>Кошева Н.П</v>
      </c>
      <c r="C110" s="12" t="s">
        <v>328</v>
      </c>
      <c r="D110" s="14" t="n">
        <f aca="false">червень!P110</f>
        <v>10479</v>
      </c>
      <c r="E110" s="14" t="n">
        <f aca="false">червень!Q110</f>
        <v>0</v>
      </c>
      <c r="F110" s="13" t="n">
        <f aca="false">червень!F110</f>
        <v>0</v>
      </c>
      <c r="G110" s="13" t="n">
        <f aca="false">червень!G110</f>
        <v>50</v>
      </c>
      <c r="H110" s="13" t="n">
        <f aca="false">червень!H110</f>
        <v>0</v>
      </c>
      <c r="I110" s="13" t="n">
        <f aca="false">червень!I110</f>
        <v>4.1</v>
      </c>
      <c r="J110" s="14" t="n">
        <f aca="false">ROUND(G110*I110,2)</f>
        <v>205</v>
      </c>
      <c r="K110" s="14"/>
      <c r="L110" s="14"/>
      <c r="M110" s="14"/>
      <c r="N110" s="14" t="n">
        <f aca="false">ROUND((G110*I110)-K110-L110-M110,2)</f>
        <v>205</v>
      </c>
      <c r="O110" s="14"/>
      <c r="P110" s="14" t="n">
        <f aca="false">ROUND(IF(D110=0,IF((N110-E110-O110)&gt;0,(N110-E110-O110),0),IF((D110+N110-O110)&gt;0,(D110+N110-O110),0)),2)</f>
        <v>10684</v>
      </c>
      <c r="Q110" s="14" t="n">
        <f aca="false">ROUND(IF(E110=0,IF((D110+N110-O110)&lt;0,ABS(D110+N110-O110),0),IF((N110-E110-O110)&lt;0,ABS(N110-E110-O110),0)),2)</f>
        <v>0</v>
      </c>
    </row>
    <row r="111" customFormat="false" ht="15" hidden="false" customHeight="true" outlineLevel="0" collapsed="false">
      <c r="A111" s="12" t="s">
        <v>329</v>
      </c>
      <c r="B111" s="12" t="str">
        <f aca="false">червень!B111</f>
        <v>Уривський Д.Б.</v>
      </c>
      <c r="C111" s="12" t="s">
        <v>331</v>
      </c>
      <c r="D111" s="14" t="n">
        <f aca="false">червень!P111</f>
        <v>7682.09</v>
      </c>
      <c r="E111" s="14" t="n">
        <f aca="false">червень!Q111</f>
        <v>0</v>
      </c>
      <c r="F111" s="13" t="n">
        <f aca="false">червень!F111</f>
        <v>0</v>
      </c>
      <c r="G111" s="13" t="n">
        <f aca="false">червень!G111</f>
        <v>35</v>
      </c>
      <c r="H111" s="13" t="n">
        <f aca="false">червень!H111</f>
        <v>0</v>
      </c>
      <c r="I111" s="13" t="n">
        <f aca="false">червень!I111</f>
        <v>4.1</v>
      </c>
      <c r="J111" s="14" t="n">
        <f aca="false">ROUND(G111*I111,2)</f>
        <v>143.5</v>
      </c>
      <c r="K111" s="14"/>
      <c r="L111" s="14"/>
      <c r="M111" s="14"/>
      <c r="N111" s="14" t="n">
        <f aca="false">ROUND((G111*I111)-K111-L111-M111,2)</f>
        <v>143.5</v>
      </c>
      <c r="O111" s="14"/>
      <c r="P111" s="14" t="n">
        <f aca="false">ROUND(IF(D111=0,IF((N111-E111-O111)&gt;0,(N111-E111-O111),0),IF((D111+N111-O111)&gt;0,(D111+N111-O111),0)),2)</f>
        <v>7825.59</v>
      </c>
      <c r="Q111" s="14" t="n">
        <f aca="false">ROUND(IF(E111=0,IF((D111+N111-O111)&lt;0,ABS(D111+N111-O111),0),IF((N111-E111-O111)&lt;0,ABS(N111-E111-O111),0)),2)</f>
        <v>0</v>
      </c>
    </row>
    <row r="112" customFormat="false" ht="15" hidden="false" customHeight="true" outlineLevel="0" collapsed="false">
      <c r="A112" s="12" t="s">
        <v>332</v>
      </c>
      <c r="B112" s="12" t="str">
        <f aca="false">червень!B112</f>
        <v>АДПСУ (Чорноморець В.М.)</v>
      </c>
      <c r="C112" s="12" t="s">
        <v>334</v>
      </c>
      <c r="D112" s="14" t="n">
        <f aca="false">червень!P112</f>
        <v>4509.18</v>
      </c>
      <c r="E112" s="14" t="n">
        <f aca="false">червень!Q112</f>
        <v>0</v>
      </c>
      <c r="F112" s="13" t="n">
        <f aca="false">червень!F112</f>
        <v>0</v>
      </c>
      <c r="G112" s="13" t="n">
        <f aca="false">червень!G112</f>
        <v>61.1</v>
      </c>
      <c r="H112" s="13" t="n">
        <f aca="false">червень!H112</f>
        <v>0</v>
      </c>
      <c r="I112" s="13" t="n">
        <f aca="false">червень!I112</f>
        <v>4.1</v>
      </c>
      <c r="J112" s="14" t="n">
        <f aca="false">ROUND(G112*I112,2)</f>
        <v>250.51</v>
      </c>
      <c r="K112" s="14"/>
      <c r="L112" s="14"/>
      <c r="M112" s="14"/>
      <c r="N112" s="14" t="n">
        <f aca="false">ROUND((G112*I112)-K112-L112-M112,2)</f>
        <v>250.51</v>
      </c>
      <c r="O112" s="14"/>
      <c r="P112" s="14" t="n">
        <f aca="false">ROUND(IF(D112=0,IF((N112-E112-O112)&gt;0,(N112-E112-O112),0),IF((D112+N112-O112)&gt;0,(D112+N112-O112),0)),2)</f>
        <v>4759.69</v>
      </c>
      <c r="Q112" s="14" t="n">
        <f aca="false">ROUND(IF(E112=0,IF((D112+N112-O112)&lt;0,ABS(D112+N112-O112),0),IF((N112-E112-O112)&lt;0,ABS(N112-E112-O112),0)),2)</f>
        <v>0</v>
      </c>
    </row>
    <row r="113" customFormat="false" ht="15" hidden="false" customHeight="true" outlineLevel="0" collapsed="false">
      <c r="A113" s="12" t="s">
        <v>335</v>
      </c>
      <c r="B113" s="12" t="str">
        <f aca="false">червень!B113</f>
        <v>Дмитренко Г.В.</v>
      </c>
      <c r="C113" s="12" t="s">
        <v>337</v>
      </c>
      <c r="D113" s="14" t="n">
        <f aca="false">червень!P113</f>
        <v>13082.07</v>
      </c>
      <c r="E113" s="14" t="n">
        <f aca="false">червень!Q113</f>
        <v>0</v>
      </c>
      <c r="F113" s="13" t="n">
        <f aca="false">червень!F113</f>
        <v>0</v>
      </c>
      <c r="G113" s="13" t="n">
        <f aca="false">червень!G113</f>
        <v>64.89</v>
      </c>
      <c r="H113" s="13" t="n">
        <f aca="false">червень!H113</f>
        <v>0</v>
      </c>
      <c r="I113" s="13" t="n">
        <f aca="false">червень!I113</f>
        <v>4.1</v>
      </c>
      <c r="J113" s="14" t="n">
        <f aca="false">ROUND(G113*I113,2)</f>
        <v>266.05</v>
      </c>
      <c r="K113" s="14"/>
      <c r="L113" s="14"/>
      <c r="M113" s="14"/>
      <c r="N113" s="14" t="n">
        <f aca="false">ROUND((G113*I113)-K113-L113-M113,2)</f>
        <v>266.05</v>
      </c>
      <c r="O113" s="14"/>
      <c r="P113" s="14" t="n">
        <f aca="false">ROUND(IF(D113=0,IF((N113-E113-O113)&gt;0,(N113-E113-O113),0),IF((D113+N113-O113)&gt;0,(D113+N113-O113),0)),2)</f>
        <v>13348.12</v>
      </c>
      <c r="Q113" s="14" t="n">
        <f aca="false">ROUND(IF(E113=0,IF((D113+N113-O113)&lt;0,ABS(D113+N113-O113),0),IF((N113-E113-O113)&lt;0,ABS(N113-E113-O113),0)),2)</f>
        <v>0</v>
      </c>
    </row>
    <row r="114" customFormat="false" ht="15" hidden="false" customHeight="true" outlineLevel="0" collapsed="false">
      <c r="A114" s="12" t="s">
        <v>338</v>
      </c>
      <c r="B114" s="12" t="str">
        <f aca="false">червень!B114</f>
        <v>Номерова Т.В.</v>
      </c>
      <c r="C114" s="12" t="s">
        <v>340</v>
      </c>
      <c r="D114" s="14" t="n">
        <f aca="false">червень!P114</f>
        <v>1024.04</v>
      </c>
      <c r="E114" s="14" t="n">
        <f aca="false">червень!Q114</f>
        <v>0</v>
      </c>
      <c r="F114" s="13" t="n">
        <f aca="false">червень!F114</f>
        <v>0</v>
      </c>
      <c r="G114" s="13" t="n">
        <f aca="false">червень!G114</f>
        <v>49.96</v>
      </c>
      <c r="H114" s="13" t="n">
        <f aca="false">червень!H114</f>
        <v>0</v>
      </c>
      <c r="I114" s="13" t="n">
        <f aca="false">червень!I114</f>
        <v>4.1</v>
      </c>
      <c r="J114" s="14" t="n">
        <f aca="false">ROUND(G114*I114,2)</f>
        <v>204.84</v>
      </c>
      <c r="K114" s="14"/>
      <c r="L114" s="14"/>
      <c r="M114" s="14"/>
      <c r="N114" s="14" t="n">
        <f aca="false">ROUND((G114*I114)-K114-L114-M114,2)</f>
        <v>204.84</v>
      </c>
      <c r="O114" s="14"/>
      <c r="P114" s="14" t="n">
        <f aca="false">ROUND(IF(D114=0,IF((N114-E114-O114)&gt;0,(N114-E114-O114),0),IF((D114+N114-O114)&gt;0,(D114+N114-O114),0)),2)</f>
        <v>1228.88</v>
      </c>
      <c r="Q114" s="14" t="n">
        <f aca="false">ROUND(IF(E114=0,IF((D114+N114-O114)&lt;0,ABS(D114+N114-O114),0),IF((N114-E114-O114)&lt;0,ABS(N114-E114-O114),0)),2)</f>
        <v>0</v>
      </c>
    </row>
    <row r="115" customFormat="false" ht="15" hidden="false" customHeight="true" outlineLevel="0" collapsed="false">
      <c r="A115" s="12" t="s">
        <v>341</v>
      </c>
      <c r="B115" s="12" t="str">
        <f aca="false">червень!B115</f>
        <v>Самойлова О.В.</v>
      </c>
      <c r="C115" s="12" t="s">
        <v>343</v>
      </c>
      <c r="D115" s="14" t="n">
        <f aca="false">червень!P115</f>
        <v>848.7</v>
      </c>
      <c r="E115" s="14" t="n">
        <f aca="false">червень!Q115</f>
        <v>0</v>
      </c>
      <c r="F115" s="13" t="n">
        <f aca="false">червень!F115</f>
        <v>0</v>
      </c>
      <c r="G115" s="13" t="n">
        <f aca="false">червень!G115</f>
        <v>34.5</v>
      </c>
      <c r="H115" s="13" t="n">
        <f aca="false">червень!H115</f>
        <v>0</v>
      </c>
      <c r="I115" s="13" t="n">
        <f aca="false">червень!I115</f>
        <v>4.1</v>
      </c>
      <c r="J115" s="14" t="n">
        <f aca="false">ROUND(G115*I115,2)</f>
        <v>141.45</v>
      </c>
      <c r="K115" s="14"/>
      <c r="L115" s="14"/>
      <c r="M115" s="14"/>
      <c r="N115" s="14" t="n">
        <f aca="false">ROUND((G115*I115)-K115-L115-M115,2)</f>
        <v>141.45</v>
      </c>
      <c r="O115" s="14"/>
      <c r="P115" s="14" t="n">
        <f aca="false">ROUND(IF(D115=0,IF((N115-E115-O115)&gt;0,(N115-E115-O115),0),IF((D115+N115-O115)&gt;0,(D115+N115-O115),0)),2)</f>
        <v>990.15</v>
      </c>
      <c r="Q115" s="14" t="n">
        <f aca="false">ROUND(IF(E115=0,IF((D115+N115-O115)&lt;0,ABS(D115+N115-O115),0),IF((N115-E115-O115)&lt;0,ABS(N115-E115-O115),0)),2)</f>
        <v>0</v>
      </c>
    </row>
    <row r="116" customFormat="false" ht="15" hidden="false" customHeight="true" outlineLevel="0" collapsed="false">
      <c r="A116" s="12" t="s">
        <v>344</v>
      </c>
      <c r="B116" s="12" t="str">
        <f aca="false">червень!B116</f>
        <v>Випенко О.І.</v>
      </c>
      <c r="C116" s="12" t="s">
        <v>346</v>
      </c>
      <c r="D116" s="14" t="n">
        <f aca="false">червень!P116</f>
        <v>16688.38</v>
      </c>
      <c r="E116" s="14" t="n">
        <f aca="false">червень!Q116</f>
        <v>0</v>
      </c>
      <c r="F116" s="13" t="n">
        <f aca="false">червень!F116</f>
        <v>0</v>
      </c>
      <c r="G116" s="13" t="n">
        <f aca="false">червень!G116</f>
        <v>62.9</v>
      </c>
      <c r="H116" s="13" t="n">
        <f aca="false">червень!H116</f>
        <v>0</v>
      </c>
      <c r="I116" s="13" t="n">
        <f aca="false">червень!I116</f>
        <v>4.1</v>
      </c>
      <c r="J116" s="14" t="n">
        <f aca="false">ROUND(G116*I116,2)</f>
        <v>257.89</v>
      </c>
      <c r="K116" s="14"/>
      <c r="L116" s="14"/>
      <c r="M116" s="14"/>
      <c r="N116" s="14" t="n">
        <f aca="false">ROUND((G116*I116)-K116-L116-M116,2)</f>
        <v>257.89</v>
      </c>
      <c r="O116" s="14"/>
      <c r="P116" s="14" t="n">
        <f aca="false">ROUND(IF(D116=0,IF((N116-E116-O116)&gt;0,(N116-E116-O116),0),IF((D116+N116-O116)&gt;0,(D116+N116-O116),0)),2)</f>
        <v>16946.27</v>
      </c>
      <c r="Q116" s="14" t="n">
        <f aca="false">ROUND(IF(E116=0,IF((D116+N116-O116)&lt;0,ABS(D116+N116-O116),0),IF((N116-E116-O116)&lt;0,ABS(N116-E116-O116),0)),2)</f>
        <v>0</v>
      </c>
    </row>
    <row r="117" customFormat="false" ht="15" hidden="false" customHeight="true" outlineLevel="0" collapsed="false">
      <c r="A117" s="12" t="s">
        <v>347</v>
      </c>
      <c r="B117" s="12" t="str">
        <f aca="false">червень!B117</f>
        <v>Саприкін Ю.О.</v>
      </c>
      <c r="C117" s="12" t="s">
        <v>349</v>
      </c>
      <c r="D117" s="14" t="n">
        <f aca="false">червень!P117</f>
        <v>2789.64</v>
      </c>
      <c r="E117" s="14" t="n">
        <f aca="false">червень!Q117</f>
        <v>0</v>
      </c>
      <c r="F117" s="13" t="n">
        <f aca="false">червень!F117</f>
        <v>0</v>
      </c>
      <c r="G117" s="13" t="n">
        <f aca="false">червень!G117</f>
        <v>97.2</v>
      </c>
      <c r="H117" s="13" t="n">
        <f aca="false">червень!H117</f>
        <v>0</v>
      </c>
      <c r="I117" s="13" t="n">
        <f aca="false">червень!I117</f>
        <v>4.1</v>
      </c>
      <c r="J117" s="14" t="n">
        <f aca="false">ROUND(G117*I117,2)</f>
        <v>398.52</v>
      </c>
      <c r="K117" s="14"/>
      <c r="L117" s="14"/>
      <c r="M117" s="14"/>
      <c r="N117" s="14" t="n">
        <f aca="false">ROUND((G117*I117)-K117-L117-M117,2)</f>
        <v>398.52</v>
      </c>
      <c r="O117" s="14"/>
      <c r="P117" s="14" t="n">
        <f aca="false">ROUND(IF(D117=0,IF((N117-E117-O117)&gt;0,(N117-E117-O117),0),IF((D117+N117-O117)&gt;0,(D117+N117-O117),0)),2)</f>
        <v>3188.16</v>
      </c>
      <c r="Q117" s="14" t="n">
        <f aca="false">ROUND(IF(E117=0,IF((D117+N117-O117)&lt;0,ABS(D117+N117-O117),0),IF((N117-E117-O117)&lt;0,ABS(N117-E117-O117),0)),2)</f>
        <v>0</v>
      </c>
    </row>
    <row r="118" customFormat="false" ht="15" hidden="false" customHeight="true" outlineLevel="0" collapsed="false">
      <c r="A118" s="12" t="s">
        <v>350</v>
      </c>
      <c r="B118" s="12" t="str">
        <f aca="false">червень!B118</f>
        <v>Мовчан В.М.</v>
      </c>
      <c r="C118" s="12" t="s">
        <v>352</v>
      </c>
      <c r="D118" s="14" t="n">
        <f aca="false">червень!P118</f>
        <v>1199.28</v>
      </c>
      <c r="E118" s="14" t="n">
        <f aca="false">червень!Q118</f>
        <v>0</v>
      </c>
      <c r="F118" s="13" t="n">
        <f aca="false">червень!F118</f>
        <v>0</v>
      </c>
      <c r="G118" s="13" t="n">
        <f aca="false">червень!G118</f>
        <v>48.75</v>
      </c>
      <c r="H118" s="13" t="n">
        <f aca="false">червень!H118</f>
        <v>0</v>
      </c>
      <c r="I118" s="13" t="n">
        <f aca="false">червень!I118</f>
        <v>4.1</v>
      </c>
      <c r="J118" s="14" t="n">
        <f aca="false">ROUND(G118*I118,2)</f>
        <v>199.88</v>
      </c>
      <c r="K118" s="14"/>
      <c r="L118" s="14"/>
      <c r="M118" s="14"/>
      <c r="N118" s="14" t="n">
        <f aca="false">ROUND((G118*I118)-K118-L118-M118,2)</f>
        <v>199.88</v>
      </c>
      <c r="O118" s="14"/>
      <c r="P118" s="14" t="n">
        <f aca="false">ROUND(IF(D118=0,IF((N118-E118-O118)&gt;0,(N118-E118-O118),0),IF((D118+N118-O118)&gt;0,(D118+N118-O118),0)),2)</f>
        <v>1399.16</v>
      </c>
      <c r="Q118" s="14" t="n">
        <f aca="false">ROUND(IF(E118=0,IF((D118+N118-O118)&lt;0,ABS(D118+N118-O118),0),IF((N118-E118-O118)&lt;0,ABS(N118-E118-O118),0)),2)</f>
        <v>0</v>
      </c>
    </row>
    <row r="119" customFormat="false" ht="15" hidden="false" customHeight="true" outlineLevel="0" collapsed="false">
      <c r="A119" s="12" t="s">
        <v>353</v>
      </c>
      <c r="B119" s="12" t="str">
        <f aca="false">червень!B119</f>
        <v>Величко Н.М.</v>
      </c>
      <c r="C119" s="12" t="s">
        <v>355</v>
      </c>
      <c r="D119" s="14" t="n">
        <f aca="false">червень!P119</f>
        <v>1750.28</v>
      </c>
      <c r="E119" s="14" t="n">
        <f aca="false">червень!Q119</f>
        <v>0</v>
      </c>
      <c r="F119" s="13" t="n">
        <f aca="false">червень!F119</f>
        <v>0</v>
      </c>
      <c r="G119" s="13" t="n">
        <f aca="false">червень!G119</f>
        <v>63.8</v>
      </c>
      <c r="H119" s="13" t="n">
        <f aca="false">червень!H119</f>
        <v>0</v>
      </c>
      <c r="I119" s="13" t="n">
        <f aca="false">червень!I119</f>
        <v>4.1</v>
      </c>
      <c r="J119" s="14" t="n">
        <f aca="false">ROUND(G119*I119,2)</f>
        <v>261.58</v>
      </c>
      <c r="K119" s="14"/>
      <c r="L119" s="14"/>
      <c r="M119" s="14"/>
      <c r="N119" s="14" t="n">
        <f aca="false">ROUND((G119*I119)-K119-L119-M119,2)</f>
        <v>261.58</v>
      </c>
      <c r="O119" s="14"/>
      <c r="P119" s="14" t="n">
        <f aca="false">ROUND(IF(D119=0,IF((N119-E119-O119)&gt;0,(N119-E119-O119),0),IF((D119+N119-O119)&gt;0,(D119+N119-O119),0)),2)</f>
        <v>2011.86</v>
      </c>
      <c r="Q119" s="14" t="n">
        <f aca="false">ROUND(IF(E119=0,IF((D119+N119-O119)&lt;0,ABS(D119+N119-O119),0),IF((N119-E119-O119)&lt;0,ABS(N119-E119-O119),0)),2)</f>
        <v>0</v>
      </c>
    </row>
    <row r="120" customFormat="false" ht="15" hidden="false" customHeight="true" outlineLevel="0" collapsed="false">
      <c r="A120" s="12" t="s">
        <v>356</v>
      </c>
      <c r="B120" s="12" t="str">
        <f aca="false">червень!B120</f>
        <v>Бухлов С.В.</v>
      </c>
      <c r="C120" s="12" t="s">
        <v>358</v>
      </c>
      <c r="D120" s="14" t="n">
        <f aca="false">червень!P120</f>
        <v>18774.21</v>
      </c>
      <c r="E120" s="14" t="n">
        <f aca="false">червень!Q120</f>
        <v>0</v>
      </c>
      <c r="F120" s="13" t="n">
        <f aca="false">червень!F120</f>
        <v>0</v>
      </c>
      <c r="G120" s="13" t="n">
        <f aca="false">червень!G120</f>
        <v>62.6</v>
      </c>
      <c r="H120" s="13" t="n">
        <f aca="false">червень!H120</f>
        <v>0</v>
      </c>
      <c r="I120" s="13" t="n">
        <f aca="false">червень!I120</f>
        <v>4.1</v>
      </c>
      <c r="J120" s="14" t="n">
        <f aca="false">ROUND(G120*I120,2)</f>
        <v>256.66</v>
      </c>
      <c r="K120" s="14"/>
      <c r="L120" s="14"/>
      <c r="M120" s="14"/>
      <c r="N120" s="14" t="n">
        <f aca="false">ROUND((G120*I120)-K120-L120-M120,2)</f>
        <v>256.66</v>
      </c>
      <c r="O120" s="14"/>
      <c r="P120" s="14" t="n">
        <f aca="false">ROUND(IF(D120=0,IF((N120-E120-O120)&gt;0,(N120-E120-O120),0),IF((D120+N120-O120)&gt;0,(D120+N120-O120),0)),2)</f>
        <v>19030.87</v>
      </c>
      <c r="Q120" s="14" t="n">
        <f aca="false">ROUND(IF(E120=0,IF((D120+N120-O120)&lt;0,ABS(D120+N120-O120),0),IF((N120-E120-O120)&lt;0,ABS(N120-E120-O120),0)),2)</f>
        <v>0</v>
      </c>
    </row>
    <row r="121" customFormat="false" ht="15" hidden="false" customHeight="true" outlineLevel="0" collapsed="false">
      <c r="A121" s="12" t="s">
        <v>359</v>
      </c>
      <c r="B121" s="12" t="str">
        <f aca="false">червень!B121</f>
        <v>Перепеліцина Т.Ю.</v>
      </c>
      <c r="C121" s="12" t="s">
        <v>361</v>
      </c>
      <c r="D121" s="14" t="n">
        <f aca="false">червень!P121</f>
        <v>3256.81</v>
      </c>
      <c r="E121" s="14" t="n">
        <f aca="false">червень!Q121</f>
        <v>0</v>
      </c>
      <c r="F121" s="13" t="n">
        <f aca="false">червень!F121</f>
        <v>0</v>
      </c>
      <c r="G121" s="13" t="n">
        <f aca="false">червень!G121</f>
        <v>34.7</v>
      </c>
      <c r="H121" s="13" t="n">
        <f aca="false">червень!H121</f>
        <v>0</v>
      </c>
      <c r="I121" s="13" t="n">
        <f aca="false">червень!I121</f>
        <v>4.1</v>
      </c>
      <c r="J121" s="14" t="n">
        <f aca="false">ROUND(G121*I121,2)</f>
        <v>142.27</v>
      </c>
      <c r="K121" s="14"/>
      <c r="L121" s="14"/>
      <c r="M121" s="14"/>
      <c r="N121" s="14" t="n">
        <f aca="false">ROUND((G121*I121)-K121-L121-M121,2)</f>
        <v>142.27</v>
      </c>
      <c r="O121" s="14"/>
      <c r="P121" s="14" t="n">
        <f aca="false">ROUND(IF(D121=0,IF((N121-E121-O121)&gt;0,(N121-E121-O121),0),IF((D121+N121-O121)&gt;0,(D121+N121-O121),0)),2)</f>
        <v>3399.08</v>
      </c>
      <c r="Q121" s="14" t="n">
        <f aca="false">ROUND(IF(E121=0,IF((D121+N121-O121)&lt;0,ABS(D121+N121-O121),0),IF((N121-E121-O121)&lt;0,ABS(N121-E121-O121),0)),2)</f>
        <v>0</v>
      </c>
    </row>
    <row r="122" customFormat="false" ht="15" hidden="false" customHeight="true" outlineLevel="0" collapsed="false">
      <c r="A122" s="12" t="s">
        <v>362</v>
      </c>
      <c r="B122" s="12" t="str">
        <f aca="false">червень!B122</f>
        <v>Свєтлова Т.Ю.</v>
      </c>
      <c r="C122" s="12" t="s">
        <v>364</v>
      </c>
      <c r="D122" s="14" t="n">
        <f aca="false">червень!P122</f>
        <v>4463.3</v>
      </c>
      <c r="E122" s="14" t="n">
        <f aca="false">червень!Q122</f>
        <v>0</v>
      </c>
      <c r="F122" s="13" t="n">
        <f aca="false">червень!F122</f>
        <v>0</v>
      </c>
      <c r="G122" s="13" t="n">
        <f aca="false">червень!G122</f>
        <v>49.72</v>
      </c>
      <c r="H122" s="13" t="n">
        <f aca="false">червень!H122</f>
        <v>0</v>
      </c>
      <c r="I122" s="13" t="n">
        <f aca="false">червень!I122</f>
        <v>4.1</v>
      </c>
      <c r="J122" s="14" t="n">
        <f aca="false">ROUND(G122*I122,2)</f>
        <v>203.85</v>
      </c>
      <c r="K122" s="14"/>
      <c r="L122" s="14"/>
      <c r="M122" s="14"/>
      <c r="N122" s="14" t="n">
        <f aca="false">ROUND((G122*I122)-K122-L122-M122,2)</f>
        <v>203.85</v>
      </c>
      <c r="O122" s="14"/>
      <c r="P122" s="14" t="n">
        <f aca="false">ROUND(IF(D122=0,IF((N122-E122-O122)&gt;0,(N122-E122-O122),0),IF((D122+N122-O122)&gt;0,(D122+N122-O122),0)),2)</f>
        <v>4667.15</v>
      </c>
      <c r="Q122" s="14" t="n">
        <f aca="false">ROUND(IF(E122=0,IF((D122+N122-O122)&lt;0,ABS(D122+N122-O122),0),IF((N122-E122-O122)&lt;0,ABS(N122-E122-O122),0)),2)</f>
        <v>0</v>
      </c>
    </row>
    <row r="123" customFormat="false" ht="15" hidden="false" customHeight="true" outlineLevel="0" collapsed="false">
      <c r="A123" s="12" t="s">
        <v>365</v>
      </c>
      <c r="B123" s="12" t="str">
        <f aca="false">червень!B123</f>
        <v>Маркова О.М.</v>
      </c>
      <c r="C123" s="12" t="s">
        <v>367</v>
      </c>
      <c r="D123" s="14" t="n">
        <f aca="false">червень!P123</f>
        <v>1652.92</v>
      </c>
      <c r="E123" s="14" t="n">
        <f aca="false">червень!Q123</f>
        <v>0</v>
      </c>
      <c r="F123" s="13" t="n">
        <f aca="false">червень!F123</f>
        <v>0</v>
      </c>
      <c r="G123" s="13" t="n">
        <f aca="false">червень!G123</f>
        <v>65.1</v>
      </c>
      <c r="H123" s="13" t="n">
        <f aca="false">червень!H123</f>
        <v>0</v>
      </c>
      <c r="I123" s="13" t="n">
        <f aca="false">червень!I123</f>
        <v>4.1</v>
      </c>
      <c r="J123" s="14" t="n">
        <f aca="false">ROUND(G123*I123,2)</f>
        <v>266.91</v>
      </c>
      <c r="K123" s="14"/>
      <c r="L123" s="14"/>
      <c r="M123" s="14"/>
      <c r="N123" s="14" t="n">
        <f aca="false">ROUND((G123*I123)-K123-L123-M123,2)</f>
        <v>266.91</v>
      </c>
      <c r="O123" s="14"/>
      <c r="P123" s="14" t="n">
        <f aca="false">ROUND(IF(D123=0,IF((N123-E123-O123)&gt;0,(N123-E123-O123),0),IF((D123+N123-O123)&gt;0,(D123+N123-O123),0)),2)</f>
        <v>1919.83</v>
      </c>
      <c r="Q123" s="14" t="n">
        <f aca="false">ROUND(IF(E123=0,IF((D123+N123-O123)&lt;0,ABS(D123+N123-O123),0),IF((N123-E123-O123)&lt;0,ABS(N123-E123-O123),0)),2)</f>
        <v>0</v>
      </c>
    </row>
    <row r="124" customFormat="false" ht="15" hidden="false" customHeight="true" outlineLevel="0" collapsed="false">
      <c r="A124" s="12" t="s">
        <v>368</v>
      </c>
      <c r="B124" s="12" t="str">
        <f aca="false">червень!B124</f>
        <v>Ракитська А.М.</v>
      </c>
      <c r="C124" s="12" t="s">
        <v>370</v>
      </c>
      <c r="D124" s="14" t="n">
        <f aca="false">червень!P124</f>
        <v>1522.32</v>
      </c>
      <c r="E124" s="14" t="n">
        <f aca="false">червень!Q124</f>
        <v>0</v>
      </c>
      <c r="F124" s="13" t="n">
        <f aca="false">червень!F124</f>
        <v>0</v>
      </c>
      <c r="G124" s="13" t="n">
        <f aca="false">червень!G124</f>
        <v>62.18</v>
      </c>
      <c r="H124" s="13" t="n">
        <f aca="false">червень!H124</f>
        <v>0</v>
      </c>
      <c r="I124" s="13" t="n">
        <f aca="false">червень!I124</f>
        <v>4.1</v>
      </c>
      <c r="J124" s="14" t="n">
        <f aca="false">ROUND(G124*I124,2)</f>
        <v>254.94</v>
      </c>
      <c r="K124" s="14"/>
      <c r="L124" s="14"/>
      <c r="M124" s="14"/>
      <c r="N124" s="14" t="n">
        <f aca="false">ROUND((G124*I124)-K124-L124-M124,2)</f>
        <v>254.94</v>
      </c>
      <c r="O124" s="14"/>
      <c r="P124" s="14" t="n">
        <f aca="false">ROUND(IF(D124=0,IF((N124-E124-O124)&gt;0,(N124-E124-O124),0),IF((D124+N124-O124)&gt;0,(D124+N124-O124),0)),2)</f>
        <v>1777.26</v>
      </c>
      <c r="Q124" s="14" t="n">
        <f aca="false">ROUND(IF(E124=0,IF((D124+N124-O124)&lt;0,ABS(D124+N124-O124),0),IF((N124-E124-O124)&lt;0,ABS(N124-E124-O124),0)),2)</f>
        <v>0</v>
      </c>
    </row>
    <row r="125" customFormat="false" ht="15" hidden="false" customHeight="true" outlineLevel="0" collapsed="false">
      <c r="A125" s="12" t="s">
        <v>371</v>
      </c>
      <c r="B125" s="12" t="str">
        <f aca="false">червень!B125</f>
        <v>Гусак К.С.</v>
      </c>
      <c r="C125" s="12" t="s">
        <v>373</v>
      </c>
      <c r="D125" s="14" t="n">
        <f aca="false">червень!P125</f>
        <v>7544.46</v>
      </c>
      <c r="E125" s="14" t="n">
        <f aca="false">червень!Q125</f>
        <v>0</v>
      </c>
      <c r="F125" s="13" t="n">
        <f aca="false">червень!F125</f>
        <v>0</v>
      </c>
      <c r="G125" s="13" t="n">
        <f aca="false">червень!G125</f>
        <v>35.1</v>
      </c>
      <c r="H125" s="13" t="n">
        <f aca="false">червень!H125</f>
        <v>0</v>
      </c>
      <c r="I125" s="13" t="n">
        <f aca="false">червень!I125</f>
        <v>4.1</v>
      </c>
      <c r="J125" s="14" t="n">
        <f aca="false">ROUND(G125*I125,2)</f>
        <v>143.91</v>
      </c>
      <c r="K125" s="14"/>
      <c r="L125" s="14"/>
      <c r="M125" s="14"/>
      <c r="N125" s="14" t="n">
        <f aca="false">ROUND((G125*I125)-K125-L125-M125,2)</f>
        <v>143.91</v>
      </c>
      <c r="O125" s="14"/>
      <c r="P125" s="14" t="n">
        <f aca="false">ROUND(IF(D125=0,IF((N125-E125-O125)&gt;0,(N125-E125-O125),0),IF((D125+N125-O125)&gt;0,(D125+N125-O125),0)),2)</f>
        <v>7688.37</v>
      </c>
      <c r="Q125" s="14" t="n">
        <f aca="false">ROUND(IF(E125=0,IF((D125+N125-O125)&lt;0,ABS(D125+N125-O125),0),IF((N125-E125-O125)&lt;0,ABS(N125-E125-O125),0)),2)</f>
        <v>0</v>
      </c>
    </row>
    <row r="126" customFormat="false" ht="15" hidden="false" customHeight="true" outlineLevel="0" collapsed="false">
      <c r="A126" s="12" t="s">
        <v>374</v>
      </c>
      <c r="B126" s="12" t="str">
        <f aca="false">червень!B126</f>
        <v>Пісоченко М.Г.</v>
      </c>
      <c r="C126" s="12" t="s">
        <v>376</v>
      </c>
      <c r="D126" s="14" t="n">
        <f aca="false">червень!P126</f>
        <v>1429.26</v>
      </c>
      <c r="E126" s="14" t="n">
        <f aca="false">червень!Q126</f>
        <v>0</v>
      </c>
      <c r="F126" s="13" t="n">
        <f aca="false">червень!F126</f>
        <v>0</v>
      </c>
      <c r="G126" s="13" t="n">
        <f aca="false">червень!G126</f>
        <v>49.8</v>
      </c>
      <c r="H126" s="13" t="n">
        <f aca="false">червень!H126</f>
        <v>0</v>
      </c>
      <c r="I126" s="13" t="n">
        <f aca="false">червень!I126</f>
        <v>4.1</v>
      </c>
      <c r="J126" s="14" t="n">
        <f aca="false">ROUND(G126*I126,2)</f>
        <v>204.18</v>
      </c>
      <c r="K126" s="14"/>
      <c r="L126" s="14"/>
      <c r="M126" s="14"/>
      <c r="N126" s="14" t="n">
        <f aca="false">ROUND((G126*I126)-K126-L126-M126,2)</f>
        <v>204.18</v>
      </c>
      <c r="O126" s="14"/>
      <c r="P126" s="14" t="n">
        <f aca="false">ROUND(IF(D126=0,IF((N126-E126-O126)&gt;0,(N126-E126-O126),0),IF((D126+N126-O126)&gt;0,(D126+N126-O126),0)),2)</f>
        <v>1633.44</v>
      </c>
      <c r="Q126" s="14" t="n">
        <f aca="false">ROUND(IF(E126=0,IF((D126+N126-O126)&lt;0,ABS(D126+N126-O126),0),IF((N126-E126-O126)&lt;0,ABS(N126-E126-O126),0)),2)</f>
        <v>0</v>
      </c>
    </row>
    <row r="127" customFormat="false" ht="15" hidden="false" customHeight="true" outlineLevel="0" collapsed="false">
      <c r="A127" s="12" t="s">
        <v>377</v>
      </c>
      <c r="B127" s="12" t="str">
        <f aca="false">червень!B127</f>
        <v>Столяр О.М.</v>
      </c>
      <c r="C127" s="12" t="s">
        <v>379</v>
      </c>
      <c r="D127" s="14" t="n">
        <f aca="false">червень!P127</f>
        <v>4551.41</v>
      </c>
      <c r="E127" s="14" t="n">
        <f aca="false">червень!Q127</f>
        <v>0</v>
      </c>
      <c r="F127" s="13" t="n">
        <f aca="false">червень!F127</f>
        <v>0</v>
      </c>
      <c r="G127" s="13" t="n">
        <f aca="false">червень!G127</f>
        <v>65.3</v>
      </c>
      <c r="H127" s="13" t="n">
        <f aca="false">червень!H127</f>
        <v>0</v>
      </c>
      <c r="I127" s="13" t="n">
        <f aca="false">червень!I127</f>
        <v>4.1</v>
      </c>
      <c r="J127" s="14" t="n">
        <f aca="false">ROUND(G127*I127,2)</f>
        <v>267.73</v>
      </c>
      <c r="K127" s="14"/>
      <c r="L127" s="14"/>
      <c r="M127" s="14"/>
      <c r="N127" s="14" t="n">
        <f aca="false">ROUND((G127*I127)-K127-L127-M127,2)</f>
        <v>267.73</v>
      </c>
      <c r="O127" s="14"/>
      <c r="P127" s="14" t="n">
        <f aca="false">ROUND(IF(D127=0,IF((N127-E127-O127)&gt;0,(N127-E127-O127),0),IF((D127+N127-O127)&gt;0,(D127+N127-O127),0)),2)</f>
        <v>4819.14</v>
      </c>
      <c r="Q127" s="14" t="n">
        <f aca="false">ROUND(IF(E127=0,IF((D127+N127-O127)&lt;0,ABS(D127+N127-O127),0),IF((N127-E127-O127)&lt;0,ABS(N127-E127-O127),0)),2)</f>
        <v>0</v>
      </c>
    </row>
    <row r="128" customFormat="false" ht="15" hidden="false" customHeight="true" outlineLevel="0" collapsed="false">
      <c r="A128" s="12" t="s">
        <v>380</v>
      </c>
      <c r="B128" s="12" t="str">
        <f aca="false">червень!B128</f>
        <v>Рєзніков В.П.</v>
      </c>
      <c r="C128" s="12" t="s">
        <v>382</v>
      </c>
      <c r="D128" s="14" t="n">
        <f aca="false">червень!P128</f>
        <v>1212.69</v>
      </c>
      <c r="E128" s="14" t="n">
        <f aca="false">червень!Q128</f>
        <v>0</v>
      </c>
      <c r="F128" s="13" t="n">
        <f aca="false">червень!F128</f>
        <v>0</v>
      </c>
      <c r="G128" s="13" t="n">
        <f aca="false">червень!G128</f>
        <v>62.44</v>
      </c>
      <c r="H128" s="13" t="n">
        <f aca="false">червень!H128</f>
        <v>0</v>
      </c>
      <c r="I128" s="13" t="n">
        <f aca="false">червень!I128</f>
        <v>4.1</v>
      </c>
      <c r="J128" s="14" t="n">
        <f aca="false">ROUND(G128*I128,2)</f>
        <v>256</v>
      </c>
      <c r="K128" s="14"/>
      <c r="L128" s="14"/>
      <c r="M128" s="14"/>
      <c r="N128" s="14" t="n">
        <f aca="false">ROUND((G128*I128)-K128-L128-M128,2)</f>
        <v>256</v>
      </c>
      <c r="O128" s="14"/>
      <c r="P128" s="14" t="n">
        <f aca="false">ROUND(IF(D128=0,IF((N128-E128-O128)&gt;0,(N128-E128-O128),0),IF((D128+N128-O128)&gt;0,(D128+N128-O128),0)),2)</f>
        <v>1468.69</v>
      </c>
      <c r="Q128" s="14" t="n">
        <f aca="false">ROUND(IF(E128=0,IF((D128+N128-O128)&lt;0,ABS(D128+N128-O128),0),IF((N128-E128-O128)&lt;0,ABS(N128-E128-O128),0)),2)</f>
        <v>0</v>
      </c>
    </row>
    <row r="129" customFormat="false" ht="15" hidden="false" customHeight="true" outlineLevel="0" collapsed="false">
      <c r="A129" s="12" t="s">
        <v>383</v>
      </c>
      <c r="B129" s="12" t="str">
        <f aca="false">червень!B129</f>
        <v>Золотоверха Я.І.</v>
      </c>
      <c r="C129" s="12" t="s">
        <v>385</v>
      </c>
      <c r="D129" s="14" t="n">
        <f aca="false">червень!P129</f>
        <v>875.76</v>
      </c>
      <c r="E129" s="14" t="n">
        <f aca="false">червень!Q129</f>
        <v>0</v>
      </c>
      <c r="F129" s="13" t="n">
        <f aca="false">червень!F129</f>
        <v>0</v>
      </c>
      <c r="G129" s="13" t="n">
        <f aca="false">червень!G129</f>
        <v>35.6</v>
      </c>
      <c r="H129" s="13" t="n">
        <f aca="false">червень!H129</f>
        <v>0</v>
      </c>
      <c r="I129" s="13" t="n">
        <f aca="false">червень!I129</f>
        <v>4.1</v>
      </c>
      <c r="J129" s="14" t="n">
        <f aca="false">ROUND(G129*I129,2)</f>
        <v>145.96</v>
      </c>
      <c r="K129" s="14"/>
      <c r="L129" s="14"/>
      <c r="M129" s="14"/>
      <c r="N129" s="14" t="n">
        <f aca="false">ROUND((G129*I129)-K129-L129-M129,2)</f>
        <v>145.96</v>
      </c>
      <c r="O129" s="14"/>
      <c r="P129" s="14" t="n">
        <f aca="false">ROUND(IF(D129=0,IF((N129-E129-O129)&gt;0,(N129-E129-O129),0),IF((D129+N129-O129)&gt;0,(D129+N129-O129),0)),2)</f>
        <v>1021.72</v>
      </c>
      <c r="Q129" s="14" t="n">
        <f aca="false">ROUND(IF(E129=0,IF((D129+N129-O129)&lt;0,ABS(D129+N129-O129),0),IF((N129-E129-O129)&lt;0,ABS(N129-E129-O129),0)),2)</f>
        <v>0</v>
      </c>
    </row>
    <row r="130" customFormat="false" ht="15" hidden="false" customHeight="true" outlineLevel="0" collapsed="false">
      <c r="A130" s="12" t="s">
        <v>386</v>
      </c>
      <c r="B130" s="12" t="str">
        <f aca="false">червень!B130</f>
        <v>Бурлаков А.В.</v>
      </c>
      <c r="C130" s="12" t="s">
        <v>388</v>
      </c>
      <c r="D130" s="14" t="n">
        <f aca="false">червень!P130</f>
        <v>1426.16</v>
      </c>
      <c r="E130" s="14" t="n">
        <f aca="false">червень!Q130</f>
        <v>0</v>
      </c>
      <c r="F130" s="13" t="n">
        <f aca="false">червень!F130</f>
        <v>0</v>
      </c>
      <c r="G130" s="13" t="n">
        <f aca="false">червень!G130</f>
        <v>49.7</v>
      </c>
      <c r="H130" s="13" t="n">
        <f aca="false">червень!H130</f>
        <v>0</v>
      </c>
      <c r="I130" s="13" t="n">
        <f aca="false">червень!I130</f>
        <v>4.1</v>
      </c>
      <c r="J130" s="14" t="n">
        <f aca="false">ROUND(G130*I130,2)</f>
        <v>203.77</v>
      </c>
      <c r="K130" s="14"/>
      <c r="L130" s="14"/>
      <c r="M130" s="14"/>
      <c r="N130" s="14" t="n">
        <f aca="false">ROUND((G130*I130)-K130-L130-M130,2)</f>
        <v>203.77</v>
      </c>
      <c r="O130" s="14"/>
      <c r="P130" s="14" t="n">
        <f aca="false">ROUND(IF(D130=0,IF((N130-E130-O130)&gt;0,(N130-E130-O130),0),IF((D130+N130-O130)&gt;0,(D130+N130-O130),0)),2)</f>
        <v>1629.93</v>
      </c>
      <c r="Q130" s="14" t="n">
        <f aca="false">ROUND(IF(E130=0,IF((D130+N130-O130)&lt;0,ABS(D130+N130-O130),0),IF((N130-E130-O130)&lt;0,ABS(N130-E130-O130),0)),2)</f>
        <v>0</v>
      </c>
    </row>
    <row r="131" customFormat="false" ht="15" hidden="false" customHeight="true" outlineLevel="0" collapsed="false">
      <c r="A131" s="12" t="s">
        <v>389</v>
      </c>
      <c r="B131" s="12" t="str">
        <f aca="false">червень!B131</f>
        <v>Сикула О.Ю.</v>
      </c>
      <c r="C131" s="12" t="s">
        <v>391</v>
      </c>
      <c r="D131" s="14" t="n">
        <f aca="false">червень!P131</f>
        <v>5602.72</v>
      </c>
      <c r="E131" s="14" t="n">
        <f aca="false">червень!Q131</f>
        <v>0</v>
      </c>
      <c r="F131" s="13" t="n">
        <f aca="false">червень!F131</f>
        <v>0</v>
      </c>
      <c r="G131" s="13" t="n">
        <f aca="false">червень!G131</f>
        <v>65.15</v>
      </c>
      <c r="H131" s="13" t="n">
        <f aca="false">червень!H131</f>
        <v>0</v>
      </c>
      <c r="I131" s="13" t="n">
        <f aca="false">червень!I131</f>
        <v>4.1</v>
      </c>
      <c r="J131" s="14" t="n">
        <f aca="false">ROUND(G131*I131,2)</f>
        <v>267.12</v>
      </c>
      <c r="K131" s="14"/>
      <c r="L131" s="14"/>
      <c r="M131" s="14"/>
      <c r="N131" s="14" t="n">
        <f aca="false">ROUND((G131*I131)-K131-L131-M131,2)</f>
        <v>267.12</v>
      </c>
      <c r="O131" s="14"/>
      <c r="P131" s="14" t="n">
        <f aca="false">ROUND(IF(D131=0,IF((N131-E131-O131)&gt;0,(N131-E131-O131),0),IF((D131+N131-O131)&gt;0,(D131+N131-O131),0)),2)</f>
        <v>5869.84</v>
      </c>
      <c r="Q131" s="14" t="n">
        <f aca="false">ROUND(IF(E131=0,IF((D131+N131-O131)&lt;0,ABS(D131+N131-O131),0),IF((N131-E131-O131)&lt;0,ABS(N131-E131-O131),0)),2)</f>
        <v>0</v>
      </c>
    </row>
    <row r="132" customFormat="false" ht="15" hidden="false" customHeight="true" outlineLevel="0" collapsed="false">
      <c r="A132" s="12" t="s">
        <v>392</v>
      </c>
      <c r="B132" s="12" t="str">
        <f aca="false">червень!B132</f>
        <v>Арістов О.О.</v>
      </c>
      <c r="C132" s="12" t="s">
        <v>394</v>
      </c>
      <c r="D132" s="14" t="n">
        <f aca="false">червень!P132</f>
        <v>1808.1</v>
      </c>
      <c r="E132" s="14" t="n">
        <f aca="false">червень!Q132</f>
        <v>0</v>
      </c>
      <c r="F132" s="13" t="n">
        <f aca="false">червень!F132</f>
        <v>0</v>
      </c>
      <c r="G132" s="13" t="n">
        <f aca="false">червень!G132</f>
        <v>63</v>
      </c>
      <c r="H132" s="13" t="n">
        <f aca="false">червень!H132</f>
        <v>0</v>
      </c>
      <c r="I132" s="13" t="n">
        <f aca="false">червень!I132</f>
        <v>4.1</v>
      </c>
      <c r="J132" s="14" t="n">
        <f aca="false">ROUND(G132*I132,2)</f>
        <v>258.3</v>
      </c>
      <c r="K132" s="14"/>
      <c r="L132" s="14"/>
      <c r="M132" s="14"/>
      <c r="N132" s="14" t="n">
        <f aca="false">ROUND((G132*I132)-K132-L132-M132,2)</f>
        <v>258.3</v>
      </c>
      <c r="O132" s="14"/>
      <c r="P132" s="14" t="n">
        <f aca="false">ROUND(IF(D132=0,IF((N132-E132-O132)&gt;0,(N132-E132-O132),0),IF((D132+N132-O132)&gt;0,(D132+N132-O132),0)),2)</f>
        <v>2066.4</v>
      </c>
      <c r="Q132" s="14" t="n">
        <f aca="false">ROUND(IF(E132=0,IF((D132+N132-O132)&lt;0,ABS(D132+N132-O132),0),IF((N132-E132-O132)&lt;0,ABS(N132-E132-O132),0)),2)</f>
        <v>0</v>
      </c>
    </row>
    <row r="133" customFormat="false" ht="15" hidden="false" customHeight="true" outlineLevel="0" collapsed="false">
      <c r="A133" s="12" t="s">
        <v>395</v>
      </c>
      <c r="B133" s="12" t="str">
        <f aca="false">червень!B133</f>
        <v>Бондаренко Т.О.</v>
      </c>
      <c r="C133" s="12" t="s">
        <v>397</v>
      </c>
      <c r="D133" s="14" t="n">
        <f aca="false">червень!P133</f>
        <v>853.62</v>
      </c>
      <c r="E133" s="14" t="n">
        <f aca="false">червень!Q133</f>
        <v>0</v>
      </c>
      <c r="F133" s="13" t="n">
        <f aca="false">червень!F133</f>
        <v>0</v>
      </c>
      <c r="G133" s="13" t="n">
        <f aca="false">червень!G133</f>
        <v>34.7</v>
      </c>
      <c r="H133" s="13" t="n">
        <f aca="false">червень!H133</f>
        <v>0</v>
      </c>
      <c r="I133" s="13" t="n">
        <f aca="false">червень!I133</f>
        <v>4.1</v>
      </c>
      <c r="J133" s="14" t="n">
        <f aca="false">ROUND(G133*I133,2)</f>
        <v>142.27</v>
      </c>
      <c r="K133" s="14"/>
      <c r="L133" s="14"/>
      <c r="M133" s="14"/>
      <c r="N133" s="14" t="n">
        <f aca="false">ROUND((G133*I133)-K133-L133-M133,2)</f>
        <v>142.27</v>
      </c>
      <c r="O133" s="14"/>
      <c r="P133" s="14" t="n">
        <f aca="false">ROUND(IF(D133=0,IF((N133-E133-O133)&gt;0,(N133-E133-O133),0),IF((D133+N133-O133)&gt;0,(D133+N133-O133),0)),2)</f>
        <v>995.89</v>
      </c>
      <c r="Q133" s="14" t="n">
        <f aca="false">ROUND(IF(E133=0,IF((D133+N133-O133)&lt;0,ABS(D133+N133-O133),0),IF((N133-E133-O133)&lt;0,ABS(N133-E133-O133),0)),2)</f>
        <v>0</v>
      </c>
    </row>
    <row r="134" customFormat="false" ht="15" hidden="false" customHeight="true" outlineLevel="0" collapsed="false">
      <c r="A134" s="12" t="s">
        <v>398</v>
      </c>
      <c r="B134" s="12" t="str">
        <f aca="false">червень!B134</f>
        <v>Гайчев П.В.</v>
      </c>
      <c r="C134" s="12" t="s">
        <v>400</v>
      </c>
      <c r="D134" s="14" t="n">
        <f aca="false">червень!P134</f>
        <v>1412.04</v>
      </c>
      <c r="E134" s="14" t="n">
        <f aca="false">червень!Q134</f>
        <v>0</v>
      </c>
      <c r="F134" s="13" t="n">
        <f aca="false">червень!F134</f>
        <v>0</v>
      </c>
      <c r="G134" s="13" t="n">
        <f aca="false">червень!G134</f>
        <v>49.2</v>
      </c>
      <c r="H134" s="13" t="n">
        <f aca="false">червень!H134</f>
        <v>0</v>
      </c>
      <c r="I134" s="13" t="n">
        <f aca="false">червень!I134</f>
        <v>4.1</v>
      </c>
      <c r="J134" s="14" t="n">
        <f aca="false">ROUND(G134*I134,2)</f>
        <v>201.72</v>
      </c>
      <c r="K134" s="14"/>
      <c r="L134" s="14"/>
      <c r="M134" s="14"/>
      <c r="N134" s="14" t="n">
        <f aca="false">ROUND((G134*I134)-K134-L134-M134,2)</f>
        <v>201.72</v>
      </c>
      <c r="O134" s="14"/>
      <c r="P134" s="14" t="n">
        <f aca="false">ROUND(IF(D134=0,IF((N134-E134-O134)&gt;0,(N134-E134-O134),0),IF((D134+N134-O134)&gt;0,(D134+N134-O134),0)),2)</f>
        <v>1613.76</v>
      </c>
      <c r="Q134" s="14" t="n">
        <f aca="false">ROUND(IF(E134=0,IF((D134+N134-O134)&lt;0,ABS(D134+N134-O134),0),IF((N134-E134-O134)&lt;0,ABS(N134-E134-O134),0)),2)</f>
        <v>0</v>
      </c>
    </row>
    <row r="135" customFormat="false" ht="15" hidden="false" customHeight="true" outlineLevel="0" collapsed="false">
      <c r="A135" s="12" t="s">
        <v>401</v>
      </c>
      <c r="B135" s="12" t="str">
        <f aca="false">червень!B135</f>
        <v>Радченко О.С.</v>
      </c>
      <c r="C135" s="12" t="s">
        <v>403</v>
      </c>
      <c r="D135" s="14" t="n">
        <f aca="false">червень!P135</f>
        <v>1602.72</v>
      </c>
      <c r="E135" s="14" t="n">
        <f aca="false">червень!Q135</f>
        <v>0</v>
      </c>
      <c r="F135" s="13" t="n">
        <f aca="false">червень!F135</f>
        <v>0</v>
      </c>
      <c r="G135" s="13" t="n">
        <f aca="false">червень!G135</f>
        <v>65.15</v>
      </c>
      <c r="H135" s="13" t="n">
        <f aca="false">червень!H135</f>
        <v>0</v>
      </c>
      <c r="I135" s="13" t="n">
        <f aca="false">червень!I135</f>
        <v>4.1</v>
      </c>
      <c r="J135" s="14" t="n">
        <f aca="false">ROUND(G135*I135,2)</f>
        <v>267.12</v>
      </c>
      <c r="K135" s="14"/>
      <c r="L135" s="14"/>
      <c r="M135" s="14"/>
      <c r="N135" s="14" t="n">
        <f aca="false">ROUND((G135*I135)-K135-L135-M135,2)</f>
        <v>267.12</v>
      </c>
      <c r="O135" s="14"/>
      <c r="P135" s="14" t="n">
        <f aca="false">ROUND(IF(D135=0,IF((N135-E135-O135)&gt;0,(N135-E135-O135),0),IF((D135+N135-O135)&gt;0,(D135+N135-O135),0)),2)</f>
        <v>1869.84</v>
      </c>
      <c r="Q135" s="14" t="n">
        <f aca="false">ROUND(IF(E135=0,IF((D135+N135-O135)&lt;0,ABS(D135+N135-O135),0),IF((N135-E135-O135)&lt;0,ABS(N135-E135-O135),0)),2)</f>
        <v>0</v>
      </c>
    </row>
    <row r="136" customFormat="false" ht="15" hidden="false" customHeight="true" outlineLevel="0" collapsed="false">
      <c r="A136" s="12" t="s">
        <v>404</v>
      </c>
      <c r="B136" s="12" t="str">
        <f aca="false">червень!B136</f>
        <v>Шилін С.М.</v>
      </c>
      <c r="C136" s="12" t="s">
        <v>406</v>
      </c>
      <c r="D136" s="14" t="n">
        <f aca="false">червень!P136</f>
        <v>3037.89</v>
      </c>
      <c r="E136" s="14" t="n">
        <f aca="false">червень!Q136</f>
        <v>0</v>
      </c>
      <c r="F136" s="13" t="n">
        <f aca="false">червень!F136</f>
        <v>0</v>
      </c>
      <c r="G136" s="13" t="n">
        <f aca="false">червень!G136</f>
        <v>62.3</v>
      </c>
      <c r="H136" s="13" t="n">
        <f aca="false">червень!H136</f>
        <v>0</v>
      </c>
      <c r="I136" s="13" t="n">
        <f aca="false">червень!I136</f>
        <v>4.1</v>
      </c>
      <c r="J136" s="14" t="n">
        <f aca="false">ROUND(G136*I136,2)</f>
        <v>255.43</v>
      </c>
      <c r="K136" s="14"/>
      <c r="L136" s="14"/>
      <c r="M136" s="14"/>
      <c r="N136" s="14" t="n">
        <f aca="false">ROUND((G136*I136)-K136-L136-M136,2)</f>
        <v>255.43</v>
      </c>
      <c r="O136" s="14"/>
      <c r="P136" s="14" t="n">
        <f aca="false">ROUND(IF(D136=0,IF((N136-E136-O136)&gt;0,(N136-E136-O136),0),IF((D136+N136-O136)&gt;0,(D136+N136-O136),0)),2)</f>
        <v>3293.32</v>
      </c>
      <c r="Q136" s="14" t="n">
        <f aca="false">ROUND(IF(E136=0,IF((D136+N136-O136)&lt;0,ABS(D136+N136-O136),0),IF((N136-E136-O136)&lt;0,ABS(N136-E136-O136),0)),2)</f>
        <v>0</v>
      </c>
    </row>
    <row r="137" customFormat="false" ht="15" hidden="false" customHeight="true" outlineLevel="0" collapsed="false">
      <c r="A137" s="12" t="s">
        <v>407</v>
      </c>
      <c r="B137" s="12" t="str">
        <f aca="false">червень!B137</f>
        <v>Корякін Л.М.</v>
      </c>
      <c r="C137" s="12" t="s">
        <v>409</v>
      </c>
      <c r="D137" s="14" t="n">
        <f aca="false">червень!P137</f>
        <v>2391.92</v>
      </c>
      <c r="E137" s="14" t="n">
        <f aca="false">червень!Q137</f>
        <v>0</v>
      </c>
      <c r="F137" s="13" t="n">
        <f aca="false">червень!F137</f>
        <v>0</v>
      </c>
      <c r="G137" s="13" t="n">
        <f aca="false">червень!G137</f>
        <v>35.3</v>
      </c>
      <c r="H137" s="13" t="n">
        <f aca="false">червень!H137</f>
        <v>0</v>
      </c>
      <c r="I137" s="13" t="n">
        <f aca="false">червень!I137</f>
        <v>4.1</v>
      </c>
      <c r="J137" s="14" t="n">
        <f aca="false">ROUND(G137*I137,2)</f>
        <v>144.73</v>
      </c>
      <c r="K137" s="14"/>
      <c r="L137" s="14"/>
      <c r="M137" s="14"/>
      <c r="N137" s="14" t="n">
        <f aca="false">ROUND((G137*I137)-K137-L137-M137,2)</f>
        <v>144.73</v>
      </c>
      <c r="O137" s="14"/>
      <c r="P137" s="14" t="n">
        <f aca="false">ROUND(IF(D137=0,IF((N137-E137-O137)&gt;0,(N137-E137-O137),0),IF((D137+N137-O137)&gt;0,(D137+N137-O137),0)),2)</f>
        <v>2536.65</v>
      </c>
      <c r="Q137" s="14" t="n">
        <f aca="false">ROUND(IF(E137=0,IF((D137+N137-O137)&lt;0,ABS(D137+N137-O137),0),IF((N137-E137-O137)&lt;0,ABS(N137-E137-O137),0)),2)</f>
        <v>0</v>
      </c>
    </row>
    <row r="138" customFormat="false" ht="15" hidden="false" customHeight="true" outlineLevel="0" collapsed="false">
      <c r="A138" s="12" t="s">
        <v>410</v>
      </c>
      <c r="B138" s="12" t="str">
        <f aca="false">червень!B138</f>
        <v>Кривошеєва Л.М.</v>
      </c>
      <c r="C138" s="12" t="s">
        <v>412</v>
      </c>
      <c r="D138" s="14" t="n">
        <f aca="false">червень!P138</f>
        <v>3724.62</v>
      </c>
      <c r="E138" s="14" t="n">
        <f aca="false">червень!Q138</f>
        <v>0</v>
      </c>
      <c r="F138" s="13" t="n">
        <f aca="false">червень!F138</f>
        <v>0</v>
      </c>
      <c r="G138" s="13" t="n">
        <f aca="false">червень!G138</f>
        <v>49.78</v>
      </c>
      <c r="H138" s="13" t="n">
        <f aca="false">червень!H138</f>
        <v>0</v>
      </c>
      <c r="I138" s="13" t="n">
        <f aca="false">червень!I138</f>
        <v>4.1</v>
      </c>
      <c r="J138" s="14" t="n">
        <f aca="false">ROUND(G138*I138,2)</f>
        <v>204.1</v>
      </c>
      <c r="K138" s="14"/>
      <c r="L138" s="14"/>
      <c r="M138" s="14"/>
      <c r="N138" s="14" t="n">
        <f aca="false">ROUND((G138*I138)-K138-L138-M138,2)</f>
        <v>204.1</v>
      </c>
      <c r="O138" s="14"/>
      <c r="P138" s="14" t="n">
        <f aca="false">ROUND(IF(D138=0,IF((N138-E138-O138)&gt;0,(N138-E138-O138),0),IF((D138+N138-O138)&gt;0,(D138+N138-O138),0)),2)</f>
        <v>3928.72</v>
      </c>
      <c r="Q138" s="14" t="n">
        <f aca="false">ROUND(IF(E138=0,IF((D138+N138-O138)&lt;0,ABS(D138+N138-O138),0),IF((N138-E138-O138)&lt;0,ABS(N138-E138-O138),0)),2)</f>
        <v>0</v>
      </c>
    </row>
    <row r="139" customFormat="false" ht="15" hidden="false" customHeight="true" outlineLevel="0" collapsed="false">
      <c r="A139" s="12" t="s">
        <v>413</v>
      </c>
      <c r="B139" s="12" t="str">
        <f aca="false">червень!B139</f>
        <v>Харченко І.С.</v>
      </c>
      <c r="C139" s="12" t="s">
        <v>415</v>
      </c>
      <c r="D139" s="14" t="n">
        <f aca="false">червень!P139</f>
        <v>1344.79</v>
      </c>
      <c r="E139" s="14" t="n">
        <f aca="false">червень!Q139</f>
        <v>0</v>
      </c>
      <c r="F139" s="13" t="n">
        <f aca="false">червень!F139</f>
        <v>0</v>
      </c>
      <c r="G139" s="13" t="n">
        <f aca="false">червень!G139</f>
        <v>65.93</v>
      </c>
      <c r="H139" s="13" t="n">
        <f aca="false">червень!H139</f>
        <v>0</v>
      </c>
      <c r="I139" s="13" t="n">
        <f aca="false">червень!I139</f>
        <v>4.1</v>
      </c>
      <c r="J139" s="14" t="n">
        <f aca="false">ROUND(G139*I139,2)</f>
        <v>270.31</v>
      </c>
      <c r="K139" s="14"/>
      <c r="L139" s="14"/>
      <c r="M139" s="14"/>
      <c r="N139" s="14" t="n">
        <f aca="false">ROUND((G139*I139)-K139-L139-M139,2)</f>
        <v>270.31</v>
      </c>
      <c r="O139" s="14"/>
      <c r="P139" s="14" t="n">
        <f aca="false">ROUND(IF(D139=0,IF((N139-E139-O139)&gt;0,(N139-E139-O139),0),IF((D139+N139-O139)&gt;0,(D139+N139-O139),0)),2)</f>
        <v>1615.1</v>
      </c>
      <c r="Q139" s="14" t="n">
        <f aca="false">ROUND(IF(E139=0,IF((D139+N139-O139)&lt;0,ABS(D139+N139-O139),0),IF((N139-E139-O139)&lt;0,ABS(N139-E139-O139),0)),2)</f>
        <v>0</v>
      </c>
    </row>
    <row r="140" customFormat="false" ht="15" hidden="false" customHeight="true" outlineLevel="0" collapsed="false">
      <c r="A140" s="12" t="s">
        <v>416</v>
      </c>
      <c r="B140" s="12" t="str">
        <f aca="false">червень!B140</f>
        <v>Куриленко І.О.</v>
      </c>
      <c r="C140" s="12" t="s">
        <v>418</v>
      </c>
      <c r="D140" s="14" t="n">
        <f aca="false">червень!P140</f>
        <v>1278.4</v>
      </c>
      <c r="E140" s="14" t="n">
        <f aca="false">червень!Q140</f>
        <v>0</v>
      </c>
      <c r="F140" s="13" t="n">
        <f aca="false">червень!F140</f>
        <v>0</v>
      </c>
      <c r="G140" s="13" t="n">
        <f aca="false">червень!G140</f>
        <v>62.36</v>
      </c>
      <c r="H140" s="13" t="n">
        <f aca="false">червень!H140</f>
        <v>0</v>
      </c>
      <c r="I140" s="13" t="n">
        <f aca="false">червень!I140</f>
        <v>4.1</v>
      </c>
      <c r="J140" s="14" t="n">
        <f aca="false">ROUND(G140*I140,2)</f>
        <v>255.68</v>
      </c>
      <c r="K140" s="14"/>
      <c r="L140" s="14"/>
      <c r="M140" s="14"/>
      <c r="N140" s="14" t="n">
        <f aca="false">ROUND((G140*I140)-K140-L140-M140,2)</f>
        <v>255.68</v>
      </c>
      <c r="O140" s="14"/>
      <c r="P140" s="14" t="n">
        <f aca="false">ROUND(IF(D140=0,IF((N140-E140-O140)&gt;0,(N140-E140-O140),0),IF((D140+N140-O140)&gt;0,(D140+N140-O140),0)),2)</f>
        <v>1534.08</v>
      </c>
      <c r="Q140" s="14" t="n">
        <f aca="false">ROUND(IF(E140=0,IF((D140+N140-O140)&lt;0,ABS(D140+N140-O140),0),IF((N140-E140-O140)&lt;0,ABS(N140-E140-O140),0)),2)</f>
        <v>0</v>
      </c>
    </row>
    <row r="141" customFormat="false" ht="15" hidden="false" customHeight="true" outlineLevel="0" collapsed="false">
      <c r="A141" s="12" t="s">
        <v>419</v>
      </c>
      <c r="B141" s="12" t="str">
        <f aca="false">червень!B141</f>
        <v>Єлсукова В.М.</v>
      </c>
      <c r="C141" s="12" t="s">
        <v>421</v>
      </c>
      <c r="D141" s="14" t="n">
        <f aca="false">червень!P141</f>
        <v>7771.14</v>
      </c>
      <c r="E141" s="14" t="n">
        <f aca="false">червень!Q141</f>
        <v>0</v>
      </c>
      <c r="F141" s="13" t="n">
        <f aca="false">червень!F141</f>
        <v>0</v>
      </c>
      <c r="G141" s="13" t="n">
        <f aca="false">червень!G141</f>
        <v>35.1</v>
      </c>
      <c r="H141" s="13" t="n">
        <f aca="false">червень!H141</f>
        <v>0</v>
      </c>
      <c r="I141" s="13" t="n">
        <f aca="false">червень!I141</f>
        <v>4.1</v>
      </c>
      <c r="J141" s="14" t="n">
        <f aca="false">ROUND(G141*I141,2)</f>
        <v>143.91</v>
      </c>
      <c r="K141" s="14"/>
      <c r="L141" s="14"/>
      <c r="M141" s="14"/>
      <c r="N141" s="14" t="n">
        <f aca="false">ROUND((G141*I141)-K141-L141-M141,2)</f>
        <v>143.91</v>
      </c>
      <c r="O141" s="14"/>
      <c r="P141" s="14" t="n">
        <f aca="false">ROUND(IF(D141=0,IF((N141-E141-O141)&gt;0,(N141-E141-O141),0),IF((D141+N141-O141)&gt;0,(D141+N141-O141),0)),2)</f>
        <v>7915.05</v>
      </c>
      <c r="Q141" s="14" t="n">
        <f aca="false">ROUND(IF(E141=0,IF((D141+N141-O141)&lt;0,ABS(D141+N141-O141),0),IF((N141-E141-O141)&lt;0,ABS(N141-E141-O141),0)),2)</f>
        <v>0</v>
      </c>
    </row>
    <row r="142" customFormat="false" ht="15" hidden="false" customHeight="true" outlineLevel="0" collapsed="false">
      <c r="A142" s="12" t="s">
        <v>422</v>
      </c>
      <c r="B142" s="12" t="str">
        <f aca="false">червень!B142</f>
        <v>Пімонова М.В.</v>
      </c>
      <c r="C142" s="12" t="s">
        <v>424</v>
      </c>
      <c r="D142" s="14" t="n">
        <f aca="false">червень!P142</f>
        <v>9491.49</v>
      </c>
      <c r="E142" s="14" t="n">
        <f aca="false">червень!Q142</f>
        <v>0</v>
      </c>
      <c r="F142" s="13" t="n">
        <f aca="false">червень!F142</f>
        <v>0</v>
      </c>
      <c r="G142" s="13" t="n">
        <f aca="false">червень!G142</f>
        <v>49.47</v>
      </c>
      <c r="H142" s="13" t="n">
        <f aca="false">червень!H142</f>
        <v>0</v>
      </c>
      <c r="I142" s="13" t="n">
        <f aca="false">червень!I142</f>
        <v>4.1</v>
      </c>
      <c r="J142" s="14" t="n">
        <f aca="false">ROUND(G142*I142,2)</f>
        <v>202.83</v>
      </c>
      <c r="K142" s="14"/>
      <c r="L142" s="14"/>
      <c r="M142" s="14"/>
      <c r="N142" s="14" t="n">
        <f aca="false">ROUND((G142*I142)-K142-L142-M142,2)</f>
        <v>202.83</v>
      </c>
      <c r="O142" s="14"/>
      <c r="P142" s="14" t="n">
        <f aca="false">ROUND(IF(D142=0,IF((N142-E142-O142)&gt;0,(N142-E142-O142),0),IF((D142+N142-O142)&gt;0,(D142+N142-O142),0)),2)</f>
        <v>9694.32</v>
      </c>
      <c r="Q142" s="14" t="n">
        <f aca="false">ROUND(IF(E142=0,IF((D142+N142-O142)&lt;0,ABS(D142+N142-O142),0),IF((N142-E142-O142)&lt;0,ABS(N142-E142-O142),0)),2)</f>
        <v>0</v>
      </c>
    </row>
    <row r="143" customFormat="false" ht="15" hidden="false" customHeight="true" outlineLevel="0" collapsed="false">
      <c r="A143" s="12" t="s">
        <v>425</v>
      </c>
      <c r="B143" s="12" t="str">
        <f aca="false">червень!B143</f>
        <v>Осипенко В.В.</v>
      </c>
      <c r="C143" s="12" t="s">
        <v>427</v>
      </c>
      <c r="D143" s="14" t="n">
        <f aca="false">червень!P143</f>
        <v>12380.01</v>
      </c>
      <c r="E143" s="14" t="n">
        <f aca="false">червень!Q143</f>
        <v>0</v>
      </c>
      <c r="F143" s="13" t="n">
        <f aca="false">червень!F143</f>
        <v>0</v>
      </c>
      <c r="G143" s="13" t="n">
        <f aca="false">червень!G143</f>
        <v>65.65</v>
      </c>
      <c r="H143" s="13" t="n">
        <f aca="false">червень!H143</f>
        <v>0</v>
      </c>
      <c r="I143" s="13" t="n">
        <f aca="false">червень!I143</f>
        <v>4.1</v>
      </c>
      <c r="J143" s="14" t="n">
        <f aca="false">ROUND(G143*I143,2)</f>
        <v>269.17</v>
      </c>
      <c r="K143" s="14"/>
      <c r="L143" s="14"/>
      <c r="M143" s="14"/>
      <c r="N143" s="14" t="n">
        <f aca="false">ROUND((G143*I143)-K143-L143-M143,2)</f>
        <v>269.17</v>
      </c>
      <c r="O143" s="14"/>
      <c r="P143" s="14" t="n">
        <f aca="false">ROUND(IF(D143=0,IF((N143-E143-O143)&gt;0,(N143-E143-O143),0),IF((D143+N143-O143)&gt;0,(D143+N143-O143),0)),2)</f>
        <v>12649.18</v>
      </c>
      <c r="Q143" s="14" t="n">
        <f aca="false">ROUND(IF(E143=0,IF((D143+N143-O143)&lt;0,ABS(D143+N143-O143),0),IF((N143-E143-O143)&lt;0,ABS(N143-E143-O143),0)),2)</f>
        <v>0</v>
      </c>
    </row>
    <row r="144" customFormat="false" ht="15" hidden="false" customHeight="true" outlineLevel="0" collapsed="false">
      <c r="A144" s="12" t="s">
        <v>428</v>
      </c>
      <c r="B144" s="12" t="str">
        <f aca="false">червень!B144</f>
        <v>Друзь О.О.</v>
      </c>
      <c r="C144" s="12" t="s">
        <v>430</v>
      </c>
      <c r="D144" s="14" t="n">
        <f aca="false">червень!P144</f>
        <v>12475.21</v>
      </c>
      <c r="E144" s="14" t="n">
        <f aca="false">червень!Q144</f>
        <v>0</v>
      </c>
      <c r="F144" s="13" t="n">
        <f aca="false">червень!F144</f>
        <v>0</v>
      </c>
      <c r="G144" s="13" t="n">
        <f aca="false">червень!G144</f>
        <v>62.1</v>
      </c>
      <c r="H144" s="13" t="n">
        <f aca="false">червень!H144</f>
        <v>0</v>
      </c>
      <c r="I144" s="13" t="n">
        <f aca="false">червень!I144</f>
        <v>4.1</v>
      </c>
      <c r="J144" s="14" t="n">
        <f aca="false">ROUND(G144*I144,2)</f>
        <v>254.61</v>
      </c>
      <c r="K144" s="14"/>
      <c r="L144" s="14"/>
      <c r="M144" s="14"/>
      <c r="N144" s="14" t="n">
        <f aca="false">ROUND((G144*I144)-K144-L144-M144,2)</f>
        <v>254.61</v>
      </c>
      <c r="O144" s="14"/>
      <c r="P144" s="14" t="n">
        <f aca="false">ROUND(IF(D144=0,IF((N144-E144-O144)&gt;0,(N144-E144-O144),0),IF((D144+N144-O144)&gt;0,(D144+N144-O144),0)),2)</f>
        <v>12729.82</v>
      </c>
      <c r="Q144" s="14" t="n">
        <f aca="false">ROUND(IF(E144=0,IF((D144+N144-O144)&lt;0,ABS(D144+N144-O144),0),IF((N144-E144-O144)&lt;0,ABS(N144-E144-O144),0)),2)</f>
        <v>0</v>
      </c>
    </row>
    <row r="145" customFormat="false" ht="15" hidden="false" customHeight="true" outlineLevel="0" collapsed="false">
      <c r="A145" s="12" t="s">
        <v>431</v>
      </c>
      <c r="B145" s="12" t="str">
        <f aca="false">червень!B145</f>
        <v>Вовченко Р.І.</v>
      </c>
      <c r="C145" s="12" t="s">
        <v>433</v>
      </c>
      <c r="D145" s="14" t="n">
        <f aca="false">червень!P145</f>
        <v>4404.64</v>
      </c>
      <c r="E145" s="14" t="n">
        <f aca="false">червень!Q145</f>
        <v>0</v>
      </c>
      <c r="F145" s="13" t="n">
        <f aca="false">червень!F145</f>
        <v>0</v>
      </c>
      <c r="G145" s="13" t="n">
        <f aca="false">червень!G145</f>
        <v>35.2</v>
      </c>
      <c r="H145" s="13" t="n">
        <f aca="false">червень!H145</f>
        <v>0</v>
      </c>
      <c r="I145" s="13" t="n">
        <f aca="false">червень!I145</f>
        <v>4.1</v>
      </c>
      <c r="J145" s="14" t="n">
        <f aca="false">ROUND(G145*I145,2)</f>
        <v>144.32</v>
      </c>
      <c r="K145" s="14"/>
      <c r="L145" s="14"/>
      <c r="M145" s="14"/>
      <c r="N145" s="14" t="n">
        <f aca="false">ROUND((G145*I145)-K145-L145-M145,2)</f>
        <v>144.32</v>
      </c>
      <c r="O145" s="14"/>
      <c r="P145" s="14" t="n">
        <f aca="false">ROUND(IF(D145=0,IF((N145-E145-O145)&gt;0,(N145-E145-O145),0),IF((D145+N145-O145)&gt;0,(D145+N145-O145),0)),2)</f>
        <v>4548.96</v>
      </c>
      <c r="Q145" s="14" t="n">
        <f aca="false">ROUND(IF(E145=0,IF((D145+N145-O145)&lt;0,ABS(D145+N145-O145),0),IF((N145-E145-O145)&lt;0,ABS(N145-E145-O145),0)),2)</f>
        <v>0</v>
      </c>
    </row>
    <row r="146" customFormat="false" ht="15" hidden="false" customHeight="true" outlineLevel="0" collapsed="false">
      <c r="A146" s="12" t="s">
        <v>434</v>
      </c>
      <c r="B146" s="12" t="str">
        <f aca="false">червень!B146</f>
        <v>Плакун Д.В.</v>
      </c>
      <c r="C146" s="12" t="s">
        <v>436</v>
      </c>
      <c r="D146" s="14" t="n">
        <f aca="false">червень!P146</f>
        <v>1636.72</v>
      </c>
      <c r="E146" s="14" t="n">
        <f aca="false">червень!Q146</f>
        <v>0</v>
      </c>
      <c r="F146" s="13" t="n">
        <f aca="false">червень!F146</f>
        <v>0</v>
      </c>
      <c r="G146" s="13" t="n">
        <f aca="false">червень!G146</f>
        <v>49.9</v>
      </c>
      <c r="H146" s="13" t="n">
        <f aca="false">червень!H146</f>
        <v>0</v>
      </c>
      <c r="I146" s="13" t="n">
        <f aca="false">червень!I146</f>
        <v>4.1</v>
      </c>
      <c r="J146" s="14" t="n">
        <f aca="false">ROUND(G146*I146,2)</f>
        <v>204.59</v>
      </c>
      <c r="K146" s="14"/>
      <c r="L146" s="14"/>
      <c r="M146" s="14"/>
      <c r="N146" s="14" t="n">
        <f aca="false">ROUND((G146*I146)-K146-L146-M146,2)</f>
        <v>204.59</v>
      </c>
      <c r="O146" s="14"/>
      <c r="P146" s="14" t="n">
        <f aca="false">ROUND(IF(D146=0,IF((N146-E146-O146)&gt;0,(N146-E146-O146),0),IF((D146+N146-O146)&gt;0,(D146+N146-O146),0)),2)</f>
        <v>1841.31</v>
      </c>
      <c r="Q146" s="14" t="n">
        <f aca="false">ROUND(IF(E146=0,IF((D146+N146-O146)&lt;0,ABS(D146+N146-O146),0),IF((N146-E146-O146)&lt;0,ABS(N146-E146-O146),0)),2)</f>
        <v>0</v>
      </c>
    </row>
    <row r="147" customFormat="false" ht="15" hidden="false" customHeight="true" outlineLevel="0" collapsed="false">
      <c r="A147" s="12" t="s">
        <v>437</v>
      </c>
      <c r="B147" s="12" t="str">
        <f aca="false">червень!B147</f>
        <v>Гаврилова Ю.О.</v>
      </c>
      <c r="C147" s="12" t="s">
        <v>439</v>
      </c>
      <c r="D147" s="14" t="n">
        <f aca="false">червень!P147</f>
        <v>6254.42</v>
      </c>
      <c r="E147" s="14" t="n">
        <f aca="false">червень!Q147</f>
        <v>0</v>
      </c>
      <c r="F147" s="13" t="n">
        <f aca="false">червень!F147</f>
        <v>0</v>
      </c>
      <c r="G147" s="13" t="n">
        <f aca="false">червень!G147</f>
        <v>65.8</v>
      </c>
      <c r="H147" s="13" t="n">
        <f aca="false">червень!H147</f>
        <v>0</v>
      </c>
      <c r="I147" s="13" t="n">
        <f aca="false">червень!I147</f>
        <v>4.1</v>
      </c>
      <c r="J147" s="14" t="n">
        <f aca="false">ROUND(G147*I147,2)</f>
        <v>269.78</v>
      </c>
      <c r="K147" s="14"/>
      <c r="L147" s="14"/>
      <c r="M147" s="14"/>
      <c r="N147" s="14" t="n">
        <f aca="false">ROUND((G147*I147)-K147-L147-M147,2)</f>
        <v>269.78</v>
      </c>
      <c r="O147" s="14"/>
      <c r="P147" s="14" t="n">
        <f aca="false">ROUND(IF(D147=0,IF((N147-E147-O147)&gt;0,(N147-E147-O147),0),IF((D147+N147-O147)&gt;0,(D147+N147-O147),0)),2)</f>
        <v>6524.2</v>
      </c>
      <c r="Q147" s="14" t="n">
        <f aca="false">ROUND(IF(E147=0,IF((D147+N147-O147)&lt;0,ABS(D147+N147-O147),0),IF((N147-E147-O147)&lt;0,ABS(N147-E147-O147),0)),2)</f>
        <v>0</v>
      </c>
    </row>
    <row r="148" customFormat="false" ht="15" hidden="false" customHeight="true" outlineLevel="0" collapsed="false">
      <c r="A148" s="12" t="s">
        <v>440</v>
      </c>
      <c r="B148" s="12" t="str">
        <f aca="false">червень!B148</f>
        <v>Корзун Г.М.</v>
      </c>
      <c r="C148" s="12" t="s">
        <v>442</v>
      </c>
      <c r="D148" s="14" t="n">
        <f aca="false">червень!P148</f>
        <v>2811.56</v>
      </c>
      <c r="E148" s="14" t="n">
        <f aca="false">червень!Q148</f>
        <v>0</v>
      </c>
      <c r="F148" s="13" t="n">
        <f aca="false">червень!F148</f>
        <v>0</v>
      </c>
      <c r="G148" s="13" t="n">
        <f aca="false">червень!G148</f>
        <v>63.2</v>
      </c>
      <c r="H148" s="13" t="n">
        <f aca="false">червень!H148</f>
        <v>0</v>
      </c>
      <c r="I148" s="13" t="n">
        <f aca="false">червень!I148</f>
        <v>4.1</v>
      </c>
      <c r="J148" s="14" t="n">
        <f aca="false">ROUND(G148*I148,2)</f>
        <v>259.12</v>
      </c>
      <c r="K148" s="14"/>
      <c r="L148" s="14"/>
      <c r="M148" s="14"/>
      <c r="N148" s="14" t="n">
        <f aca="false">ROUND((G148*I148)-K148-L148-M148,2)</f>
        <v>259.12</v>
      </c>
      <c r="O148" s="14"/>
      <c r="P148" s="14" t="n">
        <f aca="false">ROUND(IF(D148=0,IF((N148-E148-O148)&gt;0,(N148-E148-O148),0),IF((D148+N148-O148)&gt;0,(D148+N148-O148),0)),2)</f>
        <v>3070.68</v>
      </c>
      <c r="Q148" s="14" t="n">
        <f aca="false">ROUND(IF(E148=0,IF((D148+N148-O148)&lt;0,ABS(D148+N148-O148),0),IF((N148-E148-O148)&lt;0,ABS(N148-E148-O148),0)),2)</f>
        <v>0</v>
      </c>
    </row>
    <row r="149" customFormat="false" ht="15" hidden="false" customHeight="true" outlineLevel="0" collapsed="false">
      <c r="A149" s="12" t="s">
        <v>443</v>
      </c>
      <c r="B149" s="12" t="str">
        <f aca="false">червень!B149</f>
        <v>Бондаренко Л.Л.</v>
      </c>
      <c r="C149" s="12" t="s">
        <v>445</v>
      </c>
      <c r="D149" s="14" t="n">
        <f aca="false">червень!P149</f>
        <v>4864.53</v>
      </c>
      <c r="E149" s="14" t="n">
        <f aca="false">червень!Q149</f>
        <v>0</v>
      </c>
      <c r="F149" s="13" t="n">
        <f aca="false">червень!F149</f>
        <v>0</v>
      </c>
      <c r="G149" s="13" t="n">
        <f aca="false">червень!G149</f>
        <v>34.9</v>
      </c>
      <c r="H149" s="13" t="n">
        <f aca="false">червень!H149</f>
        <v>0</v>
      </c>
      <c r="I149" s="13" t="n">
        <f aca="false">червень!I149</f>
        <v>4.1</v>
      </c>
      <c r="J149" s="14" t="n">
        <f aca="false">ROUND(G149*I149,2)</f>
        <v>143.09</v>
      </c>
      <c r="K149" s="14"/>
      <c r="L149" s="14"/>
      <c r="M149" s="14"/>
      <c r="N149" s="14" t="n">
        <f aca="false">ROUND((G149*I149)-K149-L149-M149,2)</f>
        <v>143.09</v>
      </c>
      <c r="O149" s="14"/>
      <c r="P149" s="14" t="n">
        <f aca="false">ROUND(IF(D149=0,IF((N149-E149-O149)&gt;0,(N149-E149-O149),0),IF((D149+N149-O149)&gt;0,(D149+N149-O149),0)),2)</f>
        <v>5007.62</v>
      </c>
      <c r="Q149" s="14" t="n">
        <f aca="false">ROUND(IF(E149=0,IF((D149+N149-O149)&lt;0,ABS(D149+N149-O149),0),IF((N149-E149-O149)&lt;0,ABS(N149-E149-O149),0)),2)</f>
        <v>0</v>
      </c>
    </row>
    <row r="150" customFormat="false" ht="15" hidden="false" customHeight="true" outlineLevel="0" collapsed="false">
      <c r="A150" s="12" t="s">
        <v>446</v>
      </c>
      <c r="B150" s="12" t="str">
        <f aca="false">червень!B150</f>
        <v>Капелюш Н.А.</v>
      </c>
      <c r="C150" s="12" t="s">
        <v>448</v>
      </c>
      <c r="D150" s="14" t="n">
        <f aca="false">червень!P150</f>
        <v>10745.28</v>
      </c>
      <c r="E150" s="14" t="n">
        <f aca="false">червень!Q150</f>
        <v>0</v>
      </c>
      <c r="F150" s="13" t="n">
        <f aca="false">червень!F150</f>
        <v>0</v>
      </c>
      <c r="G150" s="13" t="n">
        <f aca="false">червень!G150</f>
        <v>50.4</v>
      </c>
      <c r="H150" s="13" t="n">
        <f aca="false">червень!H150</f>
        <v>0</v>
      </c>
      <c r="I150" s="13" t="n">
        <f aca="false">червень!I150</f>
        <v>4.1</v>
      </c>
      <c r="J150" s="14" t="n">
        <f aca="false">ROUND(G150*I150,2)</f>
        <v>206.64</v>
      </c>
      <c r="K150" s="14"/>
      <c r="L150" s="14"/>
      <c r="M150" s="14"/>
      <c r="N150" s="14" t="n">
        <f aca="false">ROUND((G150*I150)-K150-L150-M150,2)</f>
        <v>206.64</v>
      </c>
      <c r="O150" s="14"/>
      <c r="P150" s="14" t="n">
        <f aca="false">ROUND(IF(D150=0,IF((N150-E150-O150)&gt;0,(N150-E150-O150),0),IF((D150+N150-O150)&gt;0,(D150+N150-O150),0)),2)</f>
        <v>10951.92</v>
      </c>
      <c r="Q150" s="14" t="n">
        <f aca="false">ROUND(IF(E150=0,IF((D150+N150-O150)&lt;0,ABS(D150+N150-O150),0),IF((N150-E150-O150)&lt;0,ABS(N150-E150-O150),0)),2)</f>
        <v>0</v>
      </c>
    </row>
    <row r="151" customFormat="false" ht="15" hidden="false" customHeight="true" outlineLevel="0" collapsed="false">
      <c r="A151" s="12" t="s">
        <v>449</v>
      </c>
      <c r="B151" s="12" t="str">
        <f aca="false">червень!B151</f>
        <v>Кістрінь Л.П.</v>
      </c>
      <c r="C151" s="12" t="s">
        <v>451</v>
      </c>
      <c r="D151" s="14" t="n">
        <f aca="false">червень!P151</f>
        <v>14222.69</v>
      </c>
      <c r="E151" s="14" t="n">
        <f aca="false">червень!Q151</f>
        <v>0</v>
      </c>
      <c r="F151" s="13" t="n">
        <f aca="false">червень!F151</f>
        <v>0</v>
      </c>
      <c r="G151" s="13" t="n">
        <f aca="false">червень!G151</f>
        <v>65.2</v>
      </c>
      <c r="H151" s="13" t="n">
        <f aca="false">червень!H151</f>
        <v>0</v>
      </c>
      <c r="I151" s="13" t="n">
        <f aca="false">червень!I151</f>
        <v>4.1</v>
      </c>
      <c r="J151" s="14" t="n">
        <f aca="false">ROUND(G151*I151,2)</f>
        <v>267.32</v>
      </c>
      <c r="K151" s="14"/>
      <c r="L151" s="14"/>
      <c r="M151" s="14"/>
      <c r="N151" s="14" t="n">
        <f aca="false">ROUND((G151*I151)-K151-L151-M151,2)</f>
        <v>267.32</v>
      </c>
      <c r="O151" s="14"/>
      <c r="P151" s="14" t="n">
        <f aca="false">ROUND(IF(D151=0,IF((N151-E151-O151)&gt;0,(N151-E151-O151),0),IF((D151+N151-O151)&gt;0,(D151+N151-O151),0)),2)</f>
        <v>14490.01</v>
      </c>
      <c r="Q151" s="14" t="n">
        <f aca="false">ROUND(IF(E151=0,IF((D151+N151-O151)&lt;0,ABS(D151+N151-O151),0),IF((N151-E151-O151)&lt;0,ABS(N151-E151-O151),0)),2)</f>
        <v>0</v>
      </c>
    </row>
    <row r="152" customFormat="false" ht="15" hidden="false" customHeight="true" outlineLevel="0" collapsed="false">
      <c r="A152" s="12" t="s">
        <v>452</v>
      </c>
      <c r="B152" s="12" t="str">
        <f aca="false">червень!B152</f>
        <v>Козьміна І.В.</v>
      </c>
      <c r="C152" s="12" t="s">
        <v>454</v>
      </c>
      <c r="D152" s="14" t="n">
        <f aca="false">червень!P152</f>
        <v>3441.62</v>
      </c>
      <c r="E152" s="14" t="n">
        <f aca="false">червень!Q152</f>
        <v>0</v>
      </c>
      <c r="F152" s="13" t="n">
        <f aca="false">червень!F152</f>
        <v>0</v>
      </c>
      <c r="G152" s="13" t="n">
        <f aca="false">червень!G152</f>
        <v>64.57</v>
      </c>
      <c r="H152" s="13" t="n">
        <f aca="false">червень!H152</f>
        <v>0</v>
      </c>
      <c r="I152" s="13" t="n">
        <f aca="false">червень!I152</f>
        <v>4.1</v>
      </c>
      <c r="J152" s="14" t="n">
        <f aca="false">ROUND(G152*I152,2)</f>
        <v>264.74</v>
      </c>
      <c r="K152" s="14"/>
      <c r="L152" s="14"/>
      <c r="M152" s="14"/>
      <c r="N152" s="14" t="n">
        <f aca="false">ROUND((G152*I152)-K152-L152-M152,2)</f>
        <v>264.74</v>
      </c>
      <c r="O152" s="14"/>
      <c r="P152" s="14" t="n">
        <f aca="false">ROUND(IF(D152=0,IF((N152-E152-O152)&gt;0,(N152-E152-O152),0),IF((D152+N152-O152)&gt;0,(D152+N152-O152),0)),2)</f>
        <v>3706.36</v>
      </c>
      <c r="Q152" s="14" t="n">
        <f aca="false">ROUND(IF(E152=0,IF((D152+N152-O152)&lt;0,ABS(D152+N152-O152),0),IF((N152-E152-O152)&lt;0,ABS(N152-E152-O152),0)),2)</f>
        <v>0</v>
      </c>
    </row>
    <row r="153" customFormat="false" ht="15" hidden="false" customHeight="true" outlineLevel="0" collapsed="false">
      <c r="A153" s="12" t="s">
        <v>455</v>
      </c>
      <c r="B153" s="12" t="str">
        <f aca="false">червень!B153</f>
        <v>Чала С.С.</v>
      </c>
      <c r="C153" s="12" t="s">
        <v>457</v>
      </c>
      <c r="D153" s="14" t="n">
        <f aca="false">червень!P153</f>
        <v>12238.23</v>
      </c>
      <c r="E153" s="14" t="n">
        <f aca="false">червень!Q153</f>
        <v>0</v>
      </c>
      <c r="F153" s="13" t="n">
        <f aca="false">червень!F153</f>
        <v>0</v>
      </c>
      <c r="G153" s="13" t="n">
        <f aca="false">червень!G153</f>
        <v>48.7</v>
      </c>
      <c r="H153" s="13" t="n">
        <f aca="false">червень!H153</f>
        <v>0</v>
      </c>
      <c r="I153" s="13" t="n">
        <f aca="false">червень!I153</f>
        <v>4.1</v>
      </c>
      <c r="J153" s="14" t="n">
        <f aca="false">ROUND(G153*I153,2)</f>
        <v>199.67</v>
      </c>
      <c r="K153" s="14"/>
      <c r="L153" s="14"/>
      <c r="M153" s="14"/>
      <c r="N153" s="14" t="n">
        <f aca="false">ROUND((G153*I153)-K153-L153-M153,2)</f>
        <v>199.67</v>
      </c>
      <c r="O153" s="14"/>
      <c r="P153" s="14" t="n">
        <f aca="false">ROUND(IF(D153=0,IF((N153-E153-O153)&gt;0,(N153-E153-O153),0),IF((D153+N153-O153)&gt;0,(D153+N153-O153),0)),2)</f>
        <v>12437.9</v>
      </c>
      <c r="Q153" s="14" t="n">
        <f aca="false">ROUND(IF(E153=0,IF((D153+N153-O153)&lt;0,ABS(D153+N153-O153),0),IF((N153-E153-O153)&lt;0,ABS(N153-E153-O153),0)),2)</f>
        <v>0</v>
      </c>
    </row>
    <row r="154" customFormat="false" ht="15" hidden="false" customHeight="true" outlineLevel="0" collapsed="false">
      <c r="A154" s="12" t="s">
        <v>458</v>
      </c>
      <c r="B154" s="12" t="str">
        <f aca="false">червень!B154</f>
        <v>Свєтайлова І.М.</v>
      </c>
      <c r="C154" s="12" t="s">
        <v>460</v>
      </c>
      <c r="D154" s="14" t="n">
        <f aca="false">червень!P154</f>
        <v>1812.23</v>
      </c>
      <c r="E154" s="14" t="n">
        <f aca="false">червень!Q154</f>
        <v>0</v>
      </c>
      <c r="F154" s="13" t="n">
        <f aca="false">червень!F154</f>
        <v>0</v>
      </c>
      <c r="G154" s="13" t="n">
        <f aca="false">червень!G154</f>
        <v>35.1</v>
      </c>
      <c r="H154" s="13" t="n">
        <f aca="false">червень!H154</f>
        <v>0</v>
      </c>
      <c r="I154" s="13" t="n">
        <f aca="false">червень!I154</f>
        <v>4.1</v>
      </c>
      <c r="J154" s="14" t="n">
        <f aca="false">ROUND(G154*I154,2)</f>
        <v>143.91</v>
      </c>
      <c r="K154" s="14"/>
      <c r="L154" s="14"/>
      <c r="M154" s="14"/>
      <c r="N154" s="14" t="n">
        <f aca="false">ROUND((G154*I154)-K154-L154-M154,2)</f>
        <v>143.91</v>
      </c>
      <c r="O154" s="14"/>
      <c r="P154" s="14" t="n">
        <f aca="false">ROUND(IF(D154=0,IF((N154-E154-O154)&gt;0,(N154-E154-O154),0),IF((D154+N154-O154)&gt;0,(D154+N154-O154),0)),2)</f>
        <v>1956.14</v>
      </c>
      <c r="Q154" s="14" t="n">
        <f aca="false">ROUND(IF(E154=0,IF((D154+N154-O154)&lt;0,ABS(D154+N154-O154),0),IF((N154-E154-O154)&lt;0,ABS(N154-E154-O154),0)),2)</f>
        <v>0</v>
      </c>
    </row>
    <row r="155" customFormat="false" ht="15" hidden="false" customHeight="true" outlineLevel="0" collapsed="false">
      <c r="A155" s="12" t="s">
        <v>461</v>
      </c>
      <c r="B155" s="12" t="str">
        <f aca="false">червень!B155</f>
        <v>Неделько Д.І.</v>
      </c>
      <c r="C155" s="12" t="s">
        <v>463</v>
      </c>
      <c r="D155" s="14" t="n">
        <f aca="false">червень!P155</f>
        <v>7907.04</v>
      </c>
      <c r="E155" s="14" t="n">
        <f aca="false">червень!Q155</f>
        <v>0</v>
      </c>
      <c r="F155" s="13" t="n">
        <f aca="false">червень!F155</f>
        <v>0</v>
      </c>
      <c r="G155" s="13" t="n">
        <f aca="false">червень!G155</f>
        <v>53.57</v>
      </c>
      <c r="H155" s="13" t="n">
        <f aca="false">червень!H155</f>
        <v>0</v>
      </c>
      <c r="I155" s="13" t="n">
        <f aca="false">червень!I155</f>
        <v>4.1</v>
      </c>
      <c r="J155" s="14" t="n">
        <f aca="false">ROUND(G155*I155,2)</f>
        <v>219.64</v>
      </c>
      <c r="K155" s="14"/>
      <c r="L155" s="14"/>
      <c r="M155" s="14"/>
      <c r="N155" s="14" t="n">
        <f aca="false">ROUND((G155*I155)-K155-L155-M155,2)</f>
        <v>219.64</v>
      </c>
      <c r="O155" s="14"/>
      <c r="P155" s="14" t="n">
        <f aca="false">ROUND(IF(D155=0,IF((N155-E155-O155)&gt;0,(N155-E155-O155),0),IF((D155+N155-O155)&gt;0,(D155+N155-O155),0)),2)</f>
        <v>8126.68</v>
      </c>
      <c r="Q155" s="14" t="n">
        <f aca="false">ROUND(IF(E155=0,IF((D155+N155-O155)&lt;0,ABS(D155+N155-O155),0),IF((N155-E155-O155)&lt;0,ABS(N155-E155-O155),0)),2)</f>
        <v>0</v>
      </c>
    </row>
    <row r="156" customFormat="false" ht="15" hidden="false" customHeight="true" outlineLevel="0" collapsed="false">
      <c r="A156" s="12" t="s">
        <v>464</v>
      </c>
      <c r="B156" s="12" t="str">
        <f aca="false">червень!B156</f>
        <v>Самойленко Л.К.</v>
      </c>
      <c r="C156" s="12" t="s">
        <v>466</v>
      </c>
      <c r="D156" s="14" t="n">
        <f aca="false">червень!P156</f>
        <v>0</v>
      </c>
      <c r="E156" s="14" t="n">
        <f aca="false">червень!Q156</f>
        <v>742.16</v>
      </c>
      <c r="F156" s="13" t="n">
        <f aca="false">червень!F156</f>
        <v>0</v>
      </c>
      <c r="G156" s="13" t="n">
        <f aca="false">червень!G156</f>
        <v>65.7</v>
      </c>
      <c r="H156" s="13" t="n">
        <f aca="false">червень!H156</f>
        <v>0</v>
      </c>
      <c r="I156" s="13" t="n">
        <f aca="false">червень!I156</f>
        <v>4.1</v>
      </c>
      <c r="J156" s="14" t="n">
        <f aca="false">ROUND(G156*I156,2)</f>
        <v>269.37</v>
      </c>
      <c r="K156" s="14"/>
      <c r="L156" s="14"/>
      <c r="M156" s="14"/>
      <c r="N156" s="14" t="n">
        <f aca="false">ROUND((G156*I156)-K156-L156-M156,2)</f>
        <v>269.37</v>
      </c>
      <c r="O156" s="14"/>
      <c r="P156" s="14" t="n">
        <f aca="false">ROUND(IF(D156=0,IF((N156-E156-O156)&gt;0,(N156-E156-O156),0),IF((D156+N156-O156)&gt;0,(D156+N156-O156),0)),2)</f>
        <v>0</v>
      </c>
      <c r="Q156" s="14" t="n">
        <f aca="false">ROUND(IF(E156=0,IF((D156+N156-O156)&lt;0,ABS(D156+N156-O156),0),IF((N156-E156-O156)&lt;0,ABS(N156-E156-O156),0)),2)</f>
        <v>472.79</v>
      </c>
    </row>
    <row r="157" customFormat="false" ht="15" hidden="false" customHeight="true" outlineLevel="0" collapsed="false">
      <c r="A157" s="12" t="s">
        <v>467</v>
      </c>
      <c r="B157" s="12" t="str">
        <f aca="false">червень!B157</f>
        <v>Павлов Ю.В.</v>
      </c>
      <c r="C157" s="12" t="s">
        <v>469</v>
      </c>
      <c r="D157" s="14" t="n">
        <f aca="false">червень!P157</f>
        <v>3649.98</v>
      </c>
      <c r="E157" s="14" t="n">
        <f aca="false">червень!Q157</f>
        <v>0</v>
      </c>
      <c r="F157" s="13" t="n">
        <f aca="false">червень!F157</f>
        <v>0</v>
      </c>
      <c r="G157" s="13" t="n">
        <f aca="false">червень!G157</f>
        <v>49.78</v>
      </c>
      <c r="H157" s="13" t="n">
        <f aca="false">червень!H157</f>
        <v>0</v>
      </c>
      <c r="I157" s="13" t="n">
        <f aca="false">червень!I157</f>
        <v>4.1</v>
      </c>
      <c r="J157" s="14" t="n">
        <f aca="false">ROUND(G157*I157,2)</f>
        <v>204.1</v>
      </c>
      <c r="K157" s="14"/>
      <c r="L157" s="14"/>
      <c r="M157" s="14"/>
      <c r="N157" s="14" t="n">
        <f aca="false">ROUND((G157*I157)-K157-L157-M157,2)</f>
        <v>204.1</v>
      </c>
      <c r="O157" s="14"/>
      <c r="P157" s="14" t="n">
        <f aca="false">ROUND(IF(D157=0,IF((N157-E157-O157)&gt;0,(N157-E157-O157),0),IF((D157+N157-O157)&gt;0,(D157+N157-O157),0)),2)</f>
        <v>3854.08</v>
      </c>
      <c r="Q157" s="14" t="n">
        <f aca="false">ROUND(IF(E157=0,IF((D157+N157-O157)&lt;0,ABS(D157+N157-O157),0),IF((N157-E157-O157)&lt;0,ABS(N157-E157-O157),0)),2)</f>
        <v>0</v>
      </c>
    </row>
    <row r="158" customFormat="false" ht="15" hidden="false" customHeight="true" outlineLevel="0" collapsed="false">
      <c r="A158" s="12" t="s">
        <v>470</v>
      </c>
      <c r="B158" s="12" t="str">
        <f aca="false">червень!B158</f>
        <v>Коваленко Т.М.</v>
      </c>
      <c r="C158" s="12" t="s">
        <v>472</v>
      </c>
      <c r="D158" s="14" t="n">
        <f aca="false">червень!P158</f>
        <v>1148</v>
      </c>
      <c r="E158" s="14" t="n">
        <f aca="false">червень!Q158</f>
        <v>0</v>
      </c>
      <c r="F158" s="13" t="n">
        <f aca="false">червень!F158</f>
        <v>0</v>
      </c>
      <c r="G158" s="13" t="n">
        <f aca="false">червень!G158</f>
        <v>35</v>
      </c>
      <c r="H158" s="13" t="n">
        <f aca="false">червень!H158</f>
        <v>0</v>
      </c>
      <c r="I158" s="13" t="n">
        <f aca="false">червень!I158</f>
        <v>4.1</v>
      </c>
      <c r="J158" s="14" t="n">
        <f aca="false">ROUND(G158*I158,2)</f>
        <v>143.5</v>
      </c>
      <c r="K158" s="14"/>
      <c r="L158" s="14"/>
      <c r="M158" s="14"/>
      <c r="N158" s="14" t="n">
        <f aca="false">ROUND((G158*I158)-K158-L158-M158,2)</f>
        <v>143.5</v>
      </c>
      <c r="O158" s="14"/>
      <c r="P158" s="14" t="n">
        <f aca="false">ROUND(IF(D158=0,IF((N158-E158-O158)&gt;0,(N158-E158-O158),0),IF((D158+N158-O158)&gt;0,(D158+N158-O158),0)),2)</f>
        <v>1291.5</v>
      </c>
      <c r="Q158" s="14" t="n">
        <f aca="false">ROUND(IF(E158=0,IF((D158+N158-O158)&lt;0,ABS(D158+N158-O158),0),IF((N158-E158-O158)&lt;0,ABS(N158-E158-O158),0)),2)</f>
        <v>0</v>
      </c>
    </row>
    <row r="159" customFormat="false" ht="15" hidden="false" customHeight="true" outlineLevel="0" collapsed="false">
      <c r="A159" s="12" t="s">
        <v>473</v>
      </c>
      <c r="B159" s="12" t="str">
        <f aca="false">червень!B159</f>
        <v>Рощенко Л.Б.</v>
      </c>
      <c r="C159" s="12" t="s">
        <v>475</v>
      </c>
      <c r="D159" s="14" t="n">
        <f aca="false">червень!P159</f>
        <v>11422.15</v>
      </c>
      <c r="E159" s="14" t="n">
        <f aca="false">червень!Q159</f>
        <v>0</v>
      </c>
      <c r="F159" s="13" t="n">
        <f aca="false">червень!F159</f>
        <v>0</v>
      </c>
      <c r="G159" s="13" t="n">
        <f aca="false">червень!G159</f>
        <v>62.08</v>
      </c>
      <c r="H159" s="13" t="n">
        <f aca="false">червень!H159</f>
        <v>0</v>
      </c>
      <c r="I159" s="13" t="n">
        <f aca="false">червень!I159</f>
        <v>4.1</v>
      </c>
      <c r="J159" s="14" t="n">
        <f aca="false">ROUND(G159*I159,2)</f>
        <v>254.53</v>
      </c>
      <c r="K159" s="14"/>
      <c r="L159" s="14"/>
      <c r="M159" s="14"/>
      <c r="N159" s="14" t="n">
        <f aca="false">ROUND((G159*I159)-K159-L159-M159,2)</f>
        <v>254.53</v>
      </c>
      <c r="O159" s="14"/>
      <c r="P159" s="14" t="n">
        <f aca="false">ROUND(IF(D159=0,IF((N159-E159-O159)&gt;0,(N159-E159-O159),0),IF((D159+N159-O159)&gt;0,(D159+N159-O159),0)),2)</f>
        <v>11676.68</v>
      </c>
      <c r="Q159" s="14" t="n">
        <f aca="false">ROUND(IF(E159=0,IF((D159+N159-O159)&lt;0,ABS(D159+N159-O159),0),IF((N159-E159-O159)&lt;0,ABS(N159-E159-O159),0)),2)</f>
        <v>0</v>
      </c>
    </row>
    <row r="160" customFormat="false" ht="15" hidden="false" customHeight="true" outlineLevel="0" collapsed="false">
      <c r="A160" s="12" t="s">
        <v>476</v>
      </c>
      <c r="B160" s="12" t="str">
        <f aca="false">червень!B160</f>
        <v>Галушко С.Т.</v>
      </c>
      <c r="C160" s="12" t="s">
        <v>478</v>
      </c>
      <c r="D160" s="14" t="n">
        <f aca="false">червень!P160</f>
        <v>1350.15</v>
      </c>
      <c r="E160" s="14" t="n">
        <f aca="false">червень!Q160</f>
        <v>0</v>
      </c>
      <c r="F160" s="13" t="n">
        <f aca="false">червень!F160</f>
        <v>0</v>
      </c>
      <c r="G160" s="13" t="n">
        <f aca="false">червень!G160</f>
        <v>65.86</v>
      </c>
      <c r="H160" s="13" t="n">
        <f aca="false">червень!H160</f>
        <v>0</v>
      </c>
      <c r="I160" s="13" t="n">
        <f aca="false">червень!I160</f>
        <v>4.1</v>
      </c>
      <c r="J160" s="14" t="n">
        <f aca="false">ROUND(G160*I160,2)</f>
        <v>270.03</v>
      </c>
      <c r="K160" s="14"/>
      <c r="L160" s="14"/>
      <c r="M160" s="14"/>
      <c r="N160" s="14" t="n">
        <f aca="false">ROUND((G160*I160)-K160-L160-M160,2)</f>
        <v>270.03</v>
      </c>
      <c r="O160" s="14"/>
      <c r="P160" s="14" t="n">
        <f aca="false">ROUND(IF(D160=0,IF((N160-E160-O160)&gt;0,(N160-E160-O160),0),IF((D160+N160-O160)&gt;0,(D160+N160-O160),0)),2)</f>
        <v>1620.18</v>
      </c>
      <c r="Q160" s="14" t="n">
        <f aca="false">ROUND(IF(E160=0,IF((D160+N160-O160)&lt;0,ABS(D160+N160-O160),0),IF((N160-E160-O160)&lt;0,ABS(N160-E160-O160),0)),2)</f>
        <v>0</v>
      </c>
    </row>
    <row r="161" customFormat="false" ht="15" hidden="false" customHeight="true" outlineLevel="0" collapsed="false">
      <c r="A161" s="12" t="s">
        <v>479</v>
      </c>
      <c r="B161" s="12" t="str">
        <f aca="false">червень!B161</f>
        <v>Наумова Л.Я.</v>
      </c>
      <c r="C161" s="12" t="s">
        <v>481</v>
      </c>
      <c r="D161" s="14" t="n">
        <f aca="false">червень!P161</f>
        <v>1191.2</v>
      </c>
      <c r="E161" s="14" t="n">
        <f aca="false">червень!Q161</f>
        <v>0</v>
      </c>
      <c r="F161" s="13" t="n">
        <f aca="false">червень!F161</f>
        <v>0</v>
      </c>
      <c r="G161" s="13" t="n">
        <f aca="false">червень!G161</f>
        <v>49.95</v>
      </c>
      <c r="H161" s="13" t="n">
        <f aca="false">червень!H161</f>
        <v>0</v>
      </c>
      <c r="I161" s="13" t="n">
        <f aca="false">червень!I161</f>
        <v>4.1</v>
      </c>
      <c r="J161" s="14" t="n">
        <f aca="false">ROUND(G161*I161,2)</f>
        <v>204.8</v>
      </c>
      <c r="K161" s="14"/>
      <c r="L161" s="14"/>
      <c r="M161" s="14"/>
      <c r="N161" s="14" t="n">
        <f aca="false">ROUND((G161*I161)-K161-L161-M161,2)</f>
        <v>204.8</v>
      </c>
      <c r="O161" s="14"/>
      <c r="P161" s="14" t="n">
        <f aca="false">ROUND(IF(D161=0,IF((N161-E161-O161)&gt;0,(N161-E161-O161),0),IF((D161+N161-O161)&gt;0,(D161+N161-O161),0)),2)</f>
        <v>1396</v>
      </c>
      <c r="Q161" s="14" t="n">
        <f aca="false">ROUND(IF(E161=0,IF((D161+N161-O161)&lt;0,ABS(D161+N161-O161),0),IF((N161-E161-O161)&lt;0,ABS(N161-E161-O161),0)),2)</f>
        <v>0</v>
      </c>
    </row>
    <row r="162" customFormat="false" ht="15" hidden="false" customHeight="true" outlineLevel="0" collapsed="false">
      <c r="A162" s="12" t="s">
        <v>482</v>
      </c>
      <c r="B162" s="12" t="str">
        <f aca="false">червень!B162</f>
        <v>Грєк В.С.</v>
      </c>
      <c r="C162" s="12" t="s">
        <v>484</v>
      </c>
      <c r="D162" s="14" t="n">
        <f aca="false">червень!P162</f>
        <v>0</v>
      </c>
      <c r="E162" s="14" t="n">
        <f aca="false">червень!Q162</f>
        <v>566.96</v>
      </c>
      <c r="F162" s="13" t="n">
        <f aca="false">червень!F162</f>
        <v>0</v>
      </c>
      <c r="G162" s="13" t="n">
        <f aca="false">червень!G162</f>
        <v>33.9</v>
      </c>
      <c r="H162" s="13" t="n">
        <f aca="false">червень!H162</f>
        <v>0</v>
      </c>
      <c r="I162" s="13" t="n">
        <f aca="false">червень!I162</f>
        <v>4.1</v>
      </c>
      <c r="J162" s="14" t="n">
        <f aca="false">ROUND(G162*I162,2)</f>
        <v>138.99</v>
      </c>
      <c r="K162" s="14"/>
      <c r="L162" s="14"/>
      <c r="M162" s="14"/>
      <c r="N162" s="14" t="n">
        <f aca="false">ROUND((G162*I162)-K162-L162-M162,2)</f>
        <v>138.99</v>
      </c>
      <c r="O162" s="14"/>
      <c r="P162" s="14" t="n">
        <f aca="false">ROUND(IF(D162=0,IF((N162-E162-O162)&gt;0,(N162-E162-O162),0),IF((D162+N162-O162)&gt;0,(D162+N162-O162),0)),2)</f>
        <v>0</v>
      </c>
      <c r="Q162" s="14" t="n">
        <f aca="false">ROUND(IF(E162=0,IF((D162+N162-O162)&lt;0,ABS(D162+N162-O162),0),IF((N162-E162-O162)&lt;0,ABS(N162-E162-O162),0)),2)</f>
        <v>427.97</v>
      </c>
    </row>
    <row r="163" customFormat="false" ht="15" hidden="false" customHeight="true" outlineLevel="0" collapsed="false">
      <c r="A163" s="12" t="s">
        <v>485</v>
      </c>
      <c r="B163" s="12" t="str">
        <f aca="false">червень!B163</f>
        <v>Пермінов О.А.</v>
      </c>
      <c r="C163" s="12" t="s">
        <v>487</v>
      </c>
      <c r="D163" s="14" t="n">
        <f aca="false">червень!P163</f>
        <v>2404.96</v>
      </c>
      <c r="E163" s="14" t="n">
        <f aca="false">червень!Q163</f>
        <v>0</v>
      </c>
      <c r="F163" s="13" t="n">
        <f aca="false">червень!F163</f>
        <v>0</v>
      </c>
      <c r="G163" s="13" t="n">
        <f aca="false">червень!G163</f>
        <v>62.43</v>
      </c>
      <c r="H163" s="13" t="n">
        <f aca="false">червень!H163</f>
        <v>0</v>
      </c>
      <c r="I163" s="13" t="n">
        <f aca="false">червень!I163</f>
        <v>4.1</v>
      </c>
      <c r="J163" s="14" t="n">
        <f aca="false">ROUND(G163*I163,2)</f>
        <v>255.96</v>
      </c>
      <c r="K163" s="14"/>
      <c r="L163" s="14"/>
      <c r="M163" s="14"/>
      <c r="N163" s="14" t="n">
        <f aca="false">ROUND((G163*I163)-K163-L163-M163,2)</f>
        <v>255.96</v>
      </c>
      <c r="O163" s="14"/>
      <c r="P163" s="14" t="n">
        <f aca="false">ROUND(IF(D163=0,IF((N163-E163-O163)&gt;0,(N163-E163-O163),0),IF((D163+N163-O163)&gt;0,(D163+N163-O163),0)),2)</f>
        <v>2660.92</v>
      </c>
      <c r="Q163" s="14" t="n">
        <f aca="false">ROUND(IF(E163=0,IF((D163+N163-O163)&lt;0,ABS(D163+N163-O163),0),IF((N163-E163-O163)&lt;0,ABS(N163-E163-O163),0)),2)</f>
        <v>0</v>
      </c>
    </row>
    <row r="164" customFormat="false" ht="15" hidden="false" customHeight="true" outlineLevel="0" collapsed="false">
      <c r="A164" s="12" t="s">
        <v>488</v>
      </c>
      <c r="B164" s="12" t="str">
        <f aca="false">червень!B164</f>
        <v>Рябчук Л.П.</v>
      </c>
      <c r="C164" s="12" t="s">
        <v>490</v>
      </c>
      <c r="D164" s="14" t="n">
        <f aca="false">червень!P164</f>
        <v>8559.76</v>
      </c>
      <c r="E164" s="14" t="n">
        <f aca="false">червень!Q164</f>
        <v>0</v>
      </c>
      <c r="F164" s="13" t="n">
        <f aca="false">червень!F164</f>
        <v>0</v>
      </c>
      <c r="G164" s="13" t="n">
        <f aca="false">червень!G164</f>
        <v>64.8</v>
      </c>
      <c r="H164" s="13" t="n">
        <f aca="false">червень!H164</f>
        <v>0</v>
      </c>
      <c r="I164" s="13" t="n">
        <f aca="false">червень!I164</f>
        <v>4.1</v>
      </c>
      <c r="J164" s="14" t="n">
        <f aca="false">ROUND(G164*I164,2)</f>
        <v>265.68</v>
      </c>
      <c r="K164" s="14"/>
      <c r="L164" s="14"/>
      <c r="M164" s="14"/>
      <c r="N164" s="14" t="n">
        <f aca="false">ROUND((G164*I164)-K164-L164-M164,2)</f>
        <v>265.68</v>
      </c>
      <c r="O164" s="14"/>
      <c r="P164" s="14" t="n">
        <f aca="false">ROUND(IF(D164=0,IF((N164-E164-O164)&gt;0,(N164-E164-O164),0),IF((D164+N164-O164)&gt;0,(D164+N164-O164),0)),2)</f>
        <v>8825.44</v>
      </c>
      <c r="Q164" s="14" t="n">
        <f aca="false">ROUND(IF(E164=0,IF((D164+N164-O164)&lt;0,ABS(D164+N164-O164),0),IF((N164-E164-O164)&lt;0,ABS(N164-E164-O164),0)),2)</f>
        <v>0</v>
      </c>
    </row>
    <row r="165" customFormat="false" ht="15" hidden="false" customHeight="true" outlineLevel="0" collapsed="false">
      <c r="A165" s="12" t="s">
        <v>491</v>
      </c>
      <c r="B165" s="12" t="str">
        <f aca="false">червень!B165</f>
        <v>Копасова Л.Б.</v>
      </c>
      <c r="C165" s="12" t="s">
        <v>493</v>
      </c>
      <c r="D165" s="14" t="n">
        <f aca="false">червень!P165</f>
        <v>1215.24</v>
      </c>
      <c r="E165" s="14" t="n">
        <f aca="false">червень!Q165</f>
        <v>0</v>
      </c>
      <c r="F165" s="13" t="n">
        <f aca="false">червень!F165</f>
        <v>0</v>
      </c>
      <c r="G165" s="13" t="n">
        <f aca="false">червень!G165</f>
        <v>49.4</v>
      </c>
      <c r="H165" s="13" t="n">
        <f aca="false">червень!H165</f>
        <v>0</v>
      </c>
      <c r="I165" s="13" t="n">
        <f aca="false">червень!I165</f>
        <v>4.1</v>
      </c>
      <c r="J165" s="14" t="n">
        <f aca="false">ROUND(G165*I165,2)</f>
        <v>202.54</v>
      </c>
      <c r="K165" s="14"/>
      <c r="L165" s="14"/>
      <c r="M165" s="14"/>
      <c r="N165" s="14" t="n">
        <f aca="false">ROUND((G165*I165)-K165-L165-M165,2)</f>
        <v>202.54</v>
      </c>
      <c r="O165" s="14"/>
      <c r="P165" s="14" t="n">
        <f aca="false">ROUND(IF(D165=0,IF((N165-E165-O165)&gt;0,(N165-E165-O165),0),IF((D165+N165-O165)&gt;0,(D165+N165-O165),0)),2)</f>
        <v>1417.78</v>
      </c>
      <c r="Q165" s="14" t="n">
        <f aca="false">ROUND(IF(E165=0,IF((D165+N165-O165)&lt;0,ABS(D165+N165-O165),0),IF((N165-E165-O165)&lt;0,ABS(N165-E165-O165),0)),2)</f>
        <v>0</v>
      </c>
    </row>
    <row r="166" customFormat="false" ht="15" hidden="false" customHeight="true" outlineLevel="0" collapsed="false">
      <c r="A166" s="12" t="s">
        <v>494</v>
      </c>
      <c r="B166" s="12" t="str">
        <f aca="false">червень!B166</f>
        <v>Киричинська Г.Я.</v>
      </c>
      <c r="C166" s="12" t="s">
        <v>496</v>
      </c>
      <c r="D166" s="14" t="n">
        <f aca="false">червень!P166</f>
        <v>4488.61</v>
      </c>
      <c r="E166" s="14" t="n">
        <f aca="false">червень!Q166</f>
        <v>0</v>
      </c>
      <c r="F166" s="13" t="n">
        <f aca="false">червень!F166</f>
        <v>0</v>
      </c>
      <c r="G166" s="13" t="n">
        <f aca="false">червень!G166</f>
        <v>35.1</v>
      </c>
      <c r="H166" s="13" t="n">
        <f aca="false">червень!H166</f>
        <v>0</v>
      </c>
      <c r="I166" s="13" t="n">
        <f aca="false">червень!I166</f>
        <v>4.1</v>
      </c>
      <c r="J166" s="14" t="n">
        <f aca="false">ROUND(G166*I166,2)</f>
        <v>143.91</v>
      </c>
      <c r="K166" s="14"/>
      <c r="L166" s="14"/>
      <c r="M166" s="14"/>
      <c r="N166" s="14" t="n">
        <f aca="false">ROUND((G166*I166)-K166-L166-M166,2)</f>
        <v>143.91</v>
      </c>
      <c r="O166" s="14"/>
      <c r="P166" s="14" t="n">
        <f aca="false">ROUND(IF(D166=0,IF((N166-E166-O166)&gt;0,(N166-E166-O166),0),IF((D166+N166-O166)&gt;0,(D166+N166-O166),0)),2)</f>
        <v>4632.52</v>
      </c>
      <c r="Q166" s="14" t="n">
        <f aca="false">ROUND(IF(E166=0,IF((D166+N166-O166)&lt;0,ABS(D166+N166-O166),0),IF((N166-E166-O166)&lt;0,ABS(N166-E166-O166),0)),2)</f>
        <v>0</v>
      </c>
    </row>
    <row r="167" customFormat="false" ht="15" hidden="false" customHeight="true" outlineLevel="0" collapsed="false">
      <c r="A167" s="12" t="s">
        <v>497</v>
      </c>
      <c r="B167" s="12" t="str">
        <f aca="false">червень!B167</f>
        <v>Бутрій К.В.</v>
      </c>
      <c r="C167" s="12" t="s">
        <v>499</v>
      </c>
      <c r="D167" s="14" t="n">
        <f aca="false">червень!P167</f>
        <v>2625.92</v>
      </c>
      <c r="E167" s="14" t="n">
        <f aca="false">червень!Q167</f>
        <v>0</v>
      </c>
      <c r="F167" s="13" t="n">
        <f aca="false">червень!F167</f>
        <v>0</v>
      </c>
      <c r="G167" s="13" t="n">
        <f aca="false">червень!G167</f>
        <v>62.4</v>
      </c>
      <c r="H167" s="13" t="n">
        <f aca="false">червень!H167</f>
        <v>0</v>
      </c>
      <c r="I167" s="13" t="n">
        <f aca="false">червень!I167</f>
        <v>4.1</v>
      </c>
      <c r="J167" s="14" t="n">
        <f aca="false">ROUND(G167*I167,2)</f>
        <v>255.84</v>
      </c>
      <c r="K167" s="14"/>
      <c r="L167" s="14"/>
      <c r="M167" s="14"/>
      <c r="N167" s="14" t="n">
        <f aca="false">ROUND((G167*I167)-K167-L167-M167,2)</f>
        <v>255.84</v>
      </c>
      <c r="O167" s="14"/>
      <c r="P167" s="14" t="n">
        <f aca="false">ROUND(IF(D167=0,IF((N167-E167-O167)&gt;0,(N167-E167-O167),0),IF((D167+N167-O167)&gt;0,(D167+N167-O167),0)),2)</f>
        <v>2881.76</v>
      </c>
      <c r="Q167" s="14" t="n">
        <f aca="false">ROUND(IF(E167=0,IF((D167+N167-O167)&lt;0,ABS(D167+N167-O167),0),IF((N167-E167-O167)&lt;0,ABS(N167-E167-O167),0)),2)</f>
        <v>0</v>
      </c>
    </row>
    <row r="168" customFormat="false" ht="15" hidden="false" customHeight="true" outlineLevel="0" collapsed="false">
      <c r="A168" s="12" t="s">
        <v>500</v>
      </c>
      <c r="B168" s="12" t="str">
        <f aca="false">червень!B168</f>
        <v>Кузьома Г.І.</v>
      </c>
      <c r="C168" s="12" t="s">
        <v>502</v>
      </c>
      <c r="D168" s="14" t="n">
        <f aca="false">червень!P168</f>
        <v>1611.3</v>
      </c>
      <c r="E168" s="14" t="n">
        <f aca="false">червень!Q168</f>
        <v>0</v>
      </c>
      <c r="F168" s="13" t="n">
        <f aca="false">червень!F168</f>
        <v>0</v>
      </c>
      <c r="G168" s="13" t="n">
        <f aca="false">червень!G168</f>
        <v>65.5</v>
      </c>
      <c r="H168" s="13" t="n">
        <f aca="false">червень!H168</f>
        <v>0</v>
      </c>
      <c r="I168" s="13" t="n">
        <f aca="false">червень!I168</f>
        <v>4.1</v>
      </c>
      <c r="J168" s="14" t="n">
        <f aca="false">ROUND(G168*I168,2)</f>
        <v>268.55</v>
      </c>
      <c r="K168" s="14"/>
      <c r="L168" s="14"/>
      <c r="M168" s="14"/>
      <c r="N168" s="14" t="n">
        <f aca="false">ROUND((G168*I168)-K168-L168-M168,2)</f>
        <v>268.55</v>
      </c>
      <c r="O168" s="14"/>
      <c r="P168" s="14" t="n">
        <f aca="false">ROUND(IF(D168=0,IF((N168-E168-O168)&gt;0,(N168-E168-O168),0),IF((D168+N168-O168)&gt;0,(D168+N168-O168),0)),2)</f>
        <v>1879.85</v>
      </c>
      <c r="Q168" s="14" t="n">
        <f aca="false">ROUND(IF(E168=0,IF((D168+N168-O168)&lt;0,ABS(D168+N168-O168),0),IF((N168-E168-O168)&lt;0,ABS(N168-E168-O168),0)),2)</f>
        <v>0</v>
      </c>
    </row>
    <row r="169" customFormat="false" ht="15" hidden="false" customHeight="true" outlineLevel="0" collapsed="false">
      <c r="A169" s="12" t="s">
        <v>503</v>
      </c>
      <c r="B169" s="12" t="str">
        <f aca="false">червень!B169</f>
        <v>Павленко В.М.</v>
      </c>
      <c r="C169" s="12" t="s">
        <v>505</v>
      </c>
      <c r="D169" s="14" t="n">
        <f aca="false">червень!P169</f>
        <v>1433.25</v>
      </c>
      <c r="E169" s="14" t="n">
        <f aca="false">червень!Q169</f>
        <v>0</v>
      </c>
      <c r="F169" s="13" t="n">
        <f aca="false">червень!F169</f>
        <v>0</v>
      </c>
      <c r="G169" s="13" t="n">
        <f aca="false">червень!G169</f>
        <v>49.94</v>
      </c>
      <c r="H169" s="13" t="n">
        <f aca="false">червень!H169</f>
        <v>0</v>
      </c>
      <c r="I169" s="13" t="n">
        <f aca="false">червень!I169</f>
        <v>4.1</v>
      </c>
      <c r="J169" s="14" t="n">
        <f aca="false">ROUND(G169*I169,2)</f>
        <v>204.75</v>
      </c>
      <c r="K169" s="14"/>
      <c r="L169" s="14"/>
      <c r="M169" s="14"/>
      <c r="N169" s="14" t="n">
        <f aca="false">ROUND((G169*I169)-K169-L169-M169,2)</f>
        <v>204.75</v>
      </c>
      <c r="O169" s="14"/>
      <c r="P169" s="14" t="n">
        <f aca="false">ROUND(IF(D169=0,IF((N169-E169-O169)&gt;0,(N169-E169-O169),0),IF((D169+N169-O169)&gt;0,(D169+N169-O169),0)),2)</f>
        <v>1638</v>
      </c>
      <c r="Q169" s="14" t="n">
        <f aca="false">ROUND(IF(E169=0,IF((D169+N169-O169)&lt;0,ABS(D169+N169-O169),0),IF((N169-E169-O169)&lt;0,ABS(N169-E169-O169),0)),2)</f>
        <v>0</v>
      </c>
    </row>
    <row r="170" customFormat="false" ht="15" hidden="false" customHeight="true" outlineLevel="0" collapsed="false">
      <c r="A170" s="12" t="s">
        <v>506</v>
      </c>
      <c r="B170" s="12" t="str">
        <f aca="false">червень!B170</f>
        <v>Качуровська С.А.</v>
      </c>
      <c r="C170" s="12" t="s">
        <v>508</v>
      </c>
      <c r="D170" s="14" t="n">
        <f aca="false">червень!P170</f>
        <v>861</v>
      </c>
      <c r="E170" s="14" t="n">
        <f aca="false">червень!Q170</f>
        <v>0</v>
      </c>
      <c r="F170" s="13" t="n">
        <f aca="false">червень!F170</f>
        <v>0</v>
      </c>
      <c r="G170" s="13" t="n">
        <f aca="false">червень!G170</f>
        <v>35</v>
      </c>
      <c r="H170" s="13" t="n">
        <f aca="false">червень!H170</f>
        <v>0</v>
      </c>
      <c r="I170" s="13" t="n">
        <f aca="false">червень!I170</f>
        <v>4.1</v>
      </c>
      <c r="J170" s="14" t="n">
        <f aca="false">ROUND(G170*I170,2)</f>
        <v>143.5</v>
      </c>
      <c r="K170" s="14"/>
      <c r="L170" s="14"/>
      <c r="M170" s="14"/>
      <c r="N170" s="14" t="n">
        <f aca="false">ROUND((G170*I170)-K170-L170-M170,2)</f>
        <v>143.5</v>
      </c>
      <c r="O170" s="14"/>
      <c r="P170" s="14" t="n">
        <f aca="false">ROUND(IF(D170=0,IF((N170-E170-O170)&gt;0,(N170-E170-O170),0),IF((D170+N170-O170)&gt;0,(D170+N170-O170),0)),2)</f>
        <v>1004.5</v>
      </c>
      <c r="Q170" s="14" t="n">
        <f aca="false">ROUND(IF(E170=0,IF((D170+N170-O170)&lt;0,ABS(D170+N170-O170),0),IF((N170-E170-O170)&lt;0,ABS(N170-E170-O170),0)),2)</f>
        <v>0</v>
      </c>
    </row>
    <row r="171" customFormat="false" ht="15" hidden="false" customHeight="true" outlineLevel="0" collapsed="false">
      <c r="A171" s="12" t="s">
        <v>509</v>
      </c>
      <c r="B171" s="12" t="str">
        <f aca="false">червень!B171</f>
        <v>Білецький Б.Г.</v>
      </c>
      <c r="C171" s="12" t="s">
        <v>511</v>
      </c>
      <c r="D171" s="14" t="n">
        <f aca="false">червень!P171</f>
        <v>1534.08</v>
      </c>
      <c r="E171" s="14" t="n">
        <f aca="false">червень!Q171</f>
        <v>0</v>
      </c>
      <c r="F171" s="13" t="n">
        <f aca="false">червень!F171</f>
        <v>0</v>
      </c>
      <c r="G171" s="13" t="n">
        <f aca="false">червень!G171</f>
        <v>62.36</v>
      </c>
      <c r="H171" s="13" t="n">
        <f aca="false">червень!H171</f>
        <v>0</v>
      </c>
      <c r="I171" s="13" t="n">
        <f aca="false">червень!I171</f>
        <v>4.1</v>
      </c>
      <c r="J171" s="14" t="n">
        <f aca="false">ROUND(G171*I171,2)</f>
        <v>255.68</v>
      </c>
      <c r="K171" s="14"/>
      <c r="L171" s="14"/>
      <c r="M171" s="14"/>
      <c r="N171" s="14" t="n">
        <f aca="false">ROUND((G171*I171)-K171-L171-M171,2)</f>
        <v>255.68</v>
      </c>
      <c r="O171" s="14"/>
      <c r="P171" s="14" t="n">
        <f aca="false">ROUND(IF(D171=0,IF((N171-E171-O171)&gt;0,(N171-E171-O171),0),IF((D171+N171-O171)&gt;0,(D171+N171-O171),0)),2)</f>
        <v>1789.76</v>
      </c>
      <c r="Q171" s="14" t="n">
        <f aca="false">ROUND(IF(E171=0,IF((D171+N171-O171)&lt;0,ABS(D171+N171-O171),0),IF((N171-E171-O171)&lt;0,ABS(N171-E171-O171),0)),2)</f>
        <v>0</v>
      </c>
    </row>
    <row r="172" customFormat="false" ht="15" hidden="false" customHeight="true" outlineLevel="0" collapsed="false">
      <c r="A172" s="12" t="s">
        <v>512</v>
      </c>
      <c r="B172" s="12" t="str">
        <f aca="false">червень!B172</f>
        <v>Кузнєцова В.В.</v>
      </c>
      <c r="C172" s="12" t="s">
        <v>514</v>
      </c>
      <c r="D172" s="14" t="n">
        <f aca="false">червень!P172</f>
        <v>9417.88</v>
      </c>
      <c r="E172" s="14" t="n">
        <f aca="false">червень!Q172</f>
        <v>0</v>
      </c>
      <c r="F172" s="13" t="n">
        <f aca="false">червень!F172</f>
        <v>0</v>
      </c>
      <c r="G172" s="13" t="n">
        <f aca="false">червень!G172</f>
        <v>65.63</v>
      </c>
      <c r="H172" s="13" t="n">
        <f aca="false">червень!H172</f>
        <v>0</v>
      </c>
      <c r="I172" s="13" t="n">
        <f aca="false">червень!I172</f>
        <v>4.1</v>
      </c>
      <c r="J172" s="14" t="n">
        <f aca="false">ROUND(G172*I172,2)</f>
        <v>269.08</v>
      </c>
      <c r="K172" s="14"/>
      <c r="L172" s="14"/>
      <c r="M172" s="14"/>
      <c r="N172" s="14" t="n">
        <f aca="false">ROUND((G172*I172)-K172-L172-M172,2)</f>
        <v>269.08</v>
      </c>
      <c r="O172" s="14"/>
      <c r="P172" s="14" t="n">
        <f aca="false">ROUND(IF(D172=0,IF((N172-E172-O172)&gt;0,(N172-E172-O172),0),IF((D172+N172-O172)&gt;0,(D172+N172-O172),0)),2)</f>
        <v>9686.96</v>
      </c>
      <c r="Q172" s="14" t="n">
        <f aca="false">ROUND(IF(E172=0,IF((D172+N172-O172)&lt;0,ABS(D172+N172-O172),0),IF((N172-E172-O172)&lt;0,ABS(N172-E172-O172),0)),2)</f>
        <v>0</v>
      </c>
    </row>
    <row r="173" customFormat="false" ht="15" hidden="false" customHeight="true" outlineLevel="0" collapsed="false">
      <c r="A173" s="12" t="s">
        <v>515</v>
      </c>
      <c r="B173" s="12" t="str">
        <f aca="false">червень!B173</f>
        <v>Сидоренко Б.Й.</v>
      </c>
      <c r="C173" s="12" t="s">
        <v>517</v>
      </c>
      <c r="D173" s="14" t="n">
        <f aca="false">червень!P173</f>
        <v>17403.23</v>
      </c>
      <c r="E173" s="14" t="n">
        <f aca="false">червень!Q173</f>
        <v>0</v>
      </c>
      <c r="F173" s="13" t="n">
        <f aca="false">червень!F173</f>
        <v>0</v>
      </c>
      <c r="G173" s="13" t="n">
        <f aca="false">червень!G173</f>
        <v>49.8</v>
      </c>
      <c r="H173" s="13" t="n">
        <f aca="false">червень!H173</f>
        <v>0</v>
      </c>
      <c r="I173" s="13" t="n">
        <f aca="false">червень!I173</f>
        <v>4.1</v>
      </c>
      <c r="J173" s="14" t="n">
        <f aca="false">ROUND(G173*I173,2)</f>
        <v>204.18</v>
      </c>
      <c r="K173" s="14"/>
      <c r="L173" s="14"/>
      <c r="M173" s="14"/>
      <c r="N173" s="14" t="n">
        <f aca="false">ROUND((G173*I173)-K173-L173-M173,2)</f>
        <v>204.18</v>
      </c>
      <c r="O173" s="14"/>
      <c r="P173" s="14" t="n">
        <f aca="false">ROUND(IF(D173=0,IF((N173-E173-O173)&gt;0,(N173-E173-O173),0),IF((D173+N173-O173)&gt;0,(D173+N173-O173),0)),2)</f>
        <v>17607.41</v>
      </c>
      <c r="Q173" s="14" t="n">
        <f aca="false">ROUND(IF(E173=0,IF((D173+N173-O173)&lt;0,ABS(D173+N173-O173),0),IF((N173-E173-O173)&lt;0,ABS(N173-E173-O173),0)),2)</f>
        <v>0</v>
      </c>
    </row>
    <row r="174" customFormat="false" ht="15" hidden="false" customHeight="true" outlineLevel="0" collapsed="false">
      <c r="A174" s="12" t="s">
        <v>518</v>
      </c>
      <c r="B174" s="12" t="str">
        <f aca="false">червень!B174</f>
        <v>Кузнєцова О.А.</v>
      </c>
      <c r="C174" s="12" t="s">
        <v>520</v>
      </c>
      <c r="D174" s="14" t="n">
        <f aca="false">червень!P174</f>
        <v>4879</v>
      </c>
      <c r="E174" s="14" t="n">
        <f aca="false">червень!Q174</f>
        <v>0</v>
      </c>
      <c r="F174" s="13" t="n">
        <f aca="false">червень!F174</f>
        <v>0</v>
      </c>
      <c r="G174" s="13" t="n">
        <f aca="false">червень!G174</f>
        <v>35</v>
      </c>
      <c r="H174" s="13" t="n">
        <f aca="false">червень!H174</f>
        <v>0</v>
      </c>
      <c r="I174" s="13" t="n">
        <f aca="false">червень!I174</f>
        <v>4.1</v>
      </c>
      <c r="J174" s="14" t="n">
        <f aca="false">ROUND(G174*I174,2)</f>
        <v>143.5</v>
      </c>
      <c r="K174" s="14"/>
      <c r="L174" s="14"/>
      <c r="M174" s="14"/>
      <c r="N174" s="14" t="n">
        <f aca="false">ROUND((G174*I174)-K174-L174-M174,2)</f>
        <v>143.5</v>
      </c>
      <c r="O174" s="14"/>
      <c r="P174" s="14" t="n">
        <f aca="false">ROUND(IF(D174=0,IF((N174-E174-O174)&gt;0,(N174-E174-O174),0),IF((D174+N174-O174)&gt;0,(D174+N174-O174),0)),2)</f>
        <v>5022.5</v>
      </c>
      <c r="Q174" s="14" t="n">
        <f aca="false">ROUND(IF(E174=0,IF((D174+N174-O174)&lt;0,ABS(D174+N174-O174),0),IF((N174-E174-O174)&lt;0,ABS(N174-E174-O174),0)),2)</f>
        <v>0</v>
      </c>
    </row>
    <row r="175" customFormat="false" ht="15" hidden="false" customHeight="true" outlineLevel="0" collapsed="false">
      <c r="A175" s="12" t="s">
        <v>521</v>
      </c>
      <c r="B175" s="12" t="str">
        <f aca="false">червень!B175</f>
        <v>Васильєва О.Г.</v>
      </c>
      <c r="C175" s="12" t="s">
        <v>523</v>
      </c>
      <c r="D175" s="14" t="n">
        <f aca="false">червень!P175</f>
        <v>3619.52</v>
      </c>
      <c r="E175" s="14" t="n">
        <f aca="false">червень!Q175</f>
        <v>0</v>
      </c>
      <c r="F175" s="13" t="n">
        <f aca="false">червень!F175</f>
        <v>0</v>
      </c>
      <c r="G175" s="13" t="n">
        <f aca="false">червень!G175</f>
        <v>61.7</v>
      </c>
      <c r="H175" s="13" t="n">
        <f aca="false">червень!H175</f>
        <v>0</v>
      </c>
      <c r="I175" s="13" t="n">
        <f aca="false">червень!I175</f>
        <v>4.1</v>
      </c>
      <c r="J175" s="14" t="n">
        <f aca="false">ROUND(G175*I175,2)</f>
        <v>252.97</v>
      </c>
      <c r="K175" s="14"/>
      <c r="L175" s="14"/>
      <c r="M175" s="14"/>
      <c r="N175" s="14" t="n">
        <f aca="false">ROUND((G175*I175)-K175-L175-M175,2)</f>
        <v>252.97</v>
      </c>
      <c r="O175" s="14"/>
      <c r="P175" s="14" t="n">
        <f aca="false">ROUND(IF(D175=0,IF((N175-E175-O175)&gt;0,(N175-E175-O175),0),IF((D175+N175-O175)&gt;0,(D175+N175-O175),0)),2)</f>
        <v>3872.49</v>
      </c>
      <c r="Q175" s="14" t="n">
        <f aca="false">ROUND(IF(E175=0,IF((D175+N175-O175)&lt;0,ABS(D175+N175-O175),0),IF((N175-E175-O175)&lt;0,ABS(N175-E175-O175),0)),2)</f>
        <v>0</v>
      </c>
    </row>
    <row r="176" customFormat="false" ht="15" hidden="false" customHeight="true" outlineLevel="0" collapsed="false">
      <c r="A176" s="12" t="s">
        <v>524</v>
      </c>
      <c r="B176" s="12" t="str">
        <f aca="false">червень!B176</f>
        <v>Кудінова Л.М.</v>
      </c>
      <c r="C176" s="12" t="s">
        <v>526</v>
      </c>
      <c r="D176" s="14" t="n">
        <f aca="false">червень!P176</f>
        <v>1882.16</v>
      </c>
      <c r="E176" s="14" t="n">
        <f aca="false">червень!Q176</f>
        <v>0</v>
      </c>
      <c r="F176" s="13" t="n">
        <f aca="false">червень!F176</f>
        <v>0</v>
      </c>
      <c r="G176" s="13" t="n">
        <f aca="false">червень!G176</f>
        <v>65.58</v>
      </c>
      <c r="H176" s="13" t="n">
        <f aca="false">червень!H176</f>
        <v>0</v>
      </c>
      <c r="I176" s="13" t="n">
        <f aca="false">червень!I176</f>
        <v>4.1</v>
      </c>
      <c r="J176" s="14" t="n">
        <f aca="false">ROUND(G176*I176,2)</f>
        <v>268.88</v>
      </c>
      <c r="K176" s="14"/>
      <c r="L176" s="14"/>
      <c r="M176" s="14"/>
      <c r="N176" s="14" t="n">
        <f aca="false">ROUND((G176*I176)-K176-L176-M176,2)</f>
        <v>268.88</v>
      </c>
      <c r="O176" s="14"/>
      <c r="P176" s="14" t="n">
        <f aca="false">ROUND(IF(D176=0,IF((N176-E176-O176)&gt;0,(N176-E176-O176),0),IF((D176+N176-O176)&gt;0,(D176+N176-O176),0)),2)</f>
        <v>2151.04</v>
      </c>
      <c r="Q176" s="14" t="n">
        <f aca="false">ROUND(IF(E176=0,IF((D176+N176-O176)&lt;0,ABS(D176+N176-O176),0),IF((N176-E176-O176)&lt;0,ABS(N176-E176-O176),0)),2)</f>
        <v>0</v>
      </c>
    </row>
    <row r="177" customFormat="false" ht="15" hidden="false" customHeight="true" outlineLevel="0" collapsed="false">
      <c r="A177" s="12" t="s">
        <v>527</v>
      </c>
      <c r="B177" s="12" t="str">
        <f aca="false">червень!B177</f>
        <v>Спільний І.В.</v>
      </c>
      <c r="C177" s="12" t="s">
        <v>529</v>
      </c>
      <c r="D177" s="14" t="n">
        <f aca="false">червень!P177</f>
        <v>1217.7</v>
      </c>
      <c r="E177" s="14" t="n">
        <f aca="false">червень!Q177</f>
        <v>0</v>
      </c>
      <c r="F177" s="13" t="n">
        <f aca="false">червень!F177</f>
        <v>0</v>
      </c>
      <c r="G177" s="13" t="n">
        <f aca="false">червень!G177</f>
        <v>49.5</v>
      </c>
      <c r="H177" s="13" t="n">
        <f aca="false">червень!H177</f>
        <v>0</v>
      </c>
      <c r="I177" s="13" t="n">
        <f aca="false">червень!I177</f>
        <v>4.1</v>
      </c>
      <c r="J177" s="14" t="n">
        <f aca="false">ROUND(G177*I177,2)</f>
        <v>202.95</v>
      </c>
      <c r="K177" s="14"/>
      <c r="L177" s="14"/>
      <c r="M177" s="14"/>
      <c r="N177" s="14" t="n">
        <f aca="false">ROUND((G177*I177)-K177-L177-M177,2)</f>
        <v>202.95</v>
      </c>
      <c r="O177" s="14"/>
      <c r="P177" s="14" t="n">
        <f aca="false">ROUND(IF(D177=0,IF((N177-E177-O177)&gt;0,(N177-E177-O177),0),IF((D177+N177-O177)&gt;0,(D177+N177-O177),0)),2)</f>
        <v>1420.65</v>
      </c>
      <c r="Q177" s="14" t="n">
        <f aca="false">ROUND(IF(E177=0,IF((D177+N177-O177)&lt;0,ABS(D177+N177-O177),0),IF((N177-E177-O177)&lt;0,ABS(N177-E177-O177),0)),2)</f>
        <v>0</v>
      </c>
    </row>
    <row r="178" customFormat="false" ht="15" hidden="false" customHeight="true" outlineLevel="0" collapsed="false">
      <c r="A178" s="12" t="s">
        <v>530</v>
      </c>
      <c r="B178" s="12" t="str">
        <f aca="false">червень!B178</f>
        <v>Кружаліна Т.А.</v>
      </c>
      <c r="C178" s="12" t="s">
        <v>532</v>
      </c>
      <c r="D178" s="14" t="n">
        <f aca="false">червень!P178</f>
        <v>863.46</v>
      </c>
      <c r="E178" s="14" t="n">
        <f aca="false">червень!Q178</f>
        <v>0</v>
      </c>
      <c r="F178" s="13" t="n">
        <f aca="false">червень!F178</f>
        <v>0</v>
      </c>
      <c r="G178" s="13" t="n">
        <f aca="false">червень!G178</f>
        <v>35.1</v>
      </c>
      <c r="H178" s="13" t="n">
        <f aca="false">червень!H178</f>
        <v>0</v>
      </c>
      <c r="I178" s="13" t="n">
        <f aca="false">червень!I178</f>
        <v>4.1</v>
      </c>
      <c r="J178" s="14" t="n">
        <f aca="false">ROUND(G178*I178,2)</f>
        <v>143.91</v>
      </c>
      <c r="K178" s="14"/>
      <c r="L178" s="14"/>
      <c r="M178" s="14"/>
      <c r="N178" s="14" t="n">
        <f aca="false">ROUND((G178*I178)-K178-L178-M178,2)</f>
        <v>143.91</v>
      </c>
      <c r="O178" s="14"/>
      <c r="P178" s="14" t="n">
        <f aca="false">ROUND(IF(D178=0,IF((N178-E178-O178)&gt;0,(N178-E178-O178),0),IF((D178+N178-O178)&gt;0,(D178+N178-O178),0)),2)</f>
        <v>1007.37</v>
      </c>
      <c r="Q178" s="14" t="n">
        <f aca="false">ROUND(IF(E178=0,IF((D178+N178-O178)&lt;0,ABS(D178+N178-O178),0),IF((N178-E178-O178)&lt;0,ABS(N178-E178-O178),0)),2)</f>
        <v>0</v>
      </c>
    </row>
    <row r="179" customFormat="false" ht="15" hidden="false" customHeight="true" outlineLevel="0" collapsed="false">
      <c r="A179" s="12" t="s">
        <v>533</v>
      </c>
      <c r="B179" s="12" t="str">
        <f aca="false">червень!B179</f>
        <v>Григоренко Н.Е.</v>
      </c>
      <c r="C179" s="12" t="s">
        <v>535</v>
      </c>
      <c r="D179" s="14" t="n">
        <f aca="false">червень!P179</f>
        <v>1547.58</v>
      </c>
      <c r="E179" s="14" t="n">
        <f aca="false">червень!Q179</f>
        <v>0</v>
      </c>
      <c r="F179" s="13" t="n">
        <f aca="false">червень!F179</f>
        <v>0</v>
      </c>
      <c r="G179" s="13" t="n">
        <f aca="false">червень!G179</f>
        <v>62.91</v>
      </c>
      <c r="H179" s="13" t="n">
        <f aca="false">червень!H179</f>
        <v>0</v>
      </c>
      <c r="I179" s="13" t="n">
        <f aca="false">червень!I179</f>
        <v>4.1</v>
      </c>
      <c r="J179" s="14" t="n">
        <f aca="false">ROUND(G179*I179,2)</f>
        <v>257.93</v>
      </c>
      <c r="K179" s="14"/>
      <c r="L179" s="14"/>
      <c r="M179" s="14"/>
      <c r="N179" s="14" t="n">
        <f aca="false">ROUND((G179*I179)-K179-L179-M179,2)</f>
        <v>257.93</v>
      </c>
      <c r="O179" s="14"/>
      <c r="P179" s="14" t="n">
        <f aca="false">ROUND(IF(D179=0,IF((N179-E179-O179)&gt;0,(N179-E179-O179),0),IF((D179+N179-O179)&gt;0,(D179+N179-O179),0)),2)</f>
        <v>1805.51</v>
      </c>
      <c r="Q179" s="14" t="n">
        <f aca="false">ROUND(IF(E179=0,IF((D179+N179-O179)&lt;0,ABS(D179+N179-O179),0),IF((N179-E179-O179)&lt;0,ABS(N179-E179-O179),0)),2)</f>
        <v>0</v>
      </c>
    </row>
    <row r="180" customFormat="false" ht="15" hidden="false" customHeight="true" outlineLevel="0" collapsed="false">
      <c r="A180" s="12" t="s">
        <v>536</v>
      </c>
      <c r="B180" s="12" t="str">
        <f aca="false">червень!B180</f>
        <v>Бондарчук В.В.</v>
      </c>
      <c r="C180" s="12" t="s">
        <v>538</v>
      </c>
      <c r="D180" s="14" t="n">
        <f aca="false">червень!P180</f>
        <v>1624.32</v>
      </c>
      <c r="E180" s="14" t="n">
        <f aca="false">червень!Q180</f>
        <v>0</v>
      </c>
      <c r="F180" s="13" t="n">
        <f aca="false">червень!F180</f>
        <v>0</v>
      </c>
      <c r="G180" s="13" t="n">
        <f aca="false">червень!G180</f>
        <v>66.03</v>
      </c>
      <c r="H180" s="13" t="n">
        <f aca="false">червень!H180</f>
        <v>0</v>
      </c>
      <c r="I180" s="13" t="n">
        <f aca="false">червень!I180</f>
        <v>4.1</v>
      </c>
      <c r="J180" s="14" t="n">
        <f aca="false">ROUND(G180*I180,2)</f>
        <v>270.72</v>
      </c>
      <c r="K180" s="14"/>
      <c r="L180" s="14"/>
      <c r="M180" s="14"/>
      <c r="N180" s="14" t="n">
        <f aca="false">ROUND((G180*I180)-K180-L180-M180,2)</f>
        <v>270.72</v>
      </c>
      <c r="O180" s="14"/>
      <c r="P180" s="14" t="n">
        <f aca="false">ROUND(IF(D180=0,IF((N180-E180-O180)&gt;0,(N180-E180-O180),0),IF((D180+N180-O180)&gt;0,(D180+N180-O180),0)),2)</f>
        <v>1895.04</v>
      </c>
      <c r="Q180" s="14" t="n">
        <f aca="false">ROUND(IF(E180=0,IF((D180+N180-O180)&lt;0,ABS(D180+N180-O180),0),IF((N180-E180-O180)&lt;0,ABS(N180-E180-O180),0)),2)</f>
        <v>0</v>
      </c>
    </row>
    <row r="181" customFormat="false" ht="15" hidden="false" customHeight="true" outlineLevel="0" collapsed="false">
      <c r="A181" s="12" t="s">
        <v>539</v>
      </c>
      <c r="B181" s="12" t="str">
        <f aca="false">червень!B181</f>
        <v>Рябініна Н.І.</v>
      </c>
      <c r="C181" s="12" t="s">
        <v>541</v>
      </c>
      <c r="D181" s="14" t="n">
        <f aca="false">червень!P181</f>
        <v>1061.5</v>
      </c>
      <c r="E181" s="14" t="n">
        <f aca="false">червень!Q181</f>
        <v>0</v>
      </c>
      <c r="F181" s="13" t="n">
        <f aca="false">червень!F181</f>
        <v>0</v>
      </c>
      <c r="G181" s="13" t="n">
        <f aca="false">червень!G181</f>
        <v>49.9</v>
      </c>
      <c r="H181" s="13" t="n">
        <f aca="false">червень!H181</f>
        <v>0</v>
      </c>
      <c r="I181" s="13" t="n">
        <f aca="false">червень!I181</f>
        <v>4.1</v>
      </c>
      <c r="J181" s="14" t="n">
        <f aca="false">ROUND(G181*I181,2)</f>
        <v>204.59</v>
      </c>
      <c r="K181" s="14"/>
      <c r="L181" s="14"/>
      <c r="M181" s="14"/>
      <c r="N181" s="14" t="n">
        <f aca="false">ROUND((G181*I181)-K181-L181-M181,2)</f>
        <v>204.59</v>
      </c>
      <c r="O181" s="14"/>
      <c r="P181" s="14" t="n">
        <f aca="false">ROUND(IF(D181=0,IF((N181-E181-O181)&gt;0,(N181-E181-O181),0),IF((D181+N181-O181)&gt;0,(D181+N181-O181),0)),2)</f>
        <v>1266.09</v>
      </c>
      <c r="Q181" s="14" t="n">
        <f aca="false">ROUND(IF(E181=0,IF((D181+N181-O181)&lt;0,ABS(D181+N181-O181),0),IF((N181-E181-O181)&lt;0,ABS(N181-E181-O181),0)),2)</f>
        <v>0</v>
      </c>
    </row>
    <row r="182" customFormat="false" ht="15" hidden="false" customHeight="true" outlineLevel="0" collapsed="false">
      <c r="A182" s="12" t="s">
        <v>542</v>
      </c>
      <c r="B182" s="12" t="str">
        <f aca="false">червень!B182</f>
        <v>Шапіро В.І.</v>
      </c>
      <c r="C182" s="12" t="s">
        <v>544</v>
      </c>
      <c r="D182" s="14" t="n">
        <f aca="false">червень!P182</f>
        <v>859.02</v>
      </c>
      <c r="E182" s="14" t="n">
        <f aca="false">червень!Q182</f>
        <v>0</v>
      </c>
      <c r="F182" s="13" t="n">
        <f aca="false">червень!F182</f>
        <v>0</v>
      </c>
      <c r="G182" s="13" t="n">
        <f aca="false">червень!G182</f>
        <v>34.92</v>
      </c>
      <c r="H182" s="13" t="n">
        <f aca="false">червень!H182</f>
        <v>0</v>
      </c>
      <c r="I182" s="13" t="n">
        <f aca="false">червень!I182</f>
        <v>4.1</v>
      </c>
      <c r="J182" s="14" t="n">
        <f aca="false">ROUND(G182*I182,2)</f>
        <v>143.17</v>
      </c>
      <c r="K182" s="14"/>
      <c r="L182" s="14"/>
      <c r="M182" s="14"/>
      <c r="N182" s="14" t="n">
        <f aca="false">ROUND((G182*I182)-K182-L182-M182,2)</f>
        <v>143.17</v>
      </c>
      <c r="O182" s="14"/>
      <c r="P182" s="14" t="n">
        <f aca="false">ROUND(IF(D182=0,IF((N182-E182-O182)&gt;0,(N182-E182-O182),0),IF((D182+N182-O182)&gt;0,(D182+N182-O182),0)),2)</f>
        <v>1002.19</v>
      </c>
      <c r="Q182" s="14" t="n">
        <f aca="false">ROUND(IF(E182=0,IF((D182+N182-O182)&lt;0,ABS(D182+N182-O182),0),IF((N182-E182-O182)&lt;0,ABS(N182-E182-O182),0)),2)</f>
        <v>0</v>
      </c>
    </row>
    <row r="183" customFormat="false" ht="15" hidden="false" customHeight="true" outlineLevel="0" collapsed="false">
      <c r="A183" s="12" t="s">
        <v>545</v>
      </c>
      <c r="B183" s="12" t="str">
        <f aca="false">червень!B183</f>
        <v>Крамаренко О.О.</v>
      </c>
      <c r="C183" s="12" t="s">
        <v>547</v>
      </c>
      <c r="D183" s="14" t="n">
        <f aca="false">червень!P183</f>
        <v>1522.98</v>
      </c>
      <c r="E183" s="14" t="n">
        <f aca="false">червень!Q183</f>
        <v>0</v>
      </c>
      <c r="F183" s="13" t="n">
        <f aca="false">червень!F183</f>
        <v>0</v>
      </c>
      <c r="G183" s="13" t="n">
        <f aca="false">червень!G183</f>
        <v>61.91</v>
      </c>
      <c r="H183" s="13" t="n">
        <f aca="false">червень!H183</f>
        <v>0</v>
      </c>
      <c r="I183" s="13" t="n">
        <f aca="false">червень!I183</f>
        <v>4.1</v>
      </c>
      <c r="J183" s="14" t="n">
        <f aca="false">ROUND(G183*I183,2)</f>
        <v>253.83</v>
      </c>
      <c r="K183" s="14"/>
      <c r="L183" s="14"/>
      <c r="M183" s="14"/>
      <c r="N183" s="14" t="n">
        <f aca="false">ROUND((G183*I183)-K183-L183-M183,2)</f>
        <v>253.83</v>
      </c>
      <c r="O183" s="14"/>
      <c r="P183" s="14" t="n">
        <f aca="false">ROUND(IF(D183=0,IF((N183-E183-O183)&gt;0,(N183-E183-O183),0),IF((D183+N183-O183)&gt;0,(D183+N183-O183),0)),2)</f>
        <v>1776.81</v>
      </c>
      <c r="Q183" s="14" t="n">
        <f aca="false">ROUND(IF(E183=0,IF((D183+N183-O183)&lt;0,ABS(D183+N183-O183),0),IF((N183-E183-O183)&lt;0,ABS(N183-E183-O183),0)),2)</f>
        <v>0</v>
      </c>
    </row>
    <row r="184" customFormat="false" ht="15" hidden="false" customHeight="true" outlineLevel="0" collapsed="false">
      <c r="A184" s="12" t="s">
        <v>548</v>
      </c>
      <c r="B184" s="12" t="str">
        <f aca="false">червень!B184</f>
        <v>Свиридов В.Ф.</v>
      </c>
      <c r="C184" s="12" t="s">
        <v>550</v>
      </c>
      <c r="D184" s="14" t="n">
        <f aca="false">червень!P184</f>
        <v>13676.83</v>
      </c>
      <c r="E184" s="14" t="n">
        <f aca="false">червень!Q184</f>
        <v>0</v>
      </c>
      <c r="F184" s="13" t="n">
        <f aca="false">червень!F184</f>
        <v>0</v>
      </c>
      <c r="G184" s="13" t="n">
        <f aca="false">червень!G184</f>
        <v>65.15</v>
      </c>
      <c r="H184" s="13" t="n">
        <f aca="false">червень!H184</f>
        <v>0</v>
      </c>
      <c r="I184" s="13" t="n">
        <f aca="false">червень!I184</f>
        <v>4.1</v>
      </c>
      <c r="J184" s="14" t="n">
        <f aca="false">ROUND(G184*I184,2)</f>
        <v>267.12</v>
      </c>
      <c r="K184" s="14"/>
      <c r="L184" s="14"/>
      <c r="M184" s="14"/>
      <c r="N184" s="14" t="n">
        <f aca="false">ROUND((G184*I184)-K184-L184-M184,2)</f>
        <v>267.12</v>
      </c>
      <c r="O184" s="14"/>
      <c r="P184" s="14" t="n">
        <f aca="false">ROUND(IF(D184=0,IF((N184-E184-O184)&gt;0,(N184-E184-O184),0),IF((D184+N184-O184)&gt;0,(D184+N184-O184),0)),2)</f>
        <v>13943.95</v>
      </c>
      <c r="Q184" s="14" t="n">
        <f aca="false">ROUND(IF(E184=0,IF((D184+N184-O184)&lt;0,ABS(D184+N184-O184),0),IF((N184-E184-O184)&lt;0,ABS(N184-E184-O184),0)),2)</f>
        <v>0</v>
      </c>
    </row>
    <row r="185" customFormat="false" ht="15" hidden="false" customHeight="true" outlineLevel="0" collapsed="false">
      <c r="A185" s="12" t="s">
        <v>551</v>
      </c>
      <c r="B185" s="12" t="str">
        <f aca="false">червень!B185</f>
        <v>Домацький В.А.</v>
      </c>
      <c r="C185" s="12" t="s">
        <v>553</v>
      </c>
      <c r="D185" s="14" t="n">
        <f aca="false">червень!P185</f>
        <v>1230</v>
      </c>
      <c r="E185" s="14" t="n">
        <f aca="false">червень!Q185</f>
        <v>0</v>
      </c>
      <c r="F185" s="13" t="n">
        <f aca="false">червень!F185</f>
        <v>0</v>
      </c>
      <c r="G185" s="13" t="n">
        <f aca="false">червень!G185</f>
        <v>50</v>
      </c>
      <c r="H185" s="13" t="n">
        <f aca="false">червень!H185</f>
        <v>0</v>
      </c>
      <c r="I185" s="13" t="n">
        <f aca="false">червень!I185</f>
        <v>4.1</v>
      </c>
      <c r="J185" s="14" t="n">
        <f aca="false">ROUND(G185*I185,2)</f>
        <v>205</v>
      </c>
      <c r="K185" s="14"/>
      <c r="L185" s="14"/>
      <c r="M185" s="14"/>
      <c r="N185" s="14" t="n">
        <f aca="false">ROUND((G185*I185)-K185-L185-M185,2)</f>
        <v>205</v>
      </c>
      <c r="O185" s="14"/>
      <c r="P185" s="14" t="n">
        <f aca="false">ROUND(IF(D185=0,IF((N185-E185-O185)&gt;0,(N185-E185-O185),0),IF((D185+N185-O185)&gt;0,(D185+N185-O185),0)),2)</f>
        <v>1435</v>
      </c>
      <c r="Q185" s="14" t="n">
        <f aca="false">ROUND(IF(E185=0,IF((D185+N185-O185)&lt;0,ABS(D185+N185-O185),0),IF((N185-E185-O185)&lt;0,ABS(N185-E185-O185),0)),2)</f>
        <v>0</v>
      </c>
    </row>
    <row r="186" customFormat="false" ht="15" hidden="false" customHeight="true" outlineLevel="0" collapsed="false">
      <c r="A186" s="12" t="s">
        <v>554</v>
      </c>
      <c r="B186" s="12" t="str">
        <f aca="false">червень!B186</f>
        <v>Шаповалова І.А.</v>
      </c>
      <c r="C186" s="12" t="s">
        <v>556</v>
      </c>
      <c r="D186" s="14" t="n">
        <f aca="false">червень!P186</f>
        <v>7050.87</v>
      </c>
      <c r="E186" s="14" t="n">
        <f aca="false">червень!Q186</f>
        <v>0</v>
      </c>
      <c r="F186" s="13" t="n">
        <f aca="false">червень!F186</f>
        <v>0</v>
      </c>
      <c r="G186" s="13" t="n">
        <f aca="false">червень!G186</f>
        <v>35.1</v>
      </c>
      <c r="H186" s="13" t="n">
        <f aca="false">червень!H186</f>
        <v>0</v>
      </c>
      <c r="I186" s="13" t="n">
        <f aca="false">червень!I186</f>
        <v>4.1</v>
      </c>
      <c r="J186" s="14" t="n">
        <f aca="false">ROUND(G186*I186,2)</f>
        <v>143.91</v>
      </c>
      <c r="K186" s="14"/>
      <c r="L186" s="14"/>
      <c r="M186" s="14"/>
      <c r="N186" s="14" t="n">
        <f aca="false">ROUND((G186*I186)-K186-L186-M186,2)</f>
        <v>143.91</v>
      </c>
      <c r="O186" s="14"/>
      <c r="P186" s="14" t="n">
        <f aca="false">ROUND(IF(D186=0,IF((N186-E186-O186)&gt;0,(N186-E186-O186),0),IF((D186+N186-O186)&gt;0,(D186+N186-O186),0)),2)</f>
        <v>7194.78</v>
      </c>
      <c r="Q186" s="14" t="n">
        <f aca="false">ROUND(IF(E186=0,IF((D186+N186-O186)&lt;0,ABS(D186+N186-O186),0),IF((N186-E186-O186)&lt;0,ABS(N186-E186-O186),0)),2)</f>
        <v>0</v>
      </c>
    </row>
    <row r="187" customFormat="false" ht="15" hidden="false" customHeight="true" outlineLevel="0" collapsed="false">
      <c r="A187" s="12" t="s">
        <v>557</v>
      </c>
      <c r="B187" s="12" t="str">
        <f aca="false">червень!B187</f>
        <v>Кононенко О.В.</v>
      </c>
      <c r="C187" s="12" t="s">
        <v>559</v>
      </c>
      <c r="D187" s="14" t="n">
        <f aca="false">червень!P187</f>
        <v>3019.5</v>
      </c>
      <c r="E187" s="14" t="n">
        <f aca="false">червень!Q187</f>
        <v>0</v>
      </c>
      <c r="F187" s="13" t="n">
        <f aca="false">червень!F187</f>
        <v>0</v>
      </c>
      <c r="G187" s="13" t="n">
        <f aca="false">червень!G187</f>
        <v>61.8</v>
      </c>
      <c r="H187" s="13" t="n">
        <f aca="false">червень!H187</f>
        <v>0</v>
      </c>
      <c r="I187" s="13" t="n">
        <f aca="false">червень!I187</f>
        <v>4.1</v>
      </c>
      <c r="J187" s="14" t="n">
        <f aca="false">ROUND(G187*I187,2)</f>
        <v>253.38</v>
      </c>
      <c r="K187" s="14"/>
      <c r="L187" s="14"/>
      <c r="M187" s="14"/>
      <c r="N187" s="14" t="n">
        <f aca="false">ROUND((G187*I187)-K187-L187-M187,2)</f>
        <v>253.38</v>
      </c>
      <c r="O187" s="14"/>
      <c r="P187" s="14" t="n">
        <f aca="false">ROUND(IF(D187=0,IF((N187-E187-O187)&gt;0,(N187-E187-O187),0),IF((D187+N187-O187)&gt;0,(D187+N187-O187),0)),2)</f>
        <v>3272.88</v>
      </c>
      <c r="Q187" s="14" t="n">
        <f aca="false">ROUND(IF(E187=0,IF((D187+N187-O187)&lt;0,ABS(D187+N187-O187),0),IF((N187-E187-O187)&lt;0,ABS(N187-E187-O187),0)),2)</f>
        <v>0</v>
      </c>
    </row>
    <row r="188" customFormat="false" ht="15" hidden="false" customHeight="true" outlineLevel="0" collapsed="false">
      <c r="A188" s="12" t="s">
        <v>560</v>
      </c>
      <c r="B188" s="12" t="str">
        <f aca="false">червень!B188</f>
        <v>Овчаренко Т.І.</v>
      </c>
      <c r="C188" s="12" t="s">
        <v>562</v>
      </c>
      <c r="D188" s="14" t="n">
        <f aca="false">червень!P188</f>
        <v>1748.1</v>
      </c>
      <c r="E188" s="14" t="n">
        <f aca="false">червень!Q188</f>
        <v>0</v>
      </c>
      <c r="F188" s="13" t="n">
        <f aca="false">червень!F188</f>
        <v>0</v>
      </c>
      <c r="G188" s="13" t="n">
        <f aca="false">червень!G188</f>
        <v>71.06</v>
      </c>
      <c r="H188" s="13" t="n">
        <f aca="false">червень!H188</f>
        <v>0</v>
      </c>
      <c r="I188" s="13" t="n">
        <f aca="false">червень!I188</f>
        <v>4.1</v>
      </c>
      <c r="J188" s="14" t="n">
        <f aca="false">ROUND(G188*I188,2)</f>
        <v>291.35</v>
      </c>
      <c r="K188" s="14"/>
      <c r="L188" s="14"/>
      <c r="M188" s="14"/>
      <c r="N188" s="14" t="n">
        <f aca="false">ROUND((G188*I188)-K188-L188-M188,2)</f>
        <v>291.35</v>
      </c>
      <c r="O188" s="14"/>
      <c r="P188" s="14" t="n">
        <f aca="false">ROUND(IF(D188=0,IF((N188-E188-O188)&gt;0,(N188-E188-O188),0),IF((D188+N188-O188)&gt;0,(D188+N188-O188),0)),2)</f>
        <v>2039.45</v>
      </c>
      <c r="Q188" s="14" t="n">
        <f aca="false">ROUND(IF(E188=0,IF((D188+N188-O188)&lt;0,ABS(D188+N188-O188),0),IF((N188-E188-O188)&lt;0,ABS(N188-E188-O188),0)),2)</f>
        <v>0</v>
      </c>
    </row>
    <row r="189" customFormat="false" ht="15" hidden="false" customHeight="true" outlineLevel="0" collapsed="false">
      <c r="A189" s="12" t="s">
        <v>563</v>
      </c>
      <c r="B189" s="12" t="str">
        <f aca="false">червень!B189</f>
        <v>Попукайло О.Г.</v>
      </c>
      <c r="C189" s="12" t="s">
        <v>565</v>
      </c>
      <c r="D189" s="14" t="n">
        <f aca="false">червень!P189</f>
        <v>5963.84</v>
      </c>
      <c r="E189" s="14" t="n">
        <f aca="false">червень!Q189</f>
        <v>0</v>
      </c>
      <c r="F189" s="13" t="n">
        <f aca="false">червень!F189</f>
        <v>0</v>
      </c>
      <c r="G189" s="13" t="n">
        <f aca="false">червень!G189</f>
        <v>49.15</v>
      </c>
      <c r="H189" s="13" t="n">
        <f aca="false">червень!H189</f>
        <v>0</v>
      </c>
      <c r="I189" s="13" t="n">
        <f aca="false">червень!I189</f>
        <v>4.1</v>
      </c>
      <c r="J189" s="14" t="n">
        <f aca="false">ROUND(G189*I189,2)</f>
        <v>201.52</v>
      </c>
      <c r="K189" s="14"/>
      <c r="L189" s="14"/>
      <c r="M189" s="14"/>
      <c r="N189" s="14" t="n">
        <f aca="false">ROUND((G189*I189)-K189-L189-M189,2)</f>
        <v>201.52</v>
      </c>
      <c r="O189" s="14"/>
      <c r="P189" s="14" t="n">
        <f aca="false">ROUND(IF(D189=0,IF((N189-E189-O189)&gt;0,(N189-E189-O189),0),IF((D189+N189-O189)&gt;0,(D189+N189-O189),0)),2)</f>
        <v>6165.36</v>
      </c>
      <c r="Q189" s="14" t="n">
        <f aca="false">ROUND(IF(E189=0,IF((D189+N189-O189)&lt;0,ABS(D189+N189-O189),0),IF((N189-E189-O189)&lt;0,ABS(N189-E189-O189),0)),2)</f>
        <v>0</v>
      </c>
    </row>
    <row r="190" customFormat="false" ht="15" hidden="false" customHeight="true" outlineLevel="0" collapsed="false">
      <c r="A190" s="12" t="s">
        <v>566</v>
      </c>
      <c r="B190" s="12" t="str">
        <f aca="false">червень!B190</f>
        <v>Онищенко А.В.</v>
      </c>
      <c r="C190" s="12" t="s">
        <v>568</v>
      </c>
      <c r="D190" s="14" t="n">
        <f aca="false">червень!P190</f>
        <v>7492.78</v>
      </c>
      <c r="E190" s="14" t="n">
        <f aca="false">червень!Q190</f>
        <v>0</v>
      </c>
      <c r="F190" s="13" t="n">
        <f aca="false">червень!F190</f>
        <v>0</v>
      </c>
      <c r="G190" s="13" t="n">
        <f aca="false">червень!G190</f>
        <v>53.72</v>
      </c>
      <c r="H190" s="13" t="n">
        <f aca="false">червень!H190</f>
        <v>0</v>
      </c>
      <c r="I190" s="13" t="n">
        <f aca="false">червень!I190</f>
        <v>4.1</v>
      </c>
      <c r="J190" s="14" t="n">
        <f aca="false">ROUND(G190*I190,2)</f>
        <v>220.25</v>
      </c>
      <c r="K190" s="14"/>
      <c r="L190" s="14"/>
      <c r="M190" s="14"/>
      <c r="N190" s="14" t="n">
        <f aca="false">ROUND((G190*I190)-K190-L190-M190,2)</f>
        <v>220.25</v>
      </c>
      <c r="O190" s="14"/>
      <c r="P190" s="14" t="n">
        <f aca="false">ROUND(IF(D190=0,IF((N190-E190-O190)&gt;0,(N190-E190-O190),0),IF((D190+N190-O190)&gt;0,(D190+N190-O190),0)),2)</f>
        <v>7713.03</v>
      </c>
      <c r="Q190" s="14" t="n">
        <f aca="false">ROUND(IF(E190=0,IF((D190+N190-O190)&lt;0,ABS(D190+N190-O190),0),IF((N190-E190-O190)&lt;0,ABS(N190-E190-O190),0)),2)</f>
        <v>0</v>
      </c>
    </row>
    <row r="191" customFormat="false" ht="15" hidden="false" customHeight="true" outlineLevel="0" collapsed="false">
      <c r="A191" s="12" t="s">
        <v>569</v>
      </c>
      <c r="B191" s="12" t="str">
        <f aca="false">червень!B191</f>
        <v>Соколова О.О.</v>
      </c>
      <c r="C191" s="12" t="s">
        <v>571</v>
      </c>
      <c r="D191" s="14" t="n">
        <f aca="false">червень!P191</f>
        <v>1979.46</v>
      </c>
      <c r="E191" s="14" t="n">
        <f aca="false">червень!Q191</f>
        <v>0</v>
      </c>
      <c r="F191" s="13" t="n">
        <f aca="false">червень!F191</f>
        <v>0</v>
      </c>
      <c r="G191" s="13" t="n">
        <f aca="false">червень!G191</f>
        <v>68.97</v>
      </c>
      <c r="H191" s="13" t="n">
        <f aca="false">червень!H191</f>
        <v>0</v>
      </c>
      <c r="I191" s="13" t="n">
        <f aca="false">червень!I191</f>
        <v>4.1</v>
      </c>
      <c r="J191" s="14" t="n">
        <f aca="false">ROUND(G191*I191,2)</f>
        <v>282.78</v>
      </c>
      <c r="K191" s="14"/>
      <c r="L191" s="14"/>
      <c r="M191" s="14"/>
      <c r="N191" s="14" t="n">
        <f aca="false">ROUND((G191*I191)-K191-L191-M191,2)</f>
        <v>282.78</v>
      </c>
      <c r="O191" s="14"/>
      <c r="P191" s="14" t="n">
        <f aca="false">ROUND(IF(D191=0,IF((N191-E191-O191)&gt;0,(N191-E191-O191),0),IF((D191+N191-O191)&gt;0,(D191+N191-O191),0)),2)</f>
        <v>2262.24</v>
      </c>
      <c r="Q191" s="14" t="n">
        <f aca="false">ROUND(IF(E191=0,IF((D191+N191-O191)&lt;0,ABS(D191+N191-O191),0),IF((N191-E191-O191)&lt;0,ABS(N191-E191-O191),0)),2)</f>
        <v>0</v>
      </c>
    </row>
    <row r="192" customFormat="false" ht="15" hidden="false" customHeight="true" outlineLevel="0" collapsed="false">
      <c r="A192" s="12" t="s">
        <v>572</v>
      </c>
      <c r="B192" s="12" t="str">
        <f aca="false">червень!B192</f>
        <v>Ільіна В.П.</v>
      </c>
      <c r="C192" s="12" t="s">
        <v>574</v>
      </c>
      <c r="D192" s="14" t="n">
        <f aca="false">червень!P192</f>
        <v>9248.73</v>
      </c>
      <c r="E192" s="14" t="n">
        <f aca="false">червень!Q192</f>
        <v>0</v>
      </c>
      <c r="F192" s="13" t="n">
        <f aca="false">червень!F192</f>
        <v>0</v>
      </c>
      <c r="G192" s="13" t="n">
        <f aca="false">червень!G192</f>
        <v>49.86</v>
      </c>
      <c r="H192" s="13" t="n">
        <f aca="false">червень!H192</f>
        <v>0</v>
      </c>
      <c r="I192" s="13" t="n">
        <f aca="false">червень!I192</f>
        <v>4.1</v>
      </c>
      <c r="J192" s="14" t="n">
        <f aca="false">ROUND(G192*I192,2)</f>
        <v>204.43</v>
      </c>
      <c r="K192" s="14"/>
      <c r="L192" s="14"/>
      <c r="M192" s="14"/>
      <c r="N192" s="14" t="n">
        <f aca="false">ROUND((G192*I192)-K192-L192-M192,2)</f>
        <v>204.43</v>
      </c>
      <c r="O192" s="14"/>
      <c r="P192" s="14" t="n">
        <f aca="false">ROUND(IF(D192=0,IF((N192-E192-O192)&gt;0,(N192-E192-O192),0),IF((D192+N192-O192)&gt;0,(D192+N192-O192),0)),2)</f>
        <v>9453.16</v>
      </c>
      <c r="Q192" s="14" t="n">
        <f aca="false">ROUND(IF(E192=0,IF((D192+N192-O192)&lt;0,ABS(D192+N192-O192),0),IF((N192-E192-O192)&lt;0,ABS(N192-E192-O192),0)),2)</f>
        <v>0</v>
      </c>
    </row>
    <row r="193" customFormat="false" ht="15" hidden="false" customHeight="true" outlineLevel="0" collapsed="false">
      <c r="A193" s="12" t="s">
        <v>575</v>
      </c>
      <c r="B193" s="12" t="str">
        <f aca="false">червень!B193</f>
        <v>Чешок Г.К.</v>
      </c>
      <c r="C193" s="12" t="s">
        <v>577</v>
      </c>
      <c r="D193" s="14" t="n">
        <f aca="false">червень!P193</f>
        <v>13383.63</v>
      </c>
      <c r="E193" s="14" t="n">
        <f aca="false">червень!Q193</f>
        <v>0</v>
      </c>
      <c r="F193" s="13" t="n">
        <f aca="false">червень!F193</f>
        <v>0</v>
      </c>
      <c r="G193" s="13" t="n">
        <f aca="false">червень!G193</f>
        <v>60.86</v>
      </c>
      <c r="H193" s="13" t="n">
        <f aca="false">червень!H193</f>
        <v>0</v>
      </c>
      <c r="I193" s="13" t="n">
        <f aca="false">червень!I193</f>
        <v>4.1</v>
      </c>
      <c r="J193" s="14" t="n">
        <f aca="false">ROUND(G193*I193,2)</f>
        <v>249.53</v>
      </c>
      <c r="K193" s="14"/>
      <c r="L193" s="14"/>
      <c r="M193" s="14"/>
      <c r="N193" s="14" t="n">
        <f aca="false">ROUND((G193*I193)-K193-L193-M193,2)</f>
        <v>249.53</v>
      </c>
      <c r="O193" s="14"/>
      <c r="P193" s="14" t="n">
        <f aca="false">ROUND(IF(D193=0,IF((N193-E193-O193)&gt;0,(N193-E193-O193),0),IF((D193+N193-O193)&gt;0,(D193+N193-O193),0)),2)</f>
        <v>13633.16</v>
      </c>
      <c r="Q193" s="14" t="n">
        <f aca="false">ROUND(IF(E193=0,IF((D193+N193-O193)&lt;0,ABS(D193+N193-O193),0),IF((N193-E193-O193)&lt;0,ABS(N193-E193-O193),0)),2)</f>
        <v>0</v>
      </c>
    </row>
    <row r="194" customFormat="false" ht="15" hidden="false" customHeight="true" outlineLevel="0" collapsed="false">
      <c r="A194" s="12" t="s">
        <v>578</v>
      </c>
      <c r="B194" s="12" t="str">
        <f aca="false">червень!B194</f>
        <v>Бердников В.А.</v>
      </c>
      <c r="C194" s="12" t="s">
        <v>580</v>
      </c>
      <c r="D194" s="14" t="n">
        <f aca="false">червень!P194</f>
        <v>10014.19</v>
      </c>
      <c r="E194" s="14" t="n">
        <f aca="false">червень!Q194</f>
        <v>0</v>
      </c>
      <c r="F194" s="13" t="n">
        <f aca="false">червень!F194</f>
        <v>0</v>
      </c>
      <c r="G194" s="13" t="n">
        <f aca="false">червень!G194</f>
        <v>66.75</v>
      </c>
      <c r="H194" s="13" t="n">
        <f aca="false">червень!H194</f>
        <v>0</v>
      </c>
      <c r="I194" s="13" t="n">
        <f aca="false">червень!I194</f>
        <v>4.1</v>
      </c>
      <c r="J194" s="14" t="n">
        <f aca="false">ROUND(G194*I194,2)</f>
        <v>273.68</v>
      </c>
      <c r="K194" s="14"/>
      <c r="L194" s="14"/>
      <c r="M194" s="14"/>
      <c r="N194" s="14" t="n">
        <f aca="false">ROUND((G194*I194)-K194-L194-M194,2)</f>
        <v>273.68</v>
      </c>
      <c r="O194" s="14"/>
      <c r="P194" s="14" t="n">
        <f aca="false">ROUND(IF(D194=0,IF((N194-E194-O194)&gt;0,(N194-E194-O194),0),IF((D194+N194-O194)&gt;0,(D194+N194-O194),0)),2)</f>
        <v>10287.87</v>
      </c>
      <c r="Q194" s="14" t="n">
        <f aca="false">ROUND(IF(E194=0,IF((D194+N194-O194)&lt;0,ABS(D194+N194-O194),0),IF((N194-E194-O194)&lt;0,ABS(N194-E194-O194),0)),2)</f>
        <v>0</v>
      </c>
    </row>
    <row r="195" customFormat="false" ht="15" hidden="false" customHeight="true" outlineLevel="0" collapsed="false">
      <c r="A195" s="12" t="s">
        <v>581</v>
      </c>
      <c r="B195" s="12" t="str">
        <f aca="false">червень!B195</f>
        <v>Щербак Н.В.</v>
      </c>
      <c r="C195" s="12" t="s">
        <v>583</v>
      </c>
      <c r="D195" s="14" t="n">
        <f aca="false">червень!P195</f>
        <v>14860.4</v>
      </c>
      <c r="E195" s="14" t="n">
        <f aca="false">червень!Q195</f>
        <v>0</v>
      </c>
      <c r="F195" s="13" t="n">
        <f aca="false">червень!F195</f>
        <v>0</v>
      </c>
      <c r="G195" s="13" t="n">
        <f aca="false">червень!G195</f>
        <v>72.49</v>
      </c>
      <c r="H195" s="13" t="n">
        <f aca="false">червень!H195</f>
        <v>0</v>
      </c>
      <c r="I195" s="13" t="n">
        <f aca="false">червень!I195</f>
        <v>4.1</v>
      </c>
      <c r="J195" s="14" t="n">
        <f aca="false">ROUND(G195*I195,2)</f>
        <v>297.21</v>
      </c>
      <c r="K195" s="14"/>
      <c r="L195" s="14"/>
      <c r="M195" s="14"/>
      <c r="N195" s="14" t="n">
        <f aca="false">ROUND((G195*I195)-K195-L195-M195,2)</f>
        <v>297.21</v>
      </c>
      <c r="O195" s="14"/>
      <c r="P195" s="14" t="n">
        <f aca="false">ROUND(IF(D195=0,IF((N195-E195-O195)&gt;0,(N195-E195-O195),0),IF((D195+N195-O195)&gt;0,(D195+N195-O195),0)),2)</f>
        <v>15157.61</v>
      </c>
      <c r="Q195" s="14" t="n">
        <f aca="false">ROUND(IF(E195=0,IF((D195+N195-O195)&lt;0,ABS(D195+N195-O195),0),IF((N195-E195-O195)&lt;0,ABS(N195-E195-O195),0)),2)</f>
        <v>0</v>
      </c>
    </row>
    <row r="196" customFormat="false" ht="15" hidden="false" customHeight="true" outlineLevel="0" collapsed="false">
      <c r="A196" s="12" t="s">
        <v>584</v>
      </c>
      <c r="B196" s="12" t="str">
        <f aca="false">червень!B196</f>
        <v>Рожков Ю.М.</v>
      </c>
      <c r="C196" s="12" t="s">
        <v>586</v>
      </c>
      <c r="D196" s="14" t="n">
        <f aca="false">червень!P196</f>
        <v>1167.26</v>
      </c>
      <c r="E196" s="14" t="n">
        <f aca="false">червень!Q196</f>
        <v>0</v>
      </c>
      <c r="F196" s="13" t="n">
        <f aca="false">червень!F196</f>
        <v>0</v>
      </c>
      <c r="G196" s="13" t="n">
        <f aca="false">червень!G196</f>
        <v>49.8</v>
      </c>
      <c r="H196" s="13" t="n">
        <f aca="false">червень!H196</f>
        <v>0</v>
      </c>
      <c r="I196" s="13" t="n">
        <f aca="false">червень!I196</f>
        <v>4.1</v>
      </c>
      <c r="J196" s="14" t="n">
        <f aca="false">ROUND(G196*I196,2)</f>
        <v>204.18</v>
      </c>
      <c r="K196" s="14"/>
      <c r="L196" s="14"/>
      <c r="M196" s="14"/>
      <c r="N196" s="14" t="n">
        <f aca="false">ROUND((G196*I196)-K196-L196-M196,2)</f>
        <v>204.18</v>
      </c>
      <c r="O196" s="14"/>
      <c r="P196" s="14" t="n">
        <f aca="false">ROUND(IF(D196=0,IF((N196-E196-O196)&gt;0,(N196-E196-O196),0),IF((D196+N196-O196)&gt;0,(D196+N196-O196),0)),2)</f>
        <v>1371.44</v>
      </c>
      <c r="Q196" s="14" t="n">
        <f aca="false">ROUND(IF(E196=0,IF((D196+N196-O196)&lt;0,ABS(D196+N196-O196),0),IF((N196-E196-O196)&lt;0,ABS(N196-E196-O196),0)),2)</f>
        <v>0</v>
      </c>
    </row>
    <row r="197" customFormat="false" ht="15" hidden="false" customHeight="true" outlineLevel="0" collapsed="false">
      <c r="A197" s="12" t="s">
        <v>587</v>
      </c>
      <c r="B197" s="12" t="str">
        <f aca="false">червень!B197</f>
        <v>Кобець В.В.</v>
      </c>
      <c r="C197" s="12" t="s">
        <v>589</v>
      </c>
      <c r="D197" s="14" t="n">
        <f aca="false">червень!P197</f>
        <v>8773.35</v>
      </c>
      <c r="E197" s="14" t="n">
        <f aca="false">червень!Q197</f>
        <v>0</v>
      </c>
      <c r="F197" s="13" t="n">
        <f aca="false">червень!F197</f>
        <v>0</v>
      </c>
      <c r="G197" s="13" t="n">
        <f aca="false">червень!G197</f>
        <v>62.36</v>
      </c>
      <c r="H197" s="13" t="n">
        <f aca="false">червень!H197</f>
        <v>0</v>
      </c>
      <c r="I197" s="13" t="n">
        <f aca="false">червень!I197</f>
        <v>4.1</v>
      </c>
      <c r="J197" s="14" t="n">
        <f aca="false">ROUND(G197*I197,2)</f>
        <v>255.68</v>
      </c>
      <c r="K197" s="14"/>
      <c r="L197" s="14"/>
      <c r="M197" s="14"/>
      <c r="N197" s="14" t="n">
        <f aca="false">ROUND((G197*I197)-K197-L197-M197,2)</f>
        <v>255.68</v>
      </c>
      <c r="O197" s="14"/>
      <c r="P197" s="14" t="n">
        <f aca="false">ROUND(IF(D197=0,IF((N197-E197-O197)&gt;0,(N197-E197-O197),0),IF((D197+N197-O197)&gt;0,(D197+N197-O197),0)),2)</f>
        <v>9029.03</v>
      </c>
      <c r="Q197" s="14" t="n">
        <f aca="false">ROUND(IF(E197=0,IF((D197+N197-O197)&lt;0,ABS(D197+N197-O197),0),IF((N197-E197-O197)&lt;0,ABS(N197-E197-O197),0)),2)</f>
        <v>0</v>
      </c>
    </row>
    <row r="198" customFormat="false" ht="15" hidden="false" customHeight="true" outlineLevel="0" collapsed="false">
      <c r="A198" s="12" t="s">
        <v>590</v>
      </c>
      <c r="B198" s="12" t="str">
        <f aca="false">червень!B198</f>
        <v>Щерба Л.О.</v>
      </c>
      <c r="C198" s="12" t="s">
        <v>592</v>
      </c>
      <c r="D198" s="14" t="n">
        <f aca="false">червень!P198</f>
        <v>1685.1</v>
      </c>
      <c r="E198" s="14" t="n">
        <f aca="false">червень!Q198</f>
        <v>0</v>
      </c>
      <c r="F198" s="13" t="n">
        <f aca="false">червень!F198</f>
        <v>0</v>
      </c>
      <c r="G198" s="13" t="n">
        <f aca="false">червень!G198</f>
        <v>68.5</v>
      </c>
      <c r="H198" s="13" t="n">
        <f aca="false">червень!H198</f>
        <v>0</v>
      </c>
      <c r="I198" s="13" t="n">
        <f aca="false">червень!I198</f>
        <v>4.1</v>
      </c>
      <c r="J198" s="14" t="n">
        <f aca="false">ROUND(G198*I198,2)</f>
        <v>280.85</v>
      </c>
      <c r="K198" s="14"/>
      <c r="L198" s="14"/>
      <c r="M198" s="14"/>
      <c r="N198" s="14" t="n">
        <f aca="false">ROUND((G198*I198)-K198-L198-M198,2)</f>
        <v>280.85</v>
      </c>
      <c r="O198" s="14"/>
      <c r="P198" s="14" t="n">
        <f aca="false">ROUND(IF(D198=0,IF((N198-E198-O198)&gt;0,(N198-E198-O198),0),IF((D198+N198-O198)&gt;0,(D198+N198-O198),0)),2)</f>
        <v>1965.95</v>
      </c>
      <c r="Q198" s="14" t="n">
        <f aca="false">ROUND(IF(E198=0,IF((D198+N198-O198)&lt;0,ABS(D198+N198-O198),0),IF((N198-E198-O198)&lt;0,ABS(N198-E198-O198),0)),2)</f>
        <v>0</v>
      </c>
    </row>
    <row r="199" customFormat="false" ht="15" hidden="false" customHeight="true" outlineLevel="0" collapsed="false">
      <c r="A199" s="12" t="s">
        <v>593</v>
      </c>
      <c r="B199" s="12" t="str">
        <f aca="false">червень!B199</f>
        <v>Сапунова І.В.</v>
      </c>
      <c r="C199" s="12" t="s">
        <v>595</v>
      </c>
      <c r="D199" s="14" t="n">
        <f aca="false">червень!P199</f>
        <v>12744.64</v>
      </c>
      <c r="E199" s="14" t="n">
        <f aca="false">червень!Q199</f>
        <v>0</v>
      </c>
      <c r="F199" s="13" t="n">
        <f aca="false">червень!F199</f>
        <v>0</v>
      </c>
      <c r="G199" s="13" t="n">
        <f aca="false">червень!G199</f>
        <v>70.42</v>
      </c>
      <c r="H199" s="13" t="n">
        <f aca="false">червень!H199</f>
        <v>0</v>
      </c>
      <c r="I199" s="13" t="n">
        <f aca="false">червень!I199</f>
        <v>4.1</v>
      </c>
      <c r="J199" s="14" t="n">
        <f aca="false">ROUND(G199*I199,2)</f>
        <v>288.72</v>
      </c>
      <c r="K199" s="14"/>
      <c r="L199" s="14"/>
      <c r="M199" s="14"/>
      <c r="N199" s="14" t="n">
        <f aca="false">ROUND((G199*I199)-K199-L199-M199,2)</f>
        <v>288.72</v>
      </c>
      <c r="O199" s="14"/>
      <c r="P199" s="14" t="n">
        <f aca="false">ROUND(IF(D199=0,IF((N199-E199-O199)&gt;0,(N199-E199-O199),0),IF((D199+N199-O199)&gt;0,(D199+N199-O199),0)),2)</f>
        <v>13033.36</v>
      </c>
      <c r="Q199" s="14" t="n">
        <f aca="false">ROUND(IF(E199=0,IF((D199+N199-O199)&lt;0,ABS(D199+N199-O199),0),IF((N199-E199-O199)&lt;0,ABS(N199-E199-O199),0)),2)</f>
        <v>0</v>
      </c>
    </row>
    <row r="200" customFormat="false" ht="15" hidden="false" customHeight="true" outlineLevel="0" collapsed="false">
      <c r="A200" s="12" t="s">
        <v>596</v>
      </c>
      <c r="B200" s="12" t="str">
        <f aca="false">червень!B200</f>
        <v>Саввідіс В.О.</v>
      </c>
      <c r="C200" s="12" t="s">
        <v>598</v>
      </c>
      <c r="D200" s="14" t="n">
        <f aca="false">червень!P200</f>
        <v>11301.36</v>
      </c>
      <c r="E200" s="14" t="n">
        <f aca="false">червень!Q200</f>
        <v>0</v>
      </c>
      <c r="F200" s="13" t="n">
        <f aca="false">червень!F200</f>
        <v>0</v>
      </c>
      <c r="G200" s="13" t="n">
        <f aca="false">червень!G200</f>
        <v>49.7</v>
      </c>
      <c r="H200" s="13" t="n">
        <f aca="false">червень!H200</f>
        <v>0</v>
      </c>
      <c r="I200" s="13" t="n">
        <f aca="false">червень!I200</f>
        <v>4.1</v>
      </c>
      <c r="J200" s="14" t="n">
        <f aca="false">ROUND(G200*I200,2)</f>
        <v>203.77</v>
      </c>
      <c r="K200" s="14"/>
      <c r="L200" s="14"/>
      <c r="M200" s="14"/>
      <c r="N200" s="14" t="n">
        <f aca="false">ROUND((G200*I200)-K200-L200-M200,2)</f>
        <v>203.77</v>
      </c>
      <c r="O200" s="14"/>
      <c r="P200" s="14" t="n">
        <f aca="false">ROUND(IF(D200=0,IF((N200-E200-O200)&gt;0,(N200-E200-O200),0),IF((D200+N200-O200)&gt;0,(D200+N200-O200),0)),2)</f>
        <v>11505.13</v>
      </c>
      <c r="Q200" s="14" t="n">
        <f aca="false">ROUND(IF(E200=0,IF((D200+N200-O200)&lt;0,ABS(D200+N200-O200),0),IF((N200-E200-O200)&lt;0,ABS(N200-E200-O200),0)),2)</f>
        <v>0</v>
      </c>
    </row>
    <row r="201" customFormat="false" ht="15" hidden="false" customHeight="true" outlineLevel="0" collapsed="false">
      <c r="A201" s="12" t="s">
        <v>599</v>
      </c>
      <c r="B201" s="12" t="str">
        <f aca="false">червень!B201</f>
        <v>Кашина Г.І.</v>
      </c>
      <c r="C201" s="12" t="s">
        <v>601</v>
      </c>
      <c r="D201" s="14" t="n">
        <f aca="false">червень!P201</f>
        <v>13602.98</v>
      </c>
      <c r="E201" s="14" t="n">
        <f aca="false">червень!Q201</f>
        <v>0</v>
      </c>
      <c r="F201" s="13" t="n">
        <f aca="false">червень!F201</f>
        <v>0</v>
      </c>
      <c r="G201" s="13" t="n">
        <f aca="false">червень!G201</f>
        <v>62.6</v>
      </c>
      <c r="H201" s="13" t="n">
        <f aca="false">червень!H201</f>
        <v>0</v>
      </c>
      <c r="I201" s="13" t="n">
        <f aca="false">червень!I201</f>
        <v>4.1</v>
      </c>
      <c r="J201" s="14" t="n">
        <f aca="false">ROUND(G201*I201,2)</f>
        <v>256.66</v>
      </c>
      <c r="K201" s="14"/>
      <c r="L201" s="14"/>
      <c r="M201" s="14"/>
      <c r="N201" s="14" t="n">
        <f aca="false">ROUND((G201*I201)-K201-L201-M201,2)</f>
        <v>256.66</v>
      </c>
      <c r="O201" s="14"/>
      <c r="P201" s="14" t="n">
        <f aca="false">ROUND(IF(D201=0,IF((N201-E201-O201)&gt;0,(N201-E201-O201),0),IF((D201+N201-O201)&gt;0,(D201+N201-O201),0)),2)</f>
        <v>13859.64</v>
      </c>
      <c r="Q201" s="14" t="n">
        <f aca="false">ROUND(IF(E201=0,IF((D201+N201-O201)&lt;0,ABS(D201+N201-O201),0),IF((N201-E201-O201)&lt;0,ABS(N201-E201-O201),0)),2)</f>
        <v>0</v>
      </c>
    </row>
    <row r="202" customFormat="false" ht="15" hidden="false" customHeight="true" outlineLevel="0" collapsed="false">
      <c r="A202" s="12" t="s">
        <v>602</v>
      </c>
      <c r="B202" s="12" t="str">
        <f aca="false">червень!B202</f>
        <v>Фадеєва Є.А.</v>
      </c>
      <c r="C202" s="12" t="s">
        <v>604</v>
      </c>
      <c r="D202" s="14" t="n">
        <f aca="false">червень!P202</f>
        <v>1731.84</v>
      </c>
      <c r="E202" s="14" t="n">
        <f aca="false">червень!Q202</f>
        <v>0</v>
      </c>
      <c r="F202" s="13" t="n">
        <f aca="false">червень!F202</f>
        <v>0</v>
      </c>
      <c r="G202" s="13" t="n">
        <f aca="false">червень!G202</f>
        <v>70.4</v>
      </c>
      <c r="H202" s="13" t="n">
        <f aca="false">червень!H202</f>
        <v>0</v>
      </c>
      <c r="I202" s="13" t="n">
        <f aca="false">червень!I202</f>
        <v>4.1</v>
      </c>
      <c r="J202" s="14" t="n">
        <f aca="false">ROUND(G202*I202,2)</f>
        <v>288.64</v>
      </c>
      <c r="K202" s="14"/>
      <c r="L202" s="14"/>
      <c r="M202" s="14"/>
      <c r="N202" s="14" t="n">
        <f aca="false">ROUND((G202*I202)-K202-L202-M202,2)</f>
        <v>288.64</v>
      </c>
      <c r="O202" s="14"/>
      <c r="P202" s="14" t="n">
        <f aca="false">ROUND(IF(D202=0,IF((N202-E202-O202)&gt;0,(N202-E202-O202),0),IF((D202+N202-O202)&gt;0,(D202+N202-O202),0)),2)</f>
        <v>2020.48</v>
      </c>
      <c r="Q202" s="14" t="n">
        <f aca="false">ROUND(IF(E202=0,IF((D202+N202-O202)&lt;0,ABS(D202+N202-O202),0),IF((N202-E202-O202)&lt;0,ABS(N202-E202-O202),0)),2)</f>
        <v>0</v>
      </c>
    </row>
    <row r="203" customFormat="false" ht="15" hidden="false" customHeight="true" outlineLevel="0" collapsed="false">
      <c r="A203" s="12" t="s">
        <v>605</v>
      </c>
      <c r="B203" s="12" t="str">
        <f aca="false">червень!B203</f>
        <v>Бойко О.А.</v>
      </c>
      <c r="C203" s="12" t="s">
        <v>607</v>
      </c>
      <c r="D203" s="14" t="n">
        <f aca="false">червень!P203</f>
        <v>1726.92</v>
      </c>
      <c r="E203" s="14" t="n">
        <f aca="false">червень!Q203</f>
        <v>0</v>
      </c>
      <c r="F203" s="13" t="n">
        <f aca="false">червень!F203</f>
        <v>0</v>
      </c>
      <c r="G203" s="13" t="n">
        <f aca="false">червень!G203</f>
        <v>70.2</v>
      </c>
      <c r="H203" s="13" t="n">
        <f aca="false">червень!H203</f>
        <v>0</v>
      </c>
      <c r="I203" s="13" t="n">
        <f aca="false">червень!I203</f>
        <v>4.1</v>
      </c>
      <c r="J203" s="14" t="n">
        <f aca="false">ROUND(G203*I203,2)</f>
        <v>287.82</v>
      </c>
      <c r="K203" s="14"/>
      <c r="L203" s="14"/>
      <c r="M203" s="14"/>
      <c r="N203" s="14" t="n">
        <f aca="false">ROUND((G203*I203)-K203-L203-M203,2)</f>
        <v>287.82</v>
      </c>
      <c r="O203" s="14"/>
      <c r="P203" s="14" t="n">
        <f aca="false">ROUND(IF(D203=0,IF((N203-E203-O203)&gt;0,(N203-E203-O203),0),IF((D203+N203-O203)&gt;0,(D203+N203-O203),0)),2)</f>
        <v>2014.74</v>
      </c>
      <c r="Q203" s="14" t="n">
        <f aca="false">ROUND(IF(E203=0,IF((D203+N203-O203)&lt;0,ABS(D203+N203-O203),0),IF((N203-E203-O203)&lt;0,ABS(N203-E203-O203),0)),2)</f>
        <v>0</v>
      </c>
    </row>
    <row r="204" customFormat="false" ht="15" hidden="false" customHeight="true" outlineLevel="0" collapsed="false">
      <c r="A204" s="12" t="s">
        <v>608</v>
      </c>
      <c r="B204" s="12" t="str">
        <f aca="false">червень!B204</f>
        <v>Дудник І.А.</v>
      </c>
      <c r="C204" s="12" t="s">
        <v>610</v>
      </c>
      <c r="D204" s="14" t="n">
        <f aca="false">червень!P204</f>
        <v>10288.77</v>
      </c>
      <c r="E204" s="14" t="n">
        <f aca="false">червень!Q204</f>
        <v>0</v>
      </c>
      <c r="F204" s="13" t="n">
        <f aca="false">червень!F204</f>
        <v>0</v>
      </c>
      <c r="G204" s="13" t="n">
        <f aca="false">червень!G204</f>
        <v>49.94</v>
      </c>
      <c r="H204" s="13" t="n">
        <f aca="false">червень!H204</f>
        <v>0</v>
      </c>
      <c r="I204" s="13" t="n">
        <f aca="false">червень!I204</f>
        <v>4.1</v>
      </c>
      <c r="J204" s="14" t="n">
        <f aca="false">ROUND(G204*I204,2)</f>
        <v>204.75</v>
      </c>
      <c r="K204" s="14"/>
      <c r="L204" s="14"/>
      <c r="M204" s="14"/>
      <c r="N204" s="14" t="n">
        <f aca="false">ROUND((G204*I204)-K204-L204-M204,2)</f>
        <v>204.75</v>
      </c>
      <c r="O204" s="14"/>
      <c r="P204" s="14" t="n">
        <f aca="false">ROUND(IF(D204=0,IF((N204-E204-O204)&gt;0,(N204-E204-O204),0),IF((D204+N204-O204)&gt;0,(D204+N204-O204),0)),2)</f>
        <v>10493.52</v>
      </c>
      <c r="Q204" s="14" t="n">
        <f aca="false">ROUND(IF(E204=0,IF((D204+N204-O204)&lt;0,ABS(D204+N204-O204),0),IF((N204-E204-O204)&lt;0,ABS(N204-E204-O204),0)),2)</f>
        <v>0</v>
      </c>
    </row>
    <row r="205" customFormat="false" ht="15" hidden="false" customHeight="true" outlineLevel="0" collapsed="false">
      <c r="A205" s="12" t="s">
        <v>611</v>
      </c>
      <c r="B205" s="12" t="str">
        <f aca="false">червень!B205</f>
        <v>Лебедєва Т.В.</v>
      </c>
      <c r="C205" s="12" t="s">
        <v>613</v>
      </c>
      <c r="D205" s="14" t="n">
        <f aca="false">червень!P205</f>
        <v>11489.78</v>
      </c>
      <c r="E205" s="14" t="n">
        <f aca="false">червень!Q205</f>
        <v>0</v>
      </c>
      <c r="F205" s="13" t="n">
        <f aca="false">червень!F205</f>
        <v>0</v>
      </c>
      <c r="G205" s="13" t="n">
        <f aca="false">червень!G205</f>
        <v>62.3</v>
      </c>
      <c r="H205" s="13" t="n">
        <f aca="false">червень!H205</f>
        <v>0</v>
      </c>
      <c r="I205" s="13" t="n">
        <f aca="false">червень!I205</f>
        <v>4.1</v>
      </c>
      <c r="J205" s="14" t="n">
        <f aca="false">ROUND(G205*I205,2)</f>
        <v>255.43</v>
      </c>
      <c r="K205" s="14"/>
      <c r="L205" s="14"/>
      <c r="M205" s="14"/>
      <c r="N205" s="14" t="n">
        <f aca="false">ROUND((G205*I205)-K205-L205-M205,2)</f>
        <v>255.43</v>
      </c>
      <c r="O205" s="14"/>
      <c r="P205" s="14" t="n">
        <f aca="false">ROUND(IF(D205=0,IF((N205-E205-O205)&gt;0,(N205-E205-O205),0),IF((D205+N205-O205)&gt;0,(D205+N205-O205),0)),2)</f>
        <v>11745.21</v>
      </c>
      <c r="Q205" s="14" t="n">
        <f aca="false">ROUND(IF(E205=0,IF((D205+N205-O205)&lt;0,ABS(D205+N205-O205),0),IF((N205-E205-O205)&lt;0,ABS(N205-E205-O205),0)),2)</f>
        <v>0</v>
      </c>
    </row>
    <row r="206" customFormat="false" ht="15" hidden="false" customHeight="true" outlineLevel="0" collapsed="false">
      <c r="A206" s="12" t="s">
        <v>614</v>
      </c>
      <c r="B206" s="12" t="str">
        <f aca="false">червень!B206</f>
        <v>Криницький Л.С.</v>
      </c>
      <c r="C206" s="12" t="s">
        <v>616</v>
      </c>
      <c r="D206" s="14" t="n">
        <f aca="false">червень!P206</f>
        <v>1386</v>
      </c>
      <c r="E206" s="14" t="n">
        <f aca="false">червень!Q206</f>
        <v>0</v>
      </c>
      <c r="F206" s="13" t="n">
        <f aca="false">червень!F206</f>
        <v>0</v>
      </c>
      <c r="G206" s="13" t="n">
        <f aca="false">червень!G206</f>
        <v>67.61</v>
      </c>
      <c r="H206" s="13" t="n">
        <f aca="false">червень!H206</f>
        <v>0</v>
      </c>
      <c r="I206" s="13" t="n">
        <f aca="false">червень!I206</f>
        <v>4.1</v>
      </c>
      <c r="J206" s="14" t="n">
        <f aca="false">ROUND(G206*I206,2)</f>
        <v>277.2</v>
      </c>
      <c r="K206" s="14"/>
      <c r="L206" s="14"/>
      <c r="M206" s="14"/>
      <c r="N206" s="14" t="n">
        <f aca="false">ROUND((G206*I206)-K206-L206-M206,2)</f>
        <v>277.2</v>
      </c>
      <c r="O206" s="14"/>
      <c r="P206" s="14" t="n">
        <f aca="false">ROUND(IF(D206=0,IF((N206-E206-O206)&gt;0,(N206-E206-O206),0),IF((D206+N206-O206)&gt;0,(D206+N206-O206),0)),2)</f>
        <v>1663.2</v>
      </c>
      <c r="Q206" s="14" t="n">
        <f aca="false">ROUND(IF(E206=0,IF((D206+N206-O206)&lt;0,ABS(D206+N206-O206),0),IF((N206-E206-O206)&lt;0,ABS(N206-E206-O206),0)),2)</f>
        <v>0</v>
      </c>
    </row>
    <row r="207" customFormat="false" ht="15" hidden="false" customHeight="true" outlineLevel="0" collapsed="false">
      <c r="A207" s="12" t="s">
        <v>617</v>
      </c>
      <c r="B207" s="12" t="str">
        <f aca="false">червень!B207</f>
        <v>Сафонов В.В.</v>
      </c>
      <c r="C207" s="12" t="s">
        <v>619</v>
      </c>
      <c r="D207" s="14" t="n">
        <f aca="false">червень!P207</f>
        <v>14037.26</v>
      </c>
      <c r="E207" s="14" t="n">
        <f aca="false">червень!Q207</f>
        <v>0</v>
      </c>
      <c r="F207" s="13" t="n">
        <f aca="false">червень!F207</f>
        <v>0</v>
      </c>
      <c r="G207" s="13" t="n">
        <f aca="false">червень!G207</f>
        <v>70.38</v>
      </c>
      <c r="H207" s="13" t="n">
        <f aca="false">червень!H207</f>
        <v>0</v>
      </c>
      <c r="I207" s="13" t="n">
        <f aca="false">червень!I207</f>
        <v>4.1</v>
      </c>
      <c r="J207" s="14" t="n">
        <f aca="false">ROUND(G207*I207,2)</f>
        <v>288.56</v>
      </c>
      <c r="K207" s="14"/>
      <c r="L207" s="14"/>
      <c r="M207" s="14"/>
      <c r="N207" s="14" t="n">
        <f aca="false">ROUND((G207*I207)-K207-L207-M207,2)</f>
        <v>288.56</v>
      </c>
      <c r="O207" s="14"/>
      <c r="P207" s="14" t="n">
        <f aca="false">ROUND(IF(D207=0,IF((N207-E207-O207)&gt;0,(N207-E207-O207),0),IF((D207+N207-O207)&gt;0,(D207+N207-O207),0)),2)</f>
        <v>14325.82</v>
      </c>
      <c r="Q207" s="14" t="n">
        <f aca="false">ROUND(IF(E207=0,IF((D207+N207-O207)&lt;0,ABS(D207+N207-O207),0),IF((N207-E207-O207)&lt;0,ABS(N207-E207-O207),0)),2)</f>
        <v>0</v>
      </c>
    </row>
    <row r="208" customFormat="false" ht="15" hidden="false" customHeight="true" outlineLevel="0" collapsed="false">
      <c r="A208" s="12" t="s">
        <v>620</v>
      </c>
      <c r="B208" s="12" t="str">
        <f aca="false">червень!B208</f>
        <v>Мільковська Р.Г.</v>
      </c>
      <c r="C208" s="12" t="s">
        <v>622</v>
      </c>
      <c r="D208" s="14" t="n">
        <f aca="false">червень!P208</f>
        <v>10058.96</v>
      </c>
      <c r="E208" s="14" t="n">
        <f aca="false">червень!Q208</f>
        <v>0</v>
      </c>
      <c r="F208" s="13" t="n">
        <f aca="false">червень!F208</f>
        <v>0</v>
      </c>
      <c r="G208" s="13" t="n">
        <f aca="false">червень!G208</f>
        <v>49.88</v>
      </c>
      <c r="H208" s="13" t="n">
        <f aca="false">червень!H208</f>
        <v>0</v>
      </c>
      <c r="I208" s="13" t="n">
        <f aca="false">червень!I208</f>
        <v>4.1</v>
      </c>
      <c r="J208" s="14" t="n">
        <f aca="false">ROUND(G208*I208,2)</f>
        <v>204.51</v>
      </c>
      <c r="K208" s="14"/>
      <c r="L208" s="14"/>
      <c r="M208" s="14"/>
      <c r="N208" s="14" t="n">
        <f aca="false">ROUND((G208*I208)-K208-L208-M208,2)</f>
        <v>204.51</v>
      </c>
      <c r="O208" s="14"/>
      <c r="P208" s="14" t="n">
        <f aca="false">ROUND(IF(D208=0,IF((N208-E208-O208)&gt;0,(N208-E208-O208),0),IF((D208+N208-O208)&gt;0,(D208+N208-O208),0)),2)</f>
        <v>10263.47</v>
      </c>
      <c r="Q208" s="14" t="n">
        <f aca="false">ROUND(IF(E208=0,IF((D208+N208-O208)&lt;0,ABS(D208+N208-O208),0),IF((N208-E208-O208)&lt;0,ABS(N208-E208-O208),0)),2)</f>
        <v>0</v>
      </c>
    </row>
    <row r="209" customFormat="false" ht="15" hidden="false" customHeight="true" outlineLevel="0" collapsed="false">
      <c r="A209" s="12" t="s">
        <v>623</v>
      </c>
      <c r="B209" s="12" t="str">
        <f aca="false">червень!B209</f>
        <v>Заранкін С.М.</v>
      </c>
      <c r="C209" s="12" t="s">
        <v>625</v>
      </c>
      <c r="D209" s="14" t="n">
        <f aca="false">червень!P209</f>
        <v>11649</v>
      </c>
      <c r="E209" s="14" t="n">
        <f aca="false">червень!Q209</f>
        <v>0</v>
      </c>
      <c r="F209" s="13" t="n">
        <f aca="false">червень!F209</f>
        <v>0</v>
      </c>
      <c r="G209" s="13" t="n">
        <f aca="false">червень!G209</f>
        <v>62.02</v>
      </c>
      <c r="H209" s="13" t="n">
        <f aca="false">червень!H209</f>
        <v>0</v>
      </c>
      <c r="I209" s="13" t="n">
        <f aca="false">червень!I209</f>
        <v>4.1</v>
      </c>
      <c r="J209" s="14" t="n">
        <f aca="false">ROUND(G209*I209,2)</f>
        <v>254.28</v>
      </c>
      <c r="K209" s="14"/>
      <c r="L209" s="14"/>
      <c r="M209" s="14"/>
      <c r="N209" s="14" t="n">
        <f aca="false">ROUND((G209*I209)-K209-L209-M209,2)</f>
        <v>254.28</v>
      </c>
      <c r="O209" s="14"/>
      <c r="P209" s="14" t="n">
        <f aca="false">ROUND(IF(D209=0,IF((N209-E209-O209)&gt;0,(N209-E209-O209),0),IF((D209+N209-O209)&gt;0,(D209+N209-O209),0)),2)</f>
        <v>11903.28</v>
      </c>
      <c r="Q209" s="14" t="n">
        <f aca="false">ROUND(IF(E209=0,IF((D209+N209-O209)&lt;0,ABS(D209+N209-O209),0),IF((N209-E209-O209)&lt;0,ABS(N209-E209-O209),0)),2)</f>
        <v>0</v>
      </c>
    </row>
    <row r="210" customFormat="false" ht="15" hidden="false" customHeight="true" outlineLevel="0" collapsed="false">
      <c r="A210" s="12" t="s">
        <v>626</v>
      </c>
      <c r="B210" s="12" t="str">
        <f aca="false">червень!B210</f>
        <v>Сіянко О.М.</v>
      </c>
      <c r="C210" s="12" t="s">
        <v>628</v>
      </c>
      <c r="D210" s="14" t="n">
        <f aca="false">червень!P210</f>
        <v>4788.88</v>
      </c>
      <c r="E210" s="14" t="n">
        <f aca="false">червень!Q210</f>
        <v>0</v>
      </c>
      <c r="F210" s="13" t="n">
        <f aca="false">червень!F210</f>
        <v>0</v>
      </c>
      <c r="G210" s="13" t="n">
        <f aca="false">червень!G210</f>
        <v>67.6</v>
      </c>
      <c r="H210" s="13" t="n">
        <f aca="false">червень!H210</f>
        <v>0</v>
      </c>
      <c r="I210" s="13" t="n">
        <f aca="false">червень!I210</f>
        <v>4.1</v>
      </c>
      <c r="J210" s="14" t="n">
        <f aca="false">ROUND(G210*I210,2)</f>
        <v>277.16</v>
      </c>
      <c r="K210" s="14"/>
      <c r="L210" s="14"/>
      <c r="M210" s="14"/>
      <c r="N210" s="14" t="n">
        <f aca="false">ROUND((G210*I210)-K210-L210-M210,2)</f>
        <v>277.16</v>
      </c>
      <c r="O210" s="14"/>
      <c r="P210" s="14" t="n">
        <f aca="false">ROUND(IF(D210=0,IF((N210-E210-O210)&gt;0,(N210-E210-O210),0),IF((D210+N210-O210)&gt;0,(D210+N210-O210),0)),2)</f>
        <v>5066.04</v>
      </c>
      <c r="Q210" s="14" t="n">
        <f aca="false">ROUND(IF(E210=0,IF((D210+N210-O210)&lt;0,ABS(D210+N210-O210),0),IF((N210-E210-O210)&lt;0,ABS(N210-E210-O210),0)),2)</f>
        <v>0</v>
      </c>
    </row>
    <row r="211" customFormat="false" ht="15" hidden="false" customHeight="true" outlineLevel="0" collapsed="false">
      <c r="A211" s="12" t="s">
        <v>629</v>
      </c>
      <c r="B211" s="12" t="str">
        <f aca="false">червень!B211</f>
        <v>Осипов В.В.</v>
      </c>
      <c r="C211" s="12" t="s">
        <v>631</v>
      </c>
      <c r="D211" s="14" t="n">
        <f aca="false">червень!P211</f>
        <v>11590.88</v>
      </c>
      <c r="E211" s="14" t="n">
        <f aca="false">червень!Q211</f>
        <v>0</v>
      </c>
      <c r="F211" s="13" t="n">
        <f aca="false">червень!F211</f>
        <v>0</v>
      </c>
      <c r="G211" s="13" t="n">
        <f aca="false">червень!G211</f>
        <v>70.42</v>
      </c>
      <c r="H211" s="13" t="n">
        <f aca="false">червень!H211</f>
        <v>0</v>
      </c>
      <c r="I211" s="13" t="n">
        <f aca="false">червень!I211</f>
        <v>4.1</v>
      </c>
      <c r="J211" s="14" t="n">
        <f aca="false">ROUND(G211*I211,2)</f>
        <v>288.72</v>
      </c>
      <c r="K211" s="14"/>
      <c r="L211" s="14"/>
      <c r="M211" s="14"/>
      <c r="N211" s="14" t="n">
        <f aca="false">ROUND((G211*I211)-K211-L211-M211,2)</f>
        <v>288.72</v>
      </c>
      <c r="O211" s="14"/>
      <c r="P211" s="14" t="n">
        <f aca="false">ROUND(IF(D211=0,IF((N211-E211-O211)&gt;0,(N211-E211-O211),0),IF((D211+N211-O211)&gt;0,(D211+N211-O211),0)),2)</f>
        <v>11879.6</v>
      </c>
      <c r="Q211" s="14" t="n">
        <f aca="false">ROUND(IF(E211=0,IF((D211+N211-O211)&lt;0,ABS(D211+N211-O211),0),IF((N211-E211-O211)&lt;0,ABS(N211-E211-O211),0)),2)</f>
        <v>0</v>
      </c>
    </row>
    <row r="212" customFormat="false" ht="15" hidden="false" customHeight="true" outlineLevel="0" collapsed="false">
      <c r="A212" s="12" t="s">
        <v>632</v>
      </c>
      <c r="B212" s="12" t="str">
        <f aca="false">червень!B212</f>
        <v>Перепьолкін А.Л.</v>
      </c>
      <c r="C212" s="12" t="s">
        <v>634</v>
      </c>
      <c r="D212" s="14" t="n">
        <f aca="false">червень!P212</f>
        <v>1225.08</v>
      </c>
      <c r="E212" s="14" t="n">
        <f aca="false">червень!Q212</f>
        <v>0</v>
      </c>
      <c r="F212" s="13" t="n">
        <f aca="false">червень!F212</f>
        <v>0</v>
      </c>
      <c r="G212" s="13" t="n">
        <f aca="false">червень!G212</f>
        <v>49.8</v>
      </c>
      <c r="H212" s="13" t="n">
        <f aca="false">червень!H212</f>
        <v>0</v>
      </c>
      <c r="I212" s="13" t="n">
        <f aca="false">червень!I212</f>
        <v>4.1</v>
      </c>
      <c r="J212" s="14" t="n">
        <f aca="false">ROUND(G212*I212,2)</f>
        <v>204.18</v>
      </c>
      <c r="K212" s="14"/>
      <c r="L212" s="14"/>
      <c r="M212" s="14"/>
      <c r="N212" s="14" t="n">
        <f aca="false">ROUND((G212*I212)-K212-L212-M212,2)</f>
        <v>204.18</v>
      </c>
      <c r="O212" s="14"/>
      <c r="P212" s="14" t="n">
        <f aca="false">ROUND(IF(D212=0,IF((N212-E212-O212)&gt;0,(N212-E212-O212),0),IF((D212+N212-O212)&gt;0,(D212+N212-O212),0)),2)</f>
        <v>1429.26</v>
      </c>
      <c r="Q212" s="14" t="n">
        <f aca="false">ROUND(IF(E212=0,IF((D212+N212-O212)&lt;0,ABS(D212+N212-O212),0),IF((N212-E212-O212)&lt;0,ABS(N212-E212-O212),0)),2)</f>
        <v>0</v>
      </c>
    </row>
    <row r="213" customFormat="false" ht="15" hidden="false" customHeight="true" outlineLevel="0" collapsed="false">
      <c r="A213" s="12" t="s">
        <v>635</v>
      </c>
      <c r="B213" s="12" t="str">
        <f aca="false">червень!B213</f>
        <v>Синегрибова В.В.</v>
      </c>
      <c r="C213" s="12" t="s">
        <v>637</v>
      </c>
      <c r="D213" s="14" t="n">
        <f aca="false">червень!P213</f>
        <v>2772.54</v>
      </c>
      <c r="E213" s="14" t="n">
        <f aca="false">червень!Q213</f>
        <v>0</v>
      </c>
      <c r="F213" s="13" t="n">
        <f aca="false">червень!F213</f>
        <v>0</v>
      </c>
      <c r="G213" s="13" t="n">
        <f aca="false">червень!G213</f>
        <v>62.7</v>
      </c>
      <c r="H213" s="13" t="n">
        <f aca="false">червень!H213</f>
        <v>0</v>
      </c>
      <c r="I213" s="13" t="n">
        <f aca="false">червень!I213</f>
        <v>4.1</v>
      </c>
      <c r="J213" s="14" t="n">
        <f aca="false">ROUND(G213*I213,2)</f>
        <v>257.07</v>
      </c>
      <c r="K213" s="14"/>
      <c r="L213" s="14"/>
      <c r="M213" s="14"/>
      <c r="N213" s="14" t="n">
        <f aca="false">ROUND((G213*I213)-K213-L213-M213,2)</f>
        <v>257.07</v>
      </c>
      <c r="O213" s="14"/>
      <c r="P213" s="14" t="n">
        <f aca="false">ROUND(IF(D213=0,IF((N213-E213-O213)&gt;0,(N213-E213-O213),0),IF((D213+N213-O213)&gt;0,(D213+N213-O213),0)),2)</f>
        <v>3029.61</v>
      </c>
      <c r="Q213" s="14" t="n">
        <f aca="false">ROUND(IF(E213=0,IF((D213+N213-O213)&lt;0,ABS(D213+N213-O213),0),IF((N213-E213-O213)&lt;0,ABS(N213-E213-O213),0)),2)</f>
        <v>0</v>
      </c>
    </row>
    <row r="214" customFormat="false" ht="15" hidden="false" customHeight="true" outlineLevel="0" collapsed="false">
      <c r="A214" s="12" t="s">
        <v>638</v>
      </c>
      <c r="B214" s="12" t="str">
        <f aca="false">червень!B214</f>
        <v>Юдін М.В.</v>
      </c>
      <c r="C214" s="12" t="s">
        <v>640</v>
      </c>
      <c r="D214" s="14" t="n">
        <f aca="false">червень!P214</f>
        <v>1672.8</v>
      </c>
      <c r="E214" s="14" t="n">
        <f aca="false">червень!Q214</f>
        <v>0</v>
      </c>
      <c r="F214" s="13" t="n">
        <f aca="false">червень!F214</f>
        <v>0</v>
      </c>
      <c r="G214" s="13" t="n">
        <f aca="false">червень!G214</f>
        <v>68</v>
      </c>
      <c r="H214" s="13" t="n">
        <f aca="false">червень!H214</f>
        <v>0</v>
      </c>
      <c r="I214" s="13" t="n">
        <f aca="false">червень!I214</f>
        <v>4.1</v>
      </c>
      <c r="J214" s="14" t="n">
        <f aca="false">ROUND(G214*I214,2)</f>
        <v>278.8</v>
      </c>
      <c r="K214" s="14"/>
      <c r="L214" s="14"/>
      <c r="M214" s="14"/>
      <c r="N214" s="14" t="n">
        <f aca="false">ROUND((G214*I214)-K214-L214-M214,2)</f>
        <v>278.8</v>
      </c>
      <c r="O214" s="14"/>
      <c r="P214" s="14" t="n">
        <f aca="false">ROUND(IF(D214=0,IF((N214-E214-O214)&gt;0,(N214-E214-O214),0),IF((D214+N214-O214)&gt;0,(D214+N214-O214),0)),2)</f>
        <v>1951.6</v>
      </c>
      <c r="Q214" s="14" t="n">
        <f aca="false">ROUND(IF(E214=0,IF((D214+N214-O214)&lt;0,ABS(D214+N214-O214),0),IF((N214-E214-O214)&lt;0,ABS(N214-E214-O214),0)),2)</f>
        <v>0</v>
      </c>
    </row>
    <row r="215" customFormat="false" ht="15" hidden="false" customHeight="true" outlineLevel="0" collapsed="false">
      <c r="A215" s="12" t="s">
        <v>641</v>
      </c>
      <c r="B215" s="12" t="str">
        <f aca="false">червень!B215</f>
        <v>Сергєєва Н.О.</v>
      </c>
      <c r="C215" s="12" t="s">
        <v>643</v>
      </c>
      <c r="D215" s="14" t="n">
        <f aca="false">червень!P215</f>
        <v>1759.48</v>
      </c>
      <c r="E215" s="14" t="n">
        <f aca="false">червень!Q215</f>
        <v>0</v>
      </c>
      <c r="F215" s="13" t="n">
        <f aca="false">червень!F215</f>
        <v>0</v>
      </c>
      <c r="G215" s="13" t="n">
        <f aca="false">червень!G215</f>
        <v>72.1</v>
      </c>
      <c r="H215" s="13" t="n">
        <f aca="false">червень!H215</f>
        <v>0</v>
      </c>
      <c r="I215" s="13" t="n">
        <f aca="false">червень!I215</f>
        <v>4.1</v>
      </c>
      <c r="J215" s="14" t="n">
        <f aca="false">ROUND(G215*I215,2)</f>
        <v>295.61</v>
      </c>
      <c r="K215" s="14"/>
      <c r="L215" s="14"/>
      <c r="M215" s="14"/>
      <c r="N215" s="14" t="n">
        <f aca="false">ROUND((G215*I215)-K215-L215-M215,2)</f>
        <v>295.61</v>
      </c>
      <c r="O215" s="14"/>
      <c r="P215" s="14" t="n">
        <f aca="false">ROUND(IF(D215=0,IF((N215-E215-O215)&gt;0,(N215-E215-O215),0),IF((D215+N215-O215)&gt;0,(D215+N215-O215),0)),2)</f>
        <v>2055.09</v>
      </c>
      <c r="Q215" s="14" t="n">
        <f aca="false">ROUND(IF(E215=0,IF((D215+N215-O215)&lt;0,ABS(D215+N215-O215),0),IF((N215-E215-O215)&lt;0,ABS(N215-E215-O215),0)),2)</f>
        <v>0</v>
      </c>
    </row>
    <row r="216" customFormat="false" ht="15" hidden="false" customHeight="true" outlineLevel="0" collapsed="false">
      <c r="A216" s="12" t="s">
        <v>644</v>
      </c>
      <c r="B216" s="12" t="str">
        <f aca="false">червень!B216</f>
        <v>Рева І.П.</v>
      </c>
      <c r="C216" s="12" t="s">
        <v>646</v>
      </c>
      <c r="D216" s="14" t="n">
        <f aca="false">червень!P216</f>
        <v>1223.1</v>
      </c>
      <c r="E216" s="14" t="n">
        <f aca="false">червень!Q216</f>
        <v>0</v>
      </c>
      <c r="F216" s="13" t="n">
        <f aca="false">червень!F216</f>
        <v>0</v>
      </c>
      <c r="G216" s="13" t="n">
        <f aca="false">червень!G216</f>
        <v>49.72</v>
      </c>
      <c r="H216" s="13" t="n">
        <f aca="false">червень!H216</f>
        <v>0</v>
      </c>
      <c r="I216" s="13" t="n">
        <f aca="false">червень!I216</f>
        <v>4.1</v>
      </c>
      <c r="J216" s="14" t="n">
        <f aca="false">ROUND(G216*I216,2)</f>
        <v>203.85</v>
      </c>
      <c r="K216" s="14"/>
      <c r="L216" s="14"/>
      <c r="M216" s="14"/>
      <c r="N216" s="14" t="n">
        <f aca="false">ROUND((G216*I216)-K216-L216-M216,2)</f>
        <v>203.85</v>
      </c>
      <c r="O216" s="14"/>
      <c r="P216" s="14" t="n">
        <f aca="false">ROUND(IF(D216=0,IF((N216-E216-O216)&gt;0,(N216-E216-O216),0),IF((D216+N216-O216)&gt;0,(D216+N216-O216),0)),2)</f>
        <v>1426.95</v>
      </c>
      <c r="Q216" s="14" t="n">
        <f aca="false">ROUND(IF(E216=0,IF((D216+N216-O216)&lt;0,ABS(D216+N216-O216),0),IF((N216-E216-O216)&lt;0,ABS(N216-E216-O216),0)),2)</f>
        <v>0</v>
      </c>
    </row>
    <row r="217" customFormat="false" ht="15" hidden="false" customHeight="true" outlineLevel="0" collapsed="false">
      <c r="A217" s="12" t="s">
        <v>647</v>
      </c>
      <c r="B217" s="12" t="str">
        <f aca="false">червень!B217</f>
        <v>Почапський Ю.Т.</v>
      </c>
      <c r="C217" s="12" t="s">
        <v>649</v>
      </c>
      <c r="D217" s="14" t="n">
        <f aca="false">червень!P217</f>
        <v>993.85</v>
      </c>
      <c r="E217" s="14" t="n">
        <f aca="false">червень!Q217</f>
        <v>0</v>
      </c>
      <c r="F217" s="13" t="n">
        <f aca="false">червень!F217</f>
        <v>0</v>
      </c>
      <c r="G217" s="13" t="n">
        <f aca="false">червень!G217</f>
        <v>62.39</v>
      </c>
      <c r="H217" s="13" t="n">
        <f aca="false">червень!H217</f>
        <v>0</v>
      </c>
      <c r="I217" s="13" t="n">
        <f aca="false">червень!I217</f>
        <v>4.1</v>
      </c>
      <c r="J217" s="14" t="n">
        <f aca="false">ROUND(G217*I217,2)</f>
        <v>255.8</v>
      </c>
      <c r="K217" s="14"/>
      <c r="L217" s="14"/>
      <c r="M217" s="14"/>
      <c r="N217" s="14" t="n">
        <f aca="false">ROUND((G217*I217)-K217-L217-M217,2)</f>
        <v>255.8</v>
      </c>
      <c r="O217" s="14"/>
      <c r="P217" s="14" t="n">
        <f aca="false">ROUND(IF(D217=0,IF((N217-E217-O217)&gt;0,(N217-E217-O217),0),IF((D217+N217-O217)&gt;0,(D217+N217-O217),0)),2)</f>
        <v>1249.65</v>
      </c>
      <c r="Q217" s="14" t="n">
        <f aca="false">ROUND(IF(E217=0,IF((D217+N217-O217)&lt;0,ABS(D217+N217-O217),0),IF((N217-E217-O217)&lt;0,ABS(N217-E217-O217),0)),2)</f>
        <v>0</v>
      </c>
    </row>
    <row r="218" customFormat="false" ht="15" hidden="false" customHeight="true" outlineLevel="0" collapsed="false">
      <c r="A218" s="12" t="s">
        <v>650</v>
      </c>
      <c r="B218" s="12" t="str">
        <f aca="false">червень!B218</f>
        <v>Васильченко М.П.</v>
      </c>
      <c r="C218" s="12" t="s">
        <v>652</v>
      </c>
      <c r="D218" s="14" t="n">
        <f aca="false">червень!P218</f>
        <v>14165.91</v>
      </c>
      <c r="E218" s="14" t="n">
        <f aca="false">червень!Q218</f>
        <v>0</v>
      </c>
      <c r="F218" s="13" t="n">
        <f aca="false">червень!F218</f>
        <v>0</v>
      </c>
      <c r="G218" s="13" t="n">
        <f aca="false">червень!G218</f>
        <v>67.47</v>
      </c>
      <c r="H218" s="13" t="n">
        <f aca="false">червень!H218</f>
        <v>0</v>
      </c>
      <c r="I218" s="13" t="n">
        <f aca="false">червень!I218</f>
        <v>4.1</v>
      </c>
      <c r="J218" s="14" t="n">
        <f aca="false">ROUND(G218*I218,2)</f>
        <v>276.63</v>
      </c>
      <c r="K218" s="14"/>
      <c r="L218" s="14"/>
      <c r="M218" s="14"/>
      <c r="N218" s="14" t="n">
        <f aca="false">ROUND((G218*I218)-K218-L218-M218,2)</f>
        <v>276.63</v>
      </c>
      <c r="O218" s="14"/>
      <c r="P218" s="14" t="n">
        <f aca="false">ROUND(IF(D218=0,IF((N218-E218-O218)&gt;0,(N218-E218-O218),0),IF((D218+N218-O218)&gt;0,(D218+N218-O218),0)),2)</f>
        <v>14442.54</v>
      </c>
      <c r="Q218" s="14" t="n">
        <f aca="false">ROUND(IF(E218=0,IF((D218+N218-O218)&lt;0,ABS(D218+N218-O218),0),IF((N218-E218-O218)&lt;0,ABS(N218-E218-O218),0)),2)</f>
        <v>0</v>
      </c>
    </row>
    <row r="219" customFormat="false" ht="15" hidden="false" customHeight="true" outlineLevel="0" collapsed="false">
      <c r="A219" s="12" t="s">
        <v>653</v>
      </c>
      <c r="B219" s="12" t="str">
        <f aca="false">червень!B219</f>
        <v>Черненко Т.А.</v>
      </c>
      <c r="C219" s="12" t="s">
        <v>655</v>
      </c>
      <c r="D219" s="14" t="n">
        <f aca="false">червень!P219</f>
        <v>1732.08</v>
      </c>
      <c r="E219" s="14" t="n">
        <f aca="false">червень!Q219</f>
        <v>0</v>
      </c>
      <c r="F219" s="13" t="n">
        <f aca="false">червень!F219</f>
        <v>0</v>
      </c>
      <c r="G219" s="13" t="n">
        <f aca="false">червень!G219</f>
        <v>70.41</v>
      </c>
      <c r="H219" s="13" t="n">
        <f aca="false">червень!H219</f>
        <v>0</v>
      </c>
      <c r="I219" s="13" t="n">
        <f aca="false">червень!I219</f>
        <v>4.1</v>
      </c>
      <c r="J219" s="14" t="n">
        <f aca="false">ROUND(G219*I219,2)</f>
        <v>288.68</v>
      </c>
      <c r="K219" s="14"/>
      <c r="L219" s="14"/>
      <c r="M219" s="14"/>
      <c r="N219" s="14" t="n">
        <f aca="false">ROUND((G219*I219)-K219-L219-M219,2)</f>
        <v>288.68</v>
      </c>
      <c r="O219" s="14"/>
      <c r="P219" s="14" t="n">
        <f aca="false">ROUND(IF(D219=0,IF((N219-E219-O219)&gt;0,(N219-E219-O219),0),IF((D219+N219-O219)&gt;0,(D219+N219-O219),0)),2)</f>
        <v>2020.76</v>
      </c>
      <c r="Q219" s="14" t="n">
        <f aca="false">ROUND(IF(E219=0,IF((D219+N219-O219)&lt;0,ABS(D219+N219-O219),0),IF((N219-E219-O219)&lt;0,ABS(N219-E219-O219),0)),2)</f>
        <v>0</v>
      </c>
    </row>
    <row r="220" customFormat="false" ht="15" hidden="false" customHeight="true" outlineLevel="0" collapsed="false">
      <c r="A220" s="12" t="s">
        <v>656</v>
      </c>
      <c r="B220" s="12" t="str">
        <f aca="false">червень!B220</f>
        <v>Сиротенко Я.О.</v>
      </c>
      <c r="C220" s="12" t="s">
        <v>658</v>
      </c>
      <c r="D220" s="14" t="n">
        <f aca="false">червень!P220</f>
        <v>5267.8</v>
      </c>
      <c r="E220" s="14" t="n">
        <f aca="false">червень!Q220</f>
        <v>0</v>
      </c>
      <c r="F220" s="13" t="n">
        <f aca="false">червень!F220</f>
        <v>0</v>
      </c>
      <c r="G220" s="13" t="n">
        <f aca="false">червень!G220</f>
        <v>49.73</v>
      </c>
      <c r="H220" s="13" t="n">
        <f aca="false">червень!H220</f>
        <v>0</v>
      </c>
      <c r="I220" s="13" t="n">
        <f aca="false">червень!I220</f>
        <v>4.1</v>
      </c>
      <c r="J220" s="14" t="n">
        <f aca="false">ROUND(G220*I220,2)</f>
        <v>203.89</v>
      </c>
      <c r="K220" s="14"/>
      <c r="L220" s="14"/>
      <c r="M220" s="14"/>
      <c r="N220" s="14" t="n">
        <f aca="false">ROUND((G220*I220)-K220-L220-M220,2)</f>
        <v>203.89</v>
      </c>
      <c r="O220" s="14"/>
      <c r="P220" s="14" t="n">
        <f aca="false">ROUND(IF(D220=0,IF((N220-E220-O220)&gt;0,(N220-E220-O220),0),IF((D220+N220-O220)&gt;0,(D220+N220-O220),0)),2)</f>
        <v>5471.69</v>
      </c>
      <c r="Q220" s="14" t="n">
        <f aca="false">ROUND(IF(E220=0,IF((D220+N220-O220)&lt;0,ABS(D220+N220-O220),0),IF((N220-E220-O220)&lt;0,ABS(N220-E220-O220),0)),2)</f>
        <v>0</v>
      </c>
    </row>
    <row r="221" customFormat="false" ht="15.75" hidden="false" customHeight="true" outlineLevel="0" collapsed="false">
      <c r="A221" s="12" t="s">
        <v>659</v>
      </c>
      <c r="B221" s="12" t="str">
        <f aca="false">червень!B221</f>
        <v>Корнюшенко О.О.</v>
      </c>
      <c r="C221" s="12" t="s">
        <v>661</v>
      </c>
      <c r="D221" s="14" t="n">
        <f aca="false">червень!P221</f>
        <v>9050</v>
      </c>
      <c r="E221" s="14" t="n">
        <f aca="false">червень!Q221</f>
        <v>0</v>
      </c>
      <c r="F221" s="13" t="n">
        <f aca="false">червень!F221</f>
        <v>0</v>
      </c>
      <c r="G221" s="13" t="n">
        <f aca="false">червень!G221</f>
        <v>62</v>
      </c>
      <c r="H221" s="13" t="n">
        <f aca="false">червень!H221</f>
        <v>0</v>
      </c>
      <c r="I221" s="13" t="n">
        <f aca="false">червень!I221</f>
        <v>4.1</v>
      </c>
      <c r="J221" s="14" t="n">
        <f aca="false">ROUND(G221*I221,2)</f>
        <v>254.2</v>
      </c>
      <c r="K221" s="14"/>
      <c r="L221" s="14"/>
      <c r="M221" s="14"/>
      <c r="N221" s="14" t="n">
        <f aca="false">ROUND((G221*I221)-K221-L221-M221,2)</f>
        <v>254.2</v>
      </c>
      <c r="O221" s="14"/>
      <c r="P221" s="14" t="n">
        <f aca="false">ROUND(IF(D221=0,IF((N221-E221-O221)&gt;0,(N221-E221-O221),0),IF((D221+N221-O221)&gt;0,(D221+N221-O221),0)),2)</f>
        <v>9304.2</v>
      </c>
      <c r="Q221" s="14" t="n">
        <f aca="false">ROUND(IF(E221=0,IF((D221+N221-O221)&lt;0,ABS(D221+N221-O221),0),IF((N221-E221-O221)&lt;0,ABS(N221-E221-O221),0)),2)</f>
        <v>0</v>
      </c>
    </row>
    <row r="222" customFormat="false" ht="15" hidden="false" customHeight="true" outlineLevel="0" collapsed="false">
      <c r="A222" s="15"/>
      <c r="B222" s="15"/>
      <c r="C222" s="15"/>
      <c r="D222" s="16" t="n">
        <f aca="false">SUM(D7:D221)</f>
        <v>1047188.95</v>
      </c>
      <c r="E222" s="16" t="n">
        <f aca="false">SUM(E7:E221)</f>
        <v>1309.12</v>
      </c>
      <c r="F222" s="16"/>
      <c r="G222" s="20" t="n">
        <f aca="false">SUM(G7:G221)</f>
        <v>11652.42</v>
      </c>
      <c r="H222" s="16" t="n">
        <f aca="false">SUM(H7:H221)</f>
        <v>0</v>
      </c>
      <c r="I222" s="16"/>
      <c r="J222" s="16" t="n">
        <f aca="false">SUM(J7:J221)</f>
        <v>47774.99</v>
      </c>
      <c r="K222" s="16" t="n">
        <f aca="false">SUM(K7:K221)</f>
        <v>0</v>
      </c>
      <c r="L222" s="16" t="n">
        <f aca="false">SUM(L7:L221)</f>
        <v>0</v>
      </c>
      <c r="M222" s="16" t="n">
        <f aca="false">SUM(M7:M221)</f>
        <v>0</v>
      </c>
      <c r="N222" s="16" t="n">
        <f aca="false">SUM(N7:N221)</f>
        <v>47774.99</v>
      </c>
      <c r="O222" s="16" t="n">
        <f aca="false">SUM(O7:O221)</f>
        <v>0</v>
      </c>
      <c r="P222" s="16" t="n">
        <f aca="false">SUM(P7:P221)</f>
        <v>1094555.58</v>
      </c>
      <c r="Q222" s="16" t="n">
        <f aca="false">SUM(Q7:Q221)</f>
        <v>900.76</v>
      </c>
    </row>
    <row r="223" customFormat="false" ht="15.75" hidden="false" customHeight="true" outlineLevel="0" collapsed="false">
      <c r="A223" s="15"/>
      <c r="B223" s="15"/>
      <c r="C223" s="15"/>
      <c r="D223" s="16" t="n">
        <f aca="false">D222-E222</f>
        <v>1045879.83</v>
      </c>
      <c r="E223" s="16"/>
      <c r="F223" s="16"/>
      <c r="G223" s="20"/>
      <c r="H223" s="16"/>
      <c r="I223" s="16"/>
      <c r="J223" s="16"/>
      <c r="K223" s="16"/>
      <c r="L223" s="16"/>
      <c r="M223" s="16"/>
      <c r="N223" s="16"/>
      <c r="O223" s="16"/>
      <c r="P223" s="16" t="n">
        <f aca="false">P222-Q222</f>
        <v>1093654.82</v>
      </c>
      <c r="Q223" s="16"/>
    </row>
    <row r="226" customFormat="false" ht="15" hidden="false" customHeight="false" outlineLevel="0" collapsed="false">
      <c r="U226" s="17" t="n">
        <v>37812.1</v>
      </c>
    </row>
    <row r="227" customFormat="false" ht="15" hidden="false" customHeight="false" outlineLevel="0" collapsed="false">
      <c r="U227" s="17" t="n">
        <f aca="false">O222-U226</f>
        <v>-37812.1</v>
      </c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printOptions headings="false" gridLines="false" gridLinesSet="true" horizontalCentered="true" verticalCentered="false"/>
  <pageMargins left="0" right="0" top="0.354166666666667" bottom="0.157638888888889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8"/>
  <sheetViews>
    <sheetView showFormulas="false" showGridLines="true" showRowColHeaders="true" showZeros="false" rightToLeft="false" tabSelected="false" showOutlineSymbols="true" defaultGridColor="true" view="normal" topLeftCell="A154" colorId="64" zoomScale="90" zoomScaleNormal="90" zoomScalePageLayoutView="100" workbookViewId="0">
      <selection pane="topLeft" activeCell="S221" activeCellId="0" sqref="S2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76"/>
    <col collapsed="false" customWidth="true" hidden="false" outlineLevel="0" max="2" min="2" style="1" width="23.25"/>
    <col collapsed="false" customWidth="true" hidden="false" outlineLevel="0" max="3" min="3" style="1" width="7"/>
    <col collapsed="false" customWidth="true" hidden="false" outlineLevel="0" max="4" min="4" style="1" width="9.26"/>
    <col collapsed="false" customWidth="true" hidden="false" outlineLevel="0" max="6" min="6" style="1" width="5.37"/>
    <col collapsed="false" customWidth="true" hidden="false" outlineLevel="0" max="7" min="7" style="1" width="6.88"/>
    <col collapsed="false" customWidth="true" hidden="false" outlineLevel="0" max="8" min="8" style="1" width="5.63"/>
    <col collapsed="false" customWidth="true" hidden="false" outlineLevel="0" max="9" min="9" style="1" width="6.25"/>
    <col collapsed="false" customWidth="true" hidden="false" outlineLevel="0" max="10" min="10" style="1" width="9.12"/>
    <col collapsed="false" customWidth="true" hidden="false" outlineLevel="0" max="11" min="11" style="1" width="6.63"/>
    <col collapsed="false" customWidth="true" hidden="false" outlineLevel="0" max="12" min="12" style="1" width="7.63"/>
    <col collapsed="false" customWidth="true" hidden="false" outlineLevel="0" max="14" min="14" style="1" width="9.12"/>
    <col collapsed="false" customWidth="true" hidden="false" outlineLevel="0" max="15" min="15" style="1" width="9.63"/>
    <col collapsed="false" customWidth="true" hidden="false" outlineLevel="0" max="16" min="16" style="1" width="9.26"/>
    <col collapsed="false" customWidth="true" hidden="false" outlineLevel="0" max="17" min="17" style="1" width="9.12"/>
    <col collapsed="false" customWidth="true" hidden="false" outlineLevel="0" max="21" min="21" style="1" width="11.63"/>
  </cols>
  <sheetData>
    <row r="1" customFormat="false" ht="15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2" t="s">
        <v>1</v>
      </c>
      <c r="O1" s="2"/>
      <c r="P1" s="2"/>
      <c r="Q1" s="2"/>
    </row>
    <row r="2" customFormat="false" ht="18" hidden="false" customHeight="true" outlineLevel="0" collapsed="false">
      <c r="A2" s="3"/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8.75" hidden="false" customHeight="true" outlineLevel="0" collapsed="false">
      <c r="A3" s="3"/>
      <c r="B3" s="4" t="s">
        <v>668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true" outlineLevel="0" collapsed="false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60" hidden="false" customHeight="true" outlineLevel="0" collapsed="false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7</v>
      </c>
      <c r="Q6" s="19" t="s">
        <v>8</v>
      </c>
    </row>
    <row r="7" customFormat="false" ht="15" hidden="false" customHeight="true" outlineLevel="0" collapsed="false">
      <c r="A7" s="12" t="s">
        <v>19</v>
      </c>
      <c r="B7" s="12" t="str">
        <f aca="false">липень!B7</f>
        <v>Бережний В.М.</v>
      </c>
      <c r="C7" s="12" t="s">
        <v>21</v>
      </c>
      <c r="D7" s="14" t="n">
        <f aca="false">липень!P7</f>
        <v>2667.44</v>
      </c>
      <c r="E7" s="14" t="n">
        <f aca="false">липень!Q7</f>
        <v>0</v>
      </c>
      <c r="F7" s="13" t="n">
        <f aca="false">липень!F7</f>
        <v>0</v>
      </c>
      <c r="G7" s="13" t="n">
        <f aca="false">липень!G7</f>
        <v>64.26</v>
      </c>
      <c r="H7" s="13" t="n">
        <f aca="false">липень!H7</f>
        <v>0</v>
      </c>
      <c r="I7" s="13" t="n">
        <f aca="false">липень!I7</f>
        <v>4.1</v>
      </c>
      <c r="J7" s="14" t="n">
        <f aca="false">ROUND(G7*I7,2)</f>
        <v>263.47</v>
      </c>
      <c r="K7" s="14"/>
      <c r="L7" s="14"/>
      <c r="M7" s="14"/>
      <c r="N7" s="14" t="n">
        <f aca="false">ROUND((G7*I7)-K7-L7-M7,2)</f>
        <v>263.47</v>
      </c>
      <c r="O7" s="14"/>
      <c r="P7" s="14" t="n">
        <f aca="false">ROUND(IF(D7=0,IF((N7-E7-O7)&gt;0,(N7-E7-O7),0),IF((D7+N7-O7)&gt;0,(D7+N7-O7),0)),2)</f>
        <v>2930.91</v>
      </c>
      <c r="Q7" s="14" t="n">
        <f aca="false">ROUND(IF(E7=0,IF((D7+N7-O7)&lt;0,ABS(D7+N7-O7),0),IF((N7-E7-O7)&lt;0,ABS(N7-E7-O7),0)),2)</f>
        <v>0</v>
      </c>
    </row>
    <row r="8" customFormat="false" ht="15" hidden="false" customHeight="true" outlineLevel="0" collapsed="false">
      <c r="A8" s="12" t="s">
        <v>22</v>
      </c>
      <c r="B8" s="12" t="str">
        <f aca="false">липень!B8</f>
        <v>Старикова Т.О.</v>
      </c>
      <c r="C8" s="12" t="s">
        <v>24</v>
      </c>
      <c r="D8" s="14" t="n">
        <f aca="false">липень!P8</f>
        <v>1397.97</v>
      </c>
      <c r="E8" s="14" t="n">
        <f aca="false">липень!Q8</f>
        <v>0</v>
      </c>
      <c r="F8" s="13" t="n">
        <f aca="false">липень!F8</f>
        <v>0</v>
      </c>
      <c r="G8" s="13" t="n">
        <f aca="false">липень!G8</f>
        <v>48.71</v>
      </c>
      <c r="H8" s="13" t="n">
        <f aca="false">липень!H8</f>
        <v>0</v>
      </c>
      <c r="I8" s="13" t="n">
        <f aca="false">липень!I8</f>
        <v>4.1</v>
      </c>
      <c r="J8" s="14" t="n">
        <f aca="false">ROUND(G8*I8,2)</f>
        <v>199.71</v>
      </c>
      <c r="K8" s="14"/>
      <c r="L8" s="14"/>
      <c r="M8" s="14"/>
      <c r="N8" s="14" t="n">
        <f aca="false">ROUND((G8*I8)-K8-L8-M8,2)</f>
        <v>199.71</v>
      </c>
      <c r="O8" s="14"/>
      <c r="P8" s="14" t="n">
        <f aca="false">ROUND(IF(D8=0,IF((N8-E8-O8)&gt;0,(N8-E8-O8),0),IF((D8+N8-O8)&gt;0,(D8+N8-O8),0)),2)</f>
        <v>1597.68</v>
      </c>
      <c r="Q8" s="14" t="n">
        <f aca="false">ROUND(IF(E8=0,IF((D8+N8-O8)&lt;0,ABS(D8+N8-O8),0),IF((N8-E8-O8)&lt;0,ABS(N8-E8-O8),0)),2)</f>
        <v>0</v>
      </c>
    </row>
    <row r="9" customFormat="false" ht="15" hidden="false" customHeight="true" outlineLevel="0" collapsed="false">
      <c r="A9" s="12" t="s">
        <v>25</v>
      </c>
      <c r="B9" s="12" t="str">
        <f aca="false">липень!B9</f>
        <v>Мазур Т.В.</v>
      </c>
      <c r="C9" s="12" t="s">
        <v>27</v>
      </c>
      <c r="D9" s="14" t="n">
        <f aca="false">липень!P9</f>
        <v>1148</v>
      </c>
      <c r="E9" s="14" t="n">
        <f aca="false">липень!Q9</f>
        <v>0</v>
      </c>
      <c r="F9" s="13" t="n">
        <f aca="false">липень!F9</f>
        <v>0</v>
      </c>
      <c r="G9" s="13" t="n">
        <f aca="false">липень!G9</f>
        <v>35</v>
      </c>
      <c r="H9" s="13" t="n">
        <f aca="false">липень!H9</f>
        <v>0</v>
      </c>
      <c r="I9" s="13" t="n">
        <f aca="false">липень!I9</f>
        <v>4.1</v>
      </c>
      <c r="J9" s="14" t="n">
        <f aca="false">ROUND(G9*I9,2)</f>
        <v>143.5</v>
      </c>
      <c r="K9" s="14"/>
      <c r="L9" s="14"/>
      <c r="M9" s="14"/>
      <c r="N9" s="14" t="n">
        <f aca="false">ROUND((G9*I9)-K9-L9-M9,2)</f>
        <v>143.5</v>
      </c>
      <c r="O9" s="14"/>
      <c r="P9" s="14" t="n">
        <f aca="false">ROUND(IF(D9=0,IF((N9-E9-O9)&gt;0,(N9-E9-O9),0),IF((D9+N9-O9)&gt;0,(D9+N9-O9),0)),2)</f>
        <v>1291.5</v>
      </c>
      <c r="Q9" s="14" t="n">
        <f aca="false">ROUND(IF(E9=0,IF((D9+N9-O9)&lt;0,ABS(D9+N9-O9),0),IF((N9-E9-O9)&lt;0,ABS(N9-E9-O9),0)),2)</f>
        <v>0</v>
      </c>
    </row>
    <row r="10" customFormat="false" ht="15" hidden="false" customHeight="true" outlineLevel="0" collapsed="false">
      <c r="A10" s="12" t="s">
        <v>28</v>
      </c>
      <c r="B10" s="12" t="str">
        <f aca="false">липень!B10</f>
        <v>Сокол О.В.</v>
      </c>
      <c r="C10" s="12" t="s">
        <v>30</v>
      </c>
      <c r="D10" s="14" t="n">
        <f aca="false">липень!P10</f>
        <v>1515.36</v>
      </c>
      <c r="E10" s="14" t="n">
        <f aca="false">липень!Q10</f>
        <v>0</v>
      </c>
      <c r="F10" s="13" t="n">
        <f aca="false">липень!F10</f>
        <v>0</v>
      </c>
      <c r="G10" s="13" t="n">
        <f aca="false">липень!G10</f>
        <v>61.6</v>
      </c>
      <c r="H10" s="13" t="n">
        <f aca="false">липень!H10</f>
        <v>0</v>
      </c>
      <c r="I10" s="13" t="n">
        <f aca="false">липень!I10</f>
        <v>4.1</v>
      </c>
      <c r="J10" s="14" t="n">
        <f aca="false">ROUND(G10*I10,2)</f>
        <v>252.56</v>
      </c>
      <c r="K10" s="14"/>
      <c r="L10" s="14"/>
      <c r="M10" s="14"/>
      <c r="N10" s="14" t="n">
        <f aca="false">ROUND((G10*I10)-K10-L10-M10,2)</f>
        <v>252.56</v>
      </c>
      <c r="O10" s="14"/>
      <c r="P10" s="14" t="n">
        <f aca="false">ROUND(IF(D10=0,IF((N10-E10-O10)&gt;0,(N10-E10-O10),0),IF((D10+N10-O10)&gt;0,(D10+N10-O10),0)),2)</f>
        <v>1767.92</v>
      </c>
      <c r="Q10" s="14" t="n">
        <f aca="false">ROUND(IF(E10=0,IF((D10+N10-O10)&lt;0,ABS(D10+N10-O10),0),IF((N10-E10-O10)&lt;0,ABS(N10-E10-O10),0)),2)</f>
        <v>0</v>
      </c>
    </row>
    <row r="11" customFormat="false" ht="15" hidden="false" customHeight="true" outlineLevel="0" collapsed="false">
      <c r="A11" s="12" t="s">
        <v>31</v>
      </c>
      <c r="B11" s="12" t="str">
        <f aca="false">липень!B11</f>
        <v>Семко Л.І.</v>
      </c>
      <c r="C11" s="12" t="s">
        <v>33</v>
      </c>
      <c r="D11" s="14" t="n">
        <f aca="false">липень!P11</f>
        <v>3457.2</v>
      </c>
      <c r="E11" s="14" t="n">
        <f aca="false">липень!Q11</f>
        <v>0</v>
      </c>
      <c r="F11" s="13" t="n">
        <f aca="false">липень!F11</f>
        <v>0</v>
      </c>
      <c r="G11" s="13" t="n">
        <f aca="false">липень!G11</f>
        <v>28.34</v>
      </c>
      <c r="H11" s="13" t="n">
        <f aca="false">липень!H11</f>
        <v>0</v>
      </c>
      <c r="I11" s="13" t="n">
        <f aca="false">липень!I11</f>
        <v>4.1</v>
      </c>
      <c r="J11" s="14" t="n">
        <f aca="false">ROUND(G11*I11,2)</f>
        <v>116.19</v>
      </c>
      <c r="K11" s="14"/>
      <c r="L11" s="14"/>
      <c r="M11" s="14"/>
      <c r="N11" s="14" t="n">
        <f aca="false">ROUND((G11*I11)-K11-L11-M11,2)</f>
        <v>116.19</v>
      </c>
      <c r="O11" s="14"/>
      <c r="P11" s="14" t="n">
        <f aca="false">ROUND(IF(D11=0,IF((N11-E11-O11)&gt;0,(N11-E11-O11),0),IF((D11+N11-O11)&gt;0,(D11+N11-O11),0)),2)</f>
        <v>3573.39</v>
      </c>
      <c r="Q11" s="14" t="n">
        <f aca="false">ROUND(IF(E11=0,IF((D11+N11-O11)&lt;0,ABS(D11+N11-O11),0),IF((N11-E11-O11)&lt;0,ABS(N11-E11-O11),0)),2)</f>
        <v>0</v>
      </c>
    </row>
    <row r="12" customFormat="false" ht="15" hidden="false" customHeight="true" outlineLevel="0" collapsed="false">
      <c r="A12" s="12" t="s">
        <v>31</v>
      </c>
      <c r="B12" s="12" t="str">
        <f aca="false">липень!B12</f>
        <v>Гаркуша Н.І.</v>
      </c>
      <c r="C12" s="12" t="s">
        <v>35</v>
      </c>
      <c r="D12" s="14" t="n">
        <f aca="false">липень!P12</f>
        <v>1861.43</v>
      </c>
      <c r="E12" s="14" t="n">
        <f aca="false">липень!Q12</f>
        <v>0</v>
      </c>
      <c r="F12" s="13" t="n">
        <f aca="false">липень!F12</f>
        <v>0</v>
      </c>
      <c r="G12" s="13" t="n">
        <f aca="false">липень!G12</f>
        <v>36.66</v>
      </c>
      <c r="H12" s="13" t="n">
        <f aca="false">липень!H12</f>
        <v>0</v>
      </c>
      <c r="I12" s="13" t="n">
        <f aca="false">липень!I12</f>
        <v>4.1</v>
      </c>
      <c r="J12" s="14" t="n">
        <f aca="false">ROUND(G12*I12,2)</f>
        <v>150.31</v>
      </c>
      <c r="K12" s="14"/>
      <c r="L12" s="14"/>
      <c r="M12" s="14"/>
      <c r="N12" s="14" t="n">
        <f aca="false">ROUND((G12*I12)-K12-L12-M12,2)</f>
        <v>150.31</v>
      </c>
      <c r="O12" s="14"/>
      <c r="P12" s="14" t="n">
        <f aca="false">ROUND(IF(D12=0,IF((N12-E12-O12)&gt;0,(N12-E12-O12),0),IF((D12+N12-O12)&gt;0,(D12+N12-O12),0)),2)</f>
        <v>2011.74</v>
      </c>
      <c r="Q12" s="14" t="n">
        <f aca="false">ROUND(IF(E12=0,IF((D12+N12-O12)&lt;0,ABS(D12+N12-O12),0),IF((N12-E12-O12)&lt;0,ABS(N12-E12-O12),0)),2)</f>
        <v>0</v>
      </c>
    </row>
    <row r="13" customFormat="false" ht="15" hidden="false" customHeight="true" outlineLevel="0" collapsed="false">
      <c r="A13" s="12" t="s">
        <v>36</v>
      </c>
      <c r="B13" s="12" t="str">
        <f aca="false">липень!B13</f>
        <v>Андріяшев В.М</v>
      </c>
      <c r="C13" s="12" t="s">
        <v>38</v>
      </c>
      <c r="D13" s="14" t="n">
        <f aca="false">липень!P13</f>
        <v>1563.82</v>
      </c>
      <c r="E13" s="14" t="n">
        <f aca="false">липень!Q13</f>
        <v>0</v>
      </c>
      <c r="F13" s="13" t="n">
        <f aca="false">липень!F13</f>
        <v>0</v>
      </c>
      <c r="G13" s="13" t="n">
        <f aca="false">липень!G13</f>
        <v>49.8</v>
      </c>
      <c r="H13" s="13" t="n">
        <f aca="false">липень!H13</f>
        <v>0</v>
      </c>
      <c r="I13" s="13" t="n">
        <f aca="false">липень!I13</f>
        <v>4.1</v>
      </c>
      <c r="J13" s="14" t="n">
        <f aca="false">ROUND(G13*I13,2)</f>
        <v>204.18</v>
      </c>
      <c r="K13" s="14"/>
      <c r="L13" s="14"/>
      <c r="M13" s="14"/>
      <c r="N13" s="14" t="n">
        <f aca="false">ROUND((G13*I13)-K13-L13-M13,2)</f>
        <v>204.18</v>
      </c>
      <c r="O13" s="14"/>
      <c r="P13" s="14" t="n">
        <f aca="false">ROUND(IF(D13=0,IF((N13-E13-O13)&gt;0,(N13-E13-O13),0),IF((D13+N13-O13)&gt;0,(D13+N13-O13),0)),2)</f>
        <v>1768</v>
      </c>
      <c r="Q13" s="14" t="n">
        <f aca="false">ROUND(IF(E13=0,IF((D13+N13-O13)&lt;0,ABS(D13+N13-O13),0),IF((N13-E13-O13)&lt;0,ABS(N13-E13-O13),0)),2)</f>
        <v>0</v>
      </c>
    </row>
    <row r="14" customFormat="false" ht="15" hidden="false" customHeight="true" outlineLevel="0" collapsed="false">
      <c r="A14" s="12" t="s">
        <v>39</v>
      </c>
      <c r="B14" s="12" t="str">
        <f aca="false">липень!B14</f>
        <v>Старчикова О.М.</v>
      </c>
      <c r="C14" s="12" t="s">
        <v>41</v>
      </c>
      <c r="D14" s="14" t="n">
        <f aca="false">липень!P14</f>
        <v>1136.56</v>
      </c>
      <c r="E14" s="14" t="n">
        <f aca="false">липень!Q14</f>
        <v>0</v>
      </c>
      <c r="F14" s="13" t="n">
        <f aca="false">липень!F14</f>
        <v>0</v>
      </c>
      <c r="G14" s="13" t="n">
        <f aca="false">липень!G14</f>
        <v>34.65</v>
      </c>
      <c r="H14" s="13" t="n">
        <f aca="false">липень!H14</f>
        <v>0</v>
      </c>
      <c r="I14" s="13" t="n">
        <f aca="false">липень!I14</f>
        <v>4.1</v>
      </c>
      <c r="J14" s="14" t="n">
        <f aca="false">ROUND(G14*I14,2)</f>
        <v>142.07</v>
      </c>
      <c r="K14" s="14"/>
      <c r="L14" s="14"/>
      <c r="M14" s="14"/>
      <c r="N14" s="14" t="n">
        <f aca="false">ROUND((G14*I14)-K14-L14-M14,2)</f>
        <v>142.07</v>
      </c>
      <c r="O14" s="14"/>
      <c r="P14" s="14" t="n">
        <f aca="false">ROUND(IF(D14=0,IF((N14-E14-O14)&gt;0,(N14-E14-O14),0),IF((D14+N14-O14)&gt;0,(D14+N14-O14),0)),2)</f>
        <v>1278.63</v>
      </c>
      <c r="Q14" s="14" t="n">
        <f aca="false">ROUND(IF(E14=0,IF((D14+N14-O14)&lt;0,ABS(D14+N14-O14),0),IF((N14-E14-O14)&lt;0,ABS(N14-E14-O14),0)),2)</f>
        <v>0</v>
      </c>
    </row>
    <row r="15" customFormat="false" ht="15" hidden="false" customHeight="true" outlineLevel="0" collapsed="false">
      <c r="A15" s="12" t="s">
        <v>42</v>
      </c>
      <c r="B15" s="12" t="str">
        <f aca="false">липень!B15</f>
        <v>Безер Т.М</v>
      </c>
      <c r="C15" s="12" t="s">
        <v>44</v>
      </c>
      <c r="D15" s="14" t="n">
        <f aca="false">липень!P15</f>
        <v>1776.36</v>
      </c>
      <c r="E15" s="14" t="n">
        <f aca="false">липень!Q15</f>
        <v>0</v>
      </c>
      <c r="F15" s="13" t="n">
        <f aca="false">липень!F15</f>
        <v>0</v>
      </c>
      <c r="G15" s="13" t="n">
        <f aca="false">липень!G15</f>
        <v>62.14</v>
      </c>
      <c r="H15" s="13" t="n">
        <f aca="false">липень!H15</f>
        <v>0</v>
      </c>
      <c r="I15" s="13" t="n">
        <f aca="false">липень!I15</f>
        <v>4.1</v>
      </c>
      <c r="J15" s="14" t="n">
        <f aca="false">ROUND(G15*I15,2)</f>
        <v>254.77</v>
      </c>
      <c r="K15" s="14"/>
      <c r="L15" s="14"/>
      <c r="M15" s="14"/>
      <c r="N15" s="14" t="n">
        <f aca="false">ROUND((G15*I15)-K15-L15-M15,2)</f>
        <v>254.77</v>
      </c>
      <c r="O15" s="14"/>
      <c r="P15" s="14" t="n">
        <f aca="false">ROUND(IF(D15=0,IF((N15-E15-O15)&gt;0,(N15-E15-O15),0),IF((D15+N15-O15)&gt;0,(D15+N15-O15),0)),2)</f>
        <v>2031.13</v>
      </c>
      <c r="Q15" s="14" t="n">
        <f aca="false">ROUND(IF(E15=0,IF((D15+N15-O15)&lt;0,ABS(D15+N15-O15),0),IF((N15-E15-O15)&lt;0,ABS(N15-E15-O15),0)),2)</f>
        <v>0</v>
      </c>
    </row>
    <row r="16" customFormat="false" ht="15" hidden="false" customHeight="true" outlineLevel="0" collapsed="false">
      <c r="A16" s="12" t="s">
        <v>45</v>
      </c>
      <c r="B16" s="12" t="str">
        <f aca="false">липень!B16</f>
        <v>Решетило М.М</v>
      </c>
      <c r="C16" s="12" t="s">
        <v>47</v>
      </c>
      <c r="D16" s="14" t="n">
        <f aca="false">липень!P16</f>
        <v>2671.84</v>
      </c>
      <c r="E16" s="14" t="n">
        <f aca="false">липень!Q16</f>
        <v>0</v>
      </c>
      <c r="F16" s="13" t="n">
        <f aca="false">липень!F16</f>
        <v>0</v>
      </c>
      <c r="G16" s="13" t="n">
        <f aca="false">липень!G16</f>
        <v>65.16</v>
      </c>
      <c r="H16" s="13" t="n">
        <f aca="false">липень!H16</f>
        <v>0</v>
      </c>
      <c r="I16" s="13" t="n">
        <f aca="false">липень!I16</f>
        <v>4.1</v>
      </c>
      <c r="J16" s="14" t="n">
        <f aca="false">ROUND(G16*I16,2)</f>
        <v>267.16</v>
      </c>
      <c r="K16" s="14"/>
      <c r="L16" s="14"/>
      <c r="M16" s="14"/>
      <c r="N16" s="14" t="n">
        <f aca="false">ROUND((G16*I16)-K16-L16-M16,2)</f>
        <v>267.16</v>
      </c>
      <c r="O16" s="14"/>
      <c r="P16" s="14" t="n">
        <f aca="false">ROUND(IF(D16=0,IF((N16-E16-O16)&gt;0,(N16-E16-O16),0),IF((D16+N16-O16)&gt;0,(D16+N16-O16),0)),2)</f>
        <v>2939</v>
      </c>
      <c r="Q16" s="14" t="n">
        <f aca="false">ROUND(IF(E16=0,IF((D16+N16-O16)&lt;0,ABS(D16+N16-O16),0),IF((N16-E16-O16)&lt;0,ABS(N16-E16-O16),0)),2)</f>
        <v>0</v>
      </c>
    </row>
    <row r="17" customFormat="false" ht="15" hidden="false" customHeight="true" outlineLevel="0" collapsed="false">
      <c r="A17" s="12" t="s">
        <v>48</v>
      </c>
      <c r="B17" s="12" t="str">
        <f aca="false">липень!B17</f>
        <v>Фесенко О.В.</v>
      </c>
      <c r="C17" s="12" t="s">
        <v>50</v>
      </c>
      <c r="D17" s="14" t="n">
        <f aca="false">липень!P17</f>
        <v>6314.56</v>
      </c>
      <c r="E17" s="14" t="n">
        <f aca="false">липень!Q17</f>
        <v>0</v>
      </c>
      <c r="F17" s="13" t="n">
        <f aca="false">липень!F17</f>
        <v>0</v>
      </c>
      <c r="G17" s="13" t="n">
        <f aca="false">липень!G17</f>
        <v>50.1</v>
      </c>
      <c r="H17" s="13" t="n">
        <f aca="false">липень!H17</f>
        <v>0</v>
      </c>
      <c r="I17" s="13" t="n">
        <f aca="false">липень!I17</f>
        <v>4.1</v>
      </c>
      <c r="J17" s="14" t="n">
        <f aca="false">ROUND(G17*I17,2)</f>
        <v>205.41</v>
      </c>
      <c r="K17" s="14"/>
      <c r="L17" s="14"/>
      <c r="M17" s="14"/>
      <c r="N17" s="14" t="n">
        <f aca="false">ROUND((G17*I17)-K17-L17-M17,2)</f>
        <v>205.41</v>
      </c>
      <c r="O17" s="14"/>
      <c r="P17" s="14" t="n">
        <f aca="false">ROUND(IF(D17=0,IF((N17-E17-O17)&gt;0,(N17-E17-O17),0),IF((D17+N17-O17)&gt;0,(D17+N17-O17),0)),2)</f>
        <v>6519.97</v>
      </c>
      <c r="Q17" s="14" t="n">
        <f aca="false">ROUND(IF(E17=0,IF((D17+N17-O17)&lt;0,ABS(D17+N17-O17),0),IF((N17-E17-O17)&lt;0,ABS(N17-E17-O17),0)),2)</f>
        <v>0</v>
      </c>
    </row>
    <row r="18" customFormat="false" ht="15" hidden="false" customHeight="true" outlineLevel="0" collapsed="false">
      <c r="A18" s="12" t="s">
        <v>51</v>
      </c>
      <c r="B18" s="12" t="str">
        <f aca="false">липень!B18</f>
        <v>Петренко О.М.</v>
      </c>
      <c r="C18" s="12" t="s">
        <v>53</v>
      </c>
      <c r="D18" s="14" t="n">
        <f aca="false">липень!P18</f>
        <v>2558.44</v>
      </c>
      <c r="E18" s="14" t="n">
        <f aca="false">липень!Q18</f>
        <v>0</v>
      </c>
      <c r="F18" s="13" t="n">
        <f aca="false">липень!F18</f>
        <v>0</v>
      </c>
      <c r="G18" s="13" t="n">
        <f aca="false">липень!G18</f>
        <v>35.2</v>
      </c>
      <c r="H18" s="13" t="n">
        <f aca="false">липень!H18</f>
        <v>0</v>
      </c>
      <c r="I18" s="13" t="n">
        <f aca="false">липень!I18</f>
        <v>4.1</v>
      </c>
      <c r="J18" s="14" t="n">
        <f aca="false">ROUND(G18*I18,2)</f>
        <v>144.32</v>
      </c>
      <c r="K18" s="14"/>
      <c r="L18" s="14"/>
      <c r="M18" s="14"/>
      <c r="N18" s="14" t="n">
        <f aca="false">ROUND((G18*I18)-K18-L18-M18,2)</f>
        <v>144.32</v>
      </c>
      <c r="O18" s="14"/>
      <c r="P18" s="14" t="n">
        <f aca="false">ROUND(IF(D18=0,IF((N18-E18-O18)&gt;0,(N18-E18-O18),0),IF((D18+N18-O18)&gt;0,(D18+N18-O18),0)),2)</f>
        <v>2702.76</v>
      </c>
      <c r="Q18" s="14" t="n">
        <f aca="false">ROUND(IF(E18=0,IF((D18+N18-O18)&lt;0,ABS(D18+N18-O18),0),IF((N18-E18-O18)&lt;0,ABS(N18-E18-O18),0)),2)</f>
        <v>0</v>
      </c>
    </row>
    <row r="19" customFormat="false" ht="15" hidden="false" customHeight="true" outlineLevel="0" collapsed="false">
      <c r="A19" s="12" t="s">
        <v>54</v>
      </c>
      <c r="B19" s="12" t="str">
        <f aca="false">липень!B19</f>
        <v>Зеленюк А.Д</v>
      </c>
      <c r="C19" s="12" t="s">
        <v>56</v>
      </c>
      <c r="D19" s="14" t="n">
        <f aca="false">липень!P19</f>
        <v>13981.41</v>
      </c>
      <c r="E19" s="14" t="n">
        <f aca="false">липень!Q19</f>
        <v>0</v>
      </c>
      <c r="F19" s="13" t="n">
        <f aca="false">липень!F19</f>
        <v>0</v>
      </c>
      <c r="G19" s="13" t="n">
        <f aca="false">липень!G19</f>
        <v>62.78</v>
      </c>
      <c r="H19" s="13" t="n">
        <f aca="false">липень!H19</f>
        <v>0</v>
      </c>
      <c r="I19" s="13" t="n">
        <f aca="false">липень!I19</f>
        <v>4.1</v>
      </c>
      <c r="J19" s="14" t="n">
        <f aca="false">ROUND(G19*I19,2)</f>
        <v>257.4</v>
      </c>
      <c r="K19" s="14"/>
      <c r="L19" s="14"/>
      <c r="M19" s="14"/>
      <c r="N19" s="14" t="n">
        <f aca="false">ROUND((G19*I19)-K19-L19-M19,2)</f>
        <v>257.4</v>
      </c>
      <c r="O19" s="14"/>
      <c r="P19" s="14" t="n">
        <f aca="false">ROUND(IF(D19=0,IF((N19-E19-O19)&gt;0,(N19-E19-O19),0),IF((D19+N19-O19)&gt;0,(D19+N19-O19),0)),2)</f>
        <v>14238.81</v>
      </c>
      <c r="Q19" s="14" t="n">
        <f aca="false">ROUND(IF(E19=0,IF((D19+N19-O19)&lt;0,ABS(D19+N19-O19),0),IF((N19-E19-O19)&lt;0,ABS(N19-E19-O19),0)),2)</f>
        <v>0</v>
      </c>
    </row>
    <row r="20" customFormat="false" ht="15" hidden="false" customHeight="true" outlineLevel="0" collapsed="false">
      <c r="A20" s="12" t="s">
        <v>57</v>
      </c>
      <c r="B20" s="12" t="str">
        <f aca="false">липень!B20</f>
        <v>Вовк І.В</v>
      </c>
      <c r="C20" s="12" t="s">
        <v>59</v>
      </c>
      <c r="D20" s="14" t="n">
        <f aca="false">липень!P20</f>
        <v>6009.24</v>
      </c>
      <c r="E20" s="14" t="n">
        <f aca="false">липень!Q20</f>
        <v>0</v>
      </c>
      <c r="F20" s="13" t="n">
        <f aca="false">липень!F20</f>
        <v>0</v>
      </c>
      <c r="G20" s="13" t="n">
        <f aca="false">липень!G20</f>
        <v>28.23</v>
      </c>
      <c r="H20" s="13" t="n">
        <f aca="false">липень!H20</f>
        <v>0</v>
      </c>
      <c r="I20" s="13" t="n">
        <f aca="false">липень!I20</f>
        <v>4.1</v>
      </c>
      <c r="J20" s="14" t="n">
        <f aca="false">ROUND(G20*I20,2)</f>
        <v>115.74</v>
      </c>
      <c r="K20" s="14"/>
      <c r="L20" s="14"/>
      <c r="M20" s="14"/>
      <c r="N20" s="14" t="n">
        <f aca="false">ROUND((G20*I20)-K20-L20-M20,2)</f>
        <v>115.74</v>
      </c>
      <c r="O20" s="14"/>
      <c r="P20" s="14" t="n">
        <f aca="false">ROUND(IF(D20=0,IF((N20-E20-O20)&gt;0,(N20-E20-O20),0),IF((D20+N20-O20)&gt;0,(D20+N20-O20),0)),2)</f>
        <v>6124.98</v>
      </c>
      <c r="Q20" s="14" t="n">
        <f aca="false">ROUND(IF(E20=0,IF((D20+N20-O20)&lt;0,ABS(D20+N20-O20),0),IF((N20-E20-O20)&lt;0,ABS(N20-E20-O20),0)),2)</f>
        <v>0</v>
      </c>
    </row>
    <row r="21" customFormat="false" ht="15" hidden="false" customHeight="true" outlineLevel="0" collapsed="false">
      <c r="A21" s="12" t="s">
        <v>57</v>
      </c>
      <c r="B21" s="12" t="str">
        <f aca="false">липень!B21</f>
        <v>Романовський В.М</v>
      </c>
      <c r="C21" s="12" t="s">
        <v>61</v>
      </c>
      <c r="D21" s="14" t="n">
        <f aca="false">липень!P21</f>
        <v>6537.66</v>
      </c>
      <c r="E21" s="14" t="n">
        <f aca="false">липень!Q21</f>
        <v>0</v>
      </c>
      <c r="F21" s="13" t="n">
        <f aca="false">липень!F21</f>
        <v>0</v>
      </c>
      <c r="G21" s="13" t="n">
        <f aca="false">липень!G21</f>
        <v>37.84</v>
      </c>
      <c r="H21" s="13" t="n">
        <f aca="false">липень!H21</f>
        <v>0</v>
      </c>
      <c r="I21" s="13" t="n">
        <f aca="false">липень!I21</f>
        <v>4.1</v>
      </c>
      <c r="J21" s="14" t="n">
        <f aca="false">ROUND(G21*I21,2)</f>
        <v>155.14</v>
      </c>
      <c r="K21" s="14"/>
      <c r="L21" s="14"/>
      <c r="M21" s="14"/>
      <c r="N21" s="14" t="n">
        <f aca="false">ROUND((G21*I21)-K21-L21-M21,2)</f>
        <v>155.14</v>
      </c>
      <c r="O21" s="14"/>
      <c r="P21" s="14" t="n">
        <f aca="false">ROUND(IF(D21=0,IF((N21-E21-O21)&gt;0,(N21-E21-O21),0),IF((D21+N21-O21)&gt;0,(D21+N21-O21),0)),2)</f>
        <v>6692.8</v>
      </c>
      <c r="Q21" s="14" t="n">
        <f aca="false">ROUND(IF(E21=0,IF((D21+N21-O21)&lt;0,ABS(D21+N21-O21),0),IF((N21-E21-O21)&lt;0,ABS(N21-E21-O21),0)),2)</f>
        <v>0</v>
      </c>
    </row>
    <row r="22" customFormat="false" ht="15" hidden="false" customHeight="true" outlineLevel="0" collapsed="false">
      <c r="A22" s="12" t="s">
        <v>62</v>
      </c>
      <c r="B22" s="12" t="str">
        <f aca="false">липень!B22</f>
        <v>Ряба Л.І</v>
      </c>
      <c r="C22" s="12" t="s">
        <v>64</v>
      </c>
      <c r="D22" s="14" t="n">
        <f aca="false">липень!P22</f>
        <v>1479.72</v>
      </c>
      <c r="E22" s="14" t="n">
        <f aca="false">липень!Q22</f>
        <v>0</v>
      </c>
      <c r="F22" s="13" t="n">
        <f aca="false">липень!F22</f>
        <v>0</v>
      </c>
      <c r="G22" s="13" t="n">
        <f aca="false">липень!G22</f>
        <v>49.24</v>
      </c>
      <c r="H22" s="13" t="n">
        <f aca="false">липень!H22</f>
        <v>0</v>
      </c>
      <c r="I22" s="13" t="n">
        <f aca="false">липень!I22</f>
        <v>4.1</v>
      </c>
      <c r="J22" s="14" t="n">
        <f aca="false">ROUND(G22*I22,2)</f>
        <v>201.88</v>
      </c>
      <c r="K22" s="14"/>
      <c r="L22" s="14"/>
      <c r="M22" s="14"/>
      <c r="N22" s="14" t="n">
        <f aca="false">ROUND((G22*I22)-K22-L22-M22,2)</f>
        <v>201.88</v>
      </c>
      <c r="O22" s="14"/>
      <c r="P22" s="14" t="n">
        <f aca="false">ROUND(IF(D22=0,IF((N22-E22-O22)&gt;0,(N22-E22-O22),0),IF((D22+N22-O22)&gt;0,(D22+N22-O22),0)),2)</f>
        <v>1681.6</v>
      </c>
      <c r="Q22" s="14" t="n">
        <f aca="false">ROUND(IF(E22=0,IF((D22+N22-O22)&lt;0,ABS(D22+N22-O22),0),IF((N22-E22-O22)&lt;0,ABS(N22-E22-O22),0)),2)</f>
        <v>0</v>
      </c>
    </row>
    <row r="23" customFormat="false" ht="15" hidden="false" customHeight="true" outlineLevel="0" collapsed="false">
      <c r="A23" s="12" t="s">
        <v>65</v>
      </c>
      <c r="B23" s="12" t="str">
        <f aca="false">липень!B23</f>
        <v>Кас'янова О.А.</v>
      </c>
      <c r="C23" s="12" t="s">
        <v>67</v>
      </c>
      <c r="D23" s="14" t="n">
        <f aca="false">липень!P23</f>
        <v>1443.17</v>
      </c>
      <c r="E23" s="14" t="n">
        <f aca="false">липень!Q23</f>
        <v>0</v>
      </c>
      <c r="F23" s="13" t="n">
        <f aca="false">липень!F23</f>
        <v>0</v>
      </c>
      <c r="G23" s="13" t="n">
        <f aca="false">липень!G23</f>
        <v>35.1</v>
      </c>
      <c r="H23" s="13" t="n">
        <f aca="false">липень!H23</f>
        <v>0</v>
      </c>
      <c r="I23" s="13" t="n">
        <f aca="false">липень!I23</f>
        <v>4.1</v>
      </c>
      <c r="J23" s="14" t="n">
        <f aca="false">ROUND(G23*I23,2)</f>
        <v>143.91</v>
      </c>
      <c r="K23" s="14"/>
      <c r="L23" s="14"/>
      <c r="M23" s="14"/>
      <c r="N23" s="14" t="n">
        <f aca="false">ROUND((G23*I23)-K23-L23-M23,2)</f>
        <v>143.91</v>
      </c>
      <c r="O23" s="14"/>
      <c r="P23" s="14" t="n">
        <f aca="false">ROUND(IF(D23=0,IF((N23-E23-O23)&gt;0,(N23-E23-O23),0),IF((D23+N23-O23)&gt;0,(D23+N23-O23),0)),2)</f>
        <v>1587.08</v>
      </c>
      <c r="Q23" s="14" t="n">
        <f aca="false">ROUND(IF(E23=0,IF((D23+N23-O23)&lt;0,ABS(D23+N23-O23),0),IF((N23-E23-O23)&lt;0,ABS(N23-E23-O23),0)),2)</f>
        <v>0</v>
      </c>
    </row>
    <row r="24" customFormat="false" ht="15" hidden="false" customHeight="true" outlineLevel="0" collapsed="false">
      <c r="A24" s="12" t="s">
        <v>68</v>
      </c>
      <c r="B24" s="12" t="str">
        <f aca="false">липень!B24</f>
        <v>Корякіна М.В.</v>
      </c>
      <c r="C24" s="12" t="s">
        <v>70</v>
      </c>
      <c r="D24" s="14" t="n">
        <f aca="false">липень!P24</f>
        <v>6476.53</v>
      </c>
      <c r="E24" s="14" t="n">
        <f aca="false">липень!Q24</f>
        <v>0</v>
      </c>
      <c r="F24" s="13" t="n">
        <f aca="false">липень!F24</f>
        <v>0</v>
      </c>
      <c r="G24" s="13" t="n">
        <f aca="false">липень!G24</f>
        <v>61.9</v>
      </c>
      <c r="H24" s="13" t="n">
        <f aca="false">липень!H24</f>
        <v>0</v>
      </c>
      <c r="I24" s="13" t="n">
        <f aca="false">липень!I24</f>
        <v>4.1</v>
      </c>
      <c r="J24" s="14" t="n">
        <f aca="false">ROUND(G24*I24,2)</f>
        <v>253.79</v>
      </c>
      <c r="K24" s="14"/>
      <c r="L24" s="14"/>
      <c r="M24" s="14"/>
      <c r="N24" s="14" t="n">
        <f aca="false">ROUND((G24*I24)-K24-L24-M24,2)</f>
        <v>253.79</v>
      </c>
      <c r="O24" s="14"/>
      <c r="P24" s="14" t="n">
        <f aca="false">ROUND(IF(D24=0,IF((N24-E24-O24)&gt;0,(N24-E24-O24),0),IF((D24+N24-O24)&gt;0,(D24+N24-O24),0)),2)</f>
        <v>6730.32</v>
      </c>
      <c r="Q24" s="14" t="n">
        <f aca="false">ROUND(IF(E24=0,IF((D24+N24-O24)&lt;0,ABS(D24+N24-O24),0),IF((N24-E24-O24)&lt;0,ABS(N24-E24-O24),0)),2)</f>
        <v>0</v>
      </c>
    </row>
    <row r="25" customFormat="false" ht="15" hidden="false" customHeight="true" outlineLevel="0" collapsed="false">
      <c r="A25" s="12" t="s">
        <v>71</v>
      </c>
      <c r="B25" s="12" t="str">
        <f aca="false">липень!B25</f>
        <v>Сокерчак А.В.</v>
      </c>
      <c r="C25" s="12" t="s">
        <v>73</v>
      </c>
      <c r="D25" s="14" t="n">
        <f aca="false">липень!P25</f>
        <v>2174.64</v>
      </c>
      <c r="E25" s="14" t="n">
        <f aca="false">липень!Q25</f>
        <v>0</v>
      </c>
      <c r="F25" s="13" t="n">
        <f aca="false">липень!F25</f>
        <v>0</v>
      </c>
      <c r="G25" s="13" t="n">
        <f aca="false">липень!G25</f>
        <v>66.3</v>
      </c>
      <c r="H25" s="13" t="n">
        <f aca="false">липень!H25</f>
        <v>0</v>
      </c>
      <c r="I25" s="13" t="n">
        <f aca="false">липень!I25</f>
        <v>4.1</v>
      </c>
      <c r="J25" s="14" t="n">
        <f aca="false">ROUND(G25*I25,2)</f>
        <v>271.83</v>
      </c>
      <c r="K25" s="14"/>
      <c r="L25" s="14"/>
      <c r="M25" s="14"/>
      <c r="N25" s="14" t="n">
        <f aca="false">ROUND((G25*I25)-K25-L25-M25,2)</f>
        <v>271.83</v>
      </c>
      <c r="O25" s="14"/>
      <c r="P25" s="14" t="n">
        <f aca="false">ROUND(IF(D25=0,IF((N25-E25-O25)&gt;0,(N25-E25-O25),0),IF((D25+N25-O25)&gt;0,(D25+N25-O25),0)),2)</f>
        <v>2446.47</v>
      </c>
      <c r="Q25" s="14" t="n">
        <f aca="false">ROUND(IF(E25=0,IF((D25+N25-O25)&lt;0,ABS(D25+N25-O25),0),IF((N25-E25-O25)&lt;0,ABS(N25-E25-O25),0)),2)</f>
        <v>0</v>
      </c>
    </row>
    <row r="26" customFormat="false" ht="15" hidden="false" customHeight="true" outlineLevel="0" collapsed="false">
      <c r="A26" s="12" t="s">
        <v>74</v>
      </c>
      <c r="B26" s="12" t="str">
        <f aca="false">липень!B26</f>
        <v>Кравченко В.А</v>
      </c>
      <c r="C26" s="12" t="s">
        <v>76</v>
      </c>
      <c r="D26" s="14" t="n">
        <f aca="false">липень!P26</f>
        <v>1477.49</v>
      </c>
      <c r="E26" s="14" t="n">
        <f aca="false">липень!Q26</f>
        <v>0</v>
      </c>
      <c r="F26" s="13" t="n">
        <f aca="false">липень!F26</f>
        <v>0</v>
      </c>
      <c r="G26" s="13" t="n">
        <f aca="false">липень!G26</f>
        <v>51.48</v>
      </c>
      <c r="H26" s="13" t="n">
        <f aca="false">липень!H26</f>
        <v>0</v>
      </c>
      <c r="I26" s="13" t="n">
        <f aca="false">липень!I26</f>
        <v>4.1</v>
      </c>
      <c r="J26" s="14" t="n">
        <f aca="false">ROUND(G26*I26,2)</f>
        <v>211.07</v>
      </c>
      <c r="K26" s="14"/>
      <c r="L26" s="14"/>
      <c r="M26" s="14"/>
      <c r="N26" s="14" t="n">
        <f aca="false">ROUND((G26*I26)-K26-L26-M26,2)</f>
        <v>211.07</v>
      </c>
      <c r="O26" s="14"/>
      <c r="P26" s="14" t="n">
        <f aca="false">ROUND(IF(D26=0,IF((N26-E26-O26)&gt;0,(N26-E26-O26),0),IF((D26+N26-O26)&gt;0,(D26+N26-O26),0)),2)</f>
        <v>1688.56</v>
      </c>
      <c r="Q26" s="14" t="n">
        <f aca="false">ROUND(IF(E26=0,IF((D26+N26-O26)&lt;0,ABS(D26+N26-O26),0),IF((N26-E26-O26)&lt;0,ABS(N26-E26-O26),0)),2)</f>
        <v>0</v>
      </c>
    </row>
    <row r="27" customFormat="false" ht="15" hidden="false" customHeight="true" outlineLevel="0" collapsed="false">
      <c r="A27" s="12" t="s">
        <v>77</v>
      </c>
      <c r="B27" s="12" t="str">
        <f aca="false">липень!B27</f>
        <v>Чичикало А.С</v>
      </c>
      <c r="C27" s="12" t="s">
        <v>79</v>
      </c>
      <c r="D27" s="14" t="n">
        <f aca="false">липень!P27</f>
        <v>436.51</v>
      </c>
      <c r="E27" s="14" t="n">
        <f aca="false">липень!Q27</f>
        <v>0</v>
      </c>
      <c r="F27" s="13" t="n">
        <f aca="false">липень!F27</f>
        <v>0</v>
      </c>
      <c r="G27" s="13" t="n">
        <f aca="false">липень!G27</f>
        <v>35.1</v>
      </c>
      <c r="H27" s="13" t="n">
        <f aca="false">липень!H27</f>
        <v>0</v>
      </c>
      <c r="I27" s="13" t="n">
        <f aca="false">липень!I27</f>
        <v>4.1</v>
      </c>
      <c r="J27" s="14" t="n">
        <f aca="false">ROUND(G27*I27,2)</f>
        <v>143.91</v>
      </c>
      <c r="K27" s="14"/>
      <c r="L27" s="14"/>
      <c r="M27" s="14"/>
      <c r="N27" s="14" t="n">
        <f aca="false">ROUND((G27*I27)-K27-L27-M27,2)</f>
        <v>143.91</v>
      </c>
      <c r="O27" s="14"/>
      <c r="P27" s="14" t="n">
        <f aca="false">ROUND(IF(D27=0,IF((N27-E27-O27)&gt;0,(N27-E27-O27),0),IF((D27+N27-O27)&gt;0,(D27+N27-O27),0)),2)</f>
        <v>580.42</v>
      </c>
      <c r="Q27" s="14" t="n">
        <f aca="false">ROUND(IF(E27=0,IF((D27+N27-O27)&lt;0,ABS(D27+N27-O27),0),IF((N27-E27-O27)&lt;0,ABS(N27-E27-O27),0)),2)</f>
        <v>0</v>
      </c>
    </row>
    <row r="28" customFormat="false" ht="15" hidden="false" customHeight="true" outlineLevel="0" collapsed="false">
      <c r="A28" s="12" t="s">
        <v>80</v>
      </c>
      <c r="B28" s="12" t="str">
        <f aca="false">липень!B28</f>
        <v>Сільващук А.А</v>
      </c>
      <c r="C28" s="12" t="s">
        <v>82</v>
      </c>
      <c r="D28" s="14" t="n">
        <f aca="false">липень!P28</f>
        <v>1799.49</v>
      </c>
      <c r="E28" s="14" t="n">
        <f aca="false">липень!Q28</f>
        <v>0</v>
      </c>
      <c r="F28" s="13" t="n">
        <f aca="false">липень!F28</f>
        <v>0</v>
      </c>
      <c r="G28" s="13" t="n">
        <f aca="false">липень!G28</f>
        <v>62.7</v>
      </c>
      <c r="H28" s="13" t="n">
        <f aca="false">липень!H28</f>
        <v>0</v>
      </c>
      <c r="I28" s="13" t="n">
        <f aca="false">липень!I28</f>
        <v>4.1</v>
      </c>
      <c r="J28" s="14" t="n">
        <f aca="false">ROUND(G28*I28,2)</f>
        <v>257.07</v>
      </c>
      <c r="K28" s="14"/>
      <c r="L28" s="14"/>
      <c r="M28" s="14"/>
      <c r="N28" s="14" t="n">
        <f aca="false">ROUND((G28*I28)-K28-L28-M28,2)</f>
        <v>257.07</v>
      </c>
      <c r="O28" s="14"/>
      <c r="P28" s="14" t="n">
        <f aca="false">ROUND(IF(D28=0,IF((N28-E28-O28)&gt;0,(N28-E28-O28),0),IF((D28+N28-O28)&gt;0,(D28+N28-O28),0)),2)</f>
        <v>2056.56</v>
      </c>
      <c r="Q28" s="14" t="n">
        <f aca="false">ROUND(IF(E28=0,IF((D28+N28-O28)&lt;0,ABS(D28+N28-O28),0),IF((N28-E28-O28)&lt;0,ABS(N28-E28-O28),0)),2)</f>
        <v>0</v>
      </c>
    </row>
    <row r="29" customFormat="false" ht="15" hidden="false" customHeight="true" outlineLevel="0" collapsed="false">
      <c r="A29" s="12" t="s">
        <v>83</v>
      </c>
      <c r="B29" s="12" t="str">
        <f aca="false">липень!B29</f>
        <v>Стеценко Г.М</v>
      </c>
      <c r="C29" s="12" t="s">
        <v>85</v>
      </c>
      <c r="D29" s="14" t="n">
        <f aca="false">липень!P29</f>
        <v>2142.48</v>
      </c>
      <c r="E29" s="14" t="n">
        <f aca="false">липень!Q29</f>
        <v>0</v>
      </c>
      <c r="F29" s="13" t="n">
        <f aca="false">липень!F29</f>
        <v>0</v>
      </c>
      <c r="G29" s="13" t="n">
        <f aca="false">липень!G29</f>
        <v>65.32</v>
      </c>
      <c r="H29" s="13" t="n">
        <f aca="false">липень!H29</f>
        <v>0</v>
      </c>
      <c r="I29" s="13" t="n">
        <f aca="false">липень!I29</f>
        <v>4.1</v>
      </c>
      <c r="J29" s="14" t="n">
        <f aca="false">ROUND(G29*I29,2)</f>
        <v>267.81</v>
      </c>
      <c r="K29" s="14"/>
      <c r="L29" s="14"/>
      <c r="M29" s="14"/>
      <c r="N29" s="14" t="n">
        <f aca="false">ROUND((G29*I29)-K29-L29-M29,2)</f>
        <v>267.81</v>
      </c>
      <c r="O29" s="14"/>
      <c r="P29" s="14" t="n">
        <f aca="false">ROUND(IF(D29=0,IF((N29-E29-O29)&gt;0,(N29-E29-O29),0),IF((D29+N29-O29)&gt;0,(D29+N29-O29),0)),2)</f>
        <v>2410.29</v>
      </c>
      <c r="Q29" s="14" t="n">
        <f aca="false">ROUND(IF(E29=0,IF((D29+N29-O29)&lt;0,ABS(D29+N29-O29),0),IF((N29-E29-O29)&lt;0,ABS(N29-E29-O29),0)),2)</f>
        <v>0</v>
      </c>
    </row>
    <row r="30" customFormat="false" ht="15" hidden="false" customHeight="true" outlineLevel="0" collapsed="false">
      <c r="A30" s="12" t="s">
        <v>86</v>
      </c>
      <c r="B30" s="12" t="str">
        <f aca="false">липень!B30</f>
        <v>Кирдячкіна П.А</v>
      </c>
      <c r="C30" s="12" t="s">
        <v>88</v>
      </c>
      <c r="D30" s="14" t="n">
        <f aca="false">липень!P30</f>
        <v>1375.87</v>
      </c>
      <c r="E30" s="14" t="n">
        <f aca="false">липень!Q30</f>
        <v>0</v>
      </c>
      <c r="F30" s="13" t="n">
        <f aca="false">липень!F30</f>
        <v>0</v>
      </c>
      <c r="G30" s="13" t="n">
        <f aca="false">липень!G30</f>
        <v>49.7</v>
      </c>
      <c r="H30" s="13" t="n">
        <f aca="false">липень!H30</f>
        <v>0</v>
      </c>
      <c r="I30" s="13" t="n">
        <f aca="false">липень!I30</f>
        <v>4.1</v>
      </c>
      <c r="J30" s="14" t="n">
        <f aca="false">ROUND(G30*I30,2)</f>
        <v>203.77</v>
      </c>
      <c r="K30" s="14"/>
      <c r="L30" s="14"/>
      <c r="M30" s="14"/>
      <c r="N30" s="14" t="n">
        <f aca="false">ROUND((G30*I30)-K30-L30-M30,2)</f>
        <v>203.77</v>
      </c>
      <c r="O30" s="14"/>
      <c r="P30" s="14" t="n">
        <f aca="false">ROUND(IF(D30=0,IF((N30-E30-O30)&gt;0,(N30-E30-O30),0),IF((D30+N30-O30)&gt;0,(D30+N30-O30),0)),2)</f>
        <v>1579.64</v>
      </c>
      <c r="Q30" s="14" t="n">
        <f aca="false">ROUND(IF(E30=0,IF((D30+N30-O30)&lt;0,ABS(D30+N30-O30),0),IF((N30-E30-O30)&lt;0,ABS(N30-E30-O30),0)),2)</f>
        <v>0</v>
      </c>
    </row>
    <row r="31" customFormat="false" ht="15" hidden="false" customHeight="true" outlineLevel="0" collapsed="false">
      <c r="A31" s="12" t="s">
        <v>89</v>
      </c>
      <c r="B31" s="12" t="str">
        <f aca="false">липень!B31</f>
        <v>Фоміченко Л.А</v>
      </c>
      <c r="C31" s="12" t="s">
        <v>91</v>
      </c>
      <c r="D31" s="14" t="n">
        <f aca="false">липень!P31</f>
        <v>4688.13</v>
      </c>
      <c r="E31" s="14" t="n">
        <f aca="false">липень!Q31</f>
        <v>0</v>
      </c>
      <c r="F31" s="13" t="n">
        <f aca="false">липень!F31</f>
        <v>0</v>
      </c>
      <c r="G31" s="13" t="n">
        <f aca="false">липень!G31</f>
        <v>35.1</v>
      </c>
      <c r="H31" s="13" t="n">
        <f aca="false">липень!H31</f>
        <v>0</v>
      </c>
      <c r="I31" s="13" t="n">
        <f aca="false">липень!I31</f>
        <v>4.1</v>
      </c>
      <c r="J31" s="14" t="n">
        <f aca="false">ROUND(G31*I31,2)</f>
        <v>143.91</v>
      </c>
      <c r="K31" s="14"/>
      <c r="L31" s="14"/>
      <c r="M31" s="14"/>
      <c r="N31" s="14" t="n">
        <f aca="false">ROUND((G31*I31)-K31-L31-M31,2)</f>
        <v>143.91</v>
      </c>
      <c r="O31" s="14"/>
      <c r="P31" s="14" t="n">
        <f aca="false">ROUND(IF(D31=0,IF((N31-E31-O31)&gt;0,(N31-E31-O31),0),IF((D31+N31-O31)&gt;0,(D31+N31-O31),0)),2)</f>
        <v>4832.04</v>
      </c>
      <c r="Q31" s="14" t="n">
        <f aca="false">ROUND(IF(E31=0,IF((D31+N31-O31)&lt;0,ABS(D31+N31-O31),0),IF((N31-E31-O31)&lt;0,ABS(N31-E31-O31),0)),2)</f>
        <v>0</v>
      </c>
    </row>
    <row r="32" customFormat="false" ht="15" hidden="false" customHeight="true" outlineLevel="0" collapsed="false">
      <c r="A32" s="12" t="s">
        <v>92</v>
      </c>
      <c r="B32" s="12" t="str">
        <f aca="false">липень!B32</f>
        <v>Сердюк А.Г</v>
      </c>
      <c r="C32" s="12" t="s">
        <v>94</v>
      </c>
      <c r="D32" s="14" t="n">
        <f aca="false">липень!P32</f>
        <v>2043.71</v>
      </c>
      <c r="E32" s="14" t="n">
        <f aca="false">липень!Q32</f>
        <v>0</v>
      </c>
      <c r="F32" s="13" t="n">
        <f aca="false">липень!F32</f>
        <v>0</v>
      </c>
      <c r="G32" s="13" t="n">
        <f aca="false">липень!G32</f>
        <v>62.31</v>
      </c>
      <c r="H32" s="13" t="n">
        <f aca="false">липень!H32</f>
        <v>0</v>
      </c>
      <c r="I32" s="13" t="n">
        <f aca="false">липень!I32</f>
        <v>4.1</v>
      </c>
      <c r="J32" s="14" t="n">
        <f aca="false">ROUND(G32*I32,2)</f>
        <v>255.47</v>
      </c>
      <c r="K32" s="14"/>
      <c r="L32" s="14"/>
      <c r="M32" s="14"/>
      <c r="N32" s="14" t="n">
        <f aca="false">ROUND((G32*I32)-K32-L32-M32,2)</f>
        <v>255.47</v>
      </c>
      <c r="O32" s="14"/>
      <c r="P32" s="14" t="n">
        <f aca="false">ROUND(IF(D32=0,IF((N32-E32-O32)&gt;0,(N32-E32-O32),0),IF((D32+N32-O32)&gt;0,(D32+N32-O32),0)),2)</f>
        <v>2299.18</v>
      </c>
      <c r="Q32" s="14" t="n">
        <f aca="false">ROUND(IF(E32=0,IF((D32+N32-O32)&lt;0,ABS(D32+N32-O32),0),IF((N32-E32-O32)&lt;0,ABS(N32-E32-O32),0)),2)</f>
        <v>0</v>
      </c>
    </row>
    <row r="33" customFormat="false" ht="15" hidden="false" customHeight="true" outlineLevel="0" collapsed="false">
      <c r="A33" s="12" t="s">
        <v>95</v>
      </c>
      <c r="B33" s="12" t="str">
        <f aca="false">липень!B33</f>
        <v>Михальченко Г.М</v>
      </c>
      <c r="C33" s="12" t="s">
        <v>97</v>
      </c>
      <c r="D33" s="14" t="n">
        <f aca="false">липень!P33</f>
        <v>14253.86</v>
      </c>
      <c r="E33" s="14" t="n">
        <f aca="false">липень!Q33</f>
        <v>0</v>
      </c>
      <c r="F33" s="13" t="n">
        <f aca="false">липень!F33</f>
        <v>0</v>
      </c>
      <c r="G33" s="13" t="n">
        <f aca="false">липень!G33</f>
        <v>65.04</v>
      </c>
      <c r="H33" s="13" t="n">
        <f aca="false">липень!H33</f>
        <v>0</v>
      </c>
      <c r="I33" s="13" t="n">
        <f aca="false">липень!I33</f>
        <v>4.1</v>
      </c>
      <c r="J33" s="14" t="n">
        <f aca="false">ROUND(G33*I33,2)</f>
        <v>266.66</v>
      </c>
      <c r="K33" s="14"/>
      <c r="L33" s="14"/>
      <c r="M33" s="14"/>
      <c r="N33" s="14" t="n">
        <f aca="false">ROUND((G33*I33)-K33-L33-M33,2)</f>
        <v>266.66</v>
      </c>
      <c r="O33" s="14"/>
      <c r="P33" s="14" t="n">
        <f aca="false">ROUND(IF(D33=0,IF((N33-E33-O33)&gt;0,(N33-E33-O33),0),IF((D33+N33-O33)&gt;0,(D33+N33-O33),0)),2)</f>
        <v>14520.52</v>
      </c>
      <c r="Q33" s="14" t="n">
        <f aca="false">ROUND(IF(E33=0,IF((D33+N33-O33)&lt;0,ABS(D33+N33-O33),0),IF((N33-E33-O33)&lt;0,ABS(N33-E33-O33),0)),2)</f>
        <v>0</v>
      </c>
    </row>
    <row r="34" customFormat="false" ht="15" hidden="false" customHeight="true" outlineLevel="0" collapsed="false">
      <c r="A34" s="12" t="s">
        <v>98</v>
      </c>
      <c r="B34" s="12" t="str">
        <f aca="false">липень!B34</f>
        <v>Замуховська Я.С</v>
      </c>
      <c r="C34" s="12" t="s">
        <v>100</v>
      </c>
      <c r="D34" s="14" t="n">
        <f aca="false">липень!P34</f>
        <v>1837.62</v>
      </c>
      <c r="E34" s="14" t="n">
        <f aca="false">липень!Q34</f>
        <v>0</v>
      </c>
      <c r="F34" s="13" t="n">
        <f aca="false">липень!F34</f>
        <v>0</v>
      </c>
      <c r="G34" s="13" t="n">
        <f aca="false">липень!G34</f>
        <v>49.8</v>
      </c>
      <c r="H34" s="13" t="n">
        <f aca="false">липень!H34</f>
        <v>0</v>
      </c>
      <c r="I34" s="13" t="n">
        <f aca="false">липень!I34</f>
        <v>4.1</v>
      </c>
      <c r="J34" s="14" t="n">
        <f aca="false">ROUND(G34*I34,2)</f>
        <v>204.18</v>
      </c>
      <c r="K34" s="14"/>
      <c r="L34" s="14"/>
      <c r="M34" s="14"/>
      <c r="N34" s="14" t="n">
        <f aca="false">ROUND((G34*I34)-K34-L34-M34,2)</f>
        <v>204.18</v>
      </c>
      <c r="O34" s="14"/>
      <c r="P34" s="14" t="n">
        <f aca="false">ROUND(IF(D34=0,IF((N34-E34-O34)&gt;0,(N34-E34-O34),0),IF((D34+N34-O34)&gt;0,(D34+N34-O34),0)),2)</f>
        <v>2041.8</v>
      </c>
      <c r="Q34" s="14" t="n">
        <f aca="false">ROUND(IF(E34=0,IF((D34+N34-O34)&lt;0,ABS(D34+N34-O34),0),IF((N34-E34-O34)&lt;0,ABS(N34-E34-O34),0)),2)</f>
        <v>0</v>
      </c>
    </row>
    <row r="35" customFormat="false" ht="15" hidden="false" customHeight="true" outlineLevel="0" collapsed="false">
      <c r="A35" s="12" t="s">
        <v>101</v>
      </c>
      <c r="B35" s="12" t="str">
        <f aca="false">липень!B35</f>
        <v>Мержиєвська Г.К</v>
      </c>
      <c r="C35" s="12" t="s">
        <v>103</v>
      </c>
      <c r="D35" s="14" t="n">
        <f aca="false">липень!P35</f>
        <v>1297.8</v>
      </c>
      <c r="E35" s="14" t="n">
        <f aca="false">липень!Q35</f>
        <v>0</v>
      </c>
      <c r="F35" s="13" t="n">
        <f aca="false">липень!F35</f>
        <v>0</v>
      </c>
      <c r="G35" s="13" t="n">
        <f aca="false">липень!G35</f>
        <v>35.17</v>
      </c>
      <c r="H35" s="13" t="n">
        <f aca="false">липень!H35</f>
        <v>0</v>
      </c>
      <c r="I35" s="13" t="n">
        <f aca="false">липень!I35</f>
        <v>4.1</v>
      </c>
      <c r="J35" s="14" t="n">
        <f aca="false">ROUND(G35*I35,2)</f>
        <v>144.2</v>
      </c>
      <c r="K35" s="14"/>
      <c r="L35" s="14"/>
      <c r="M35" s="14"/>
      <c r="N35" s="14" t="n">
        <f aca="false">ROUND((G35*I35)-K35-L35-M35,2)</f>
        <v>144.2</v>
      </c>
      <c r="O35" s="14"/>
      <c r="P35" s="14" t="n">
        <f aca="false">ROUND(IF(D35=0,IF((N35-E35-O35)&gt;0,(N35-E35-O35),0),IF((D35+N35-O35)&gt;0,(D35+N35-O35),0)),2)</f>
        <v>1442</v>
      </c>
      <c r="Q35" s="14" t="n">
        <f aca="false">ROUND(IF(E35=0,IF((D35+N35-O35)&lt;0,ABS(D35+N35-O35),0),IF((N35-E35-O35)&lt;0,ABS(N35-E35-O35),0)),2)</f>
        <v>0</v>
      </c>
    </row>
    <row r="36" customFormat="false" ht="15" hidden="false" customHeight="true" outlineLevel="0" collapsed="false">
      <c r="A36" s="12" t="s">
        <v>104</v>
      </c>
      <c r="B36" s="12" t="str">
        <f aca="false">липень!B36</f>
        <v>Кулакова Л.В.</v>
      </c>
      <c r="C36" s="12" t="s">
        <v>106</v>
      </c>
      <c r="D36" s="14" t="n">
        <f aca="false">липень!P36</f>
        <v>1792.91</v>
      </c>
      <c r="E36" s="14" t="n">
        <f aca="false">липень!Q36</f>
        <v>0</v>
      </c>
      <c r="F36" s="13" t="n">
        <f aca="false">липень!F36</f>
        <v>0</v>
      </c>
      <c r="G36" s="13" t="n">
        <f aca="false">липень!G36</f>
        <v>62.47</v>
      </c>
      <c r="H36" s="13" t="n">
        <f aca="false">липень!H36</f>
        <v>0</v>
      </c>
      <c r="I36" s="13" t="n">
        <f aca="false">липень!I36</f>
        <v>4.1</v>
      </c>
      <c r="J36" s="14" t="n">
        <f aca="false">ROUND(G36*I36,2)</f>
        <v>256.13</v>
      </c>
      <c r="K36" s="14"/>
      <c r="L36" s="14"/>
      <c r="M36" s="14"/>
      <c r="N36" s="14" t="n">
        <f aca="false">ROUND((G36*I36)-K36-L36-M36,2)</f>
        <v>256.13</v>
      </c>
      <c r="O36" s="14"/>
      <c r="P36" s="14" t="n">
        <f aca="false">ROUND(IF(D36=0,IF((N36-E36-O36)&gt;0,(N36-E36-O36),0),IF((D36+N36-O36)&gt;0,(D36+N36-O36),0)),2)</f>
        <v>2049.04</v>
      </c>
      <c r="Q36" s="14" t="n">
        <f aca="false">ROUND(IF(E36=0,IF((D36+N36-O36)&lt;0,ABS(D36+N36-O36),0),IF((N36-E36-O36)&lt;0,ABS(N36-E36-O36),0)),2)</f>
        <v>0</v>
      </c>
    </row>
    <row r="37" customFormat="false" ht="15" hidden="false" customHeight="true" outlineLevel="0" collapsed="false">
      <c r="A37" s="12" t="s">
        <v>107</v>
      </c>
      <c r="B37" s="12" t="str">
        <f aca="false">липень!B37</f>
        <v>Бочаров В.Л.</v>
      </c>
      <c r="C37" s="12" t="s">
        <v>109</v>
      </c>
      <c r="D37" s="14" t="n">
        <f aca="false">липень!P37</f>
        <v>8870.58</v>
      </c>
      <c r="E37" s="14" t="n">
        <f aca="false">липень!Q37</f>
        <v>0</v>
      </c>
      <c r="F37" s="13" t="n">
        <f aca="false">липень!F37</f>
        <v>0</v>
      </c>
      <c r="G37" s="13" t="n">
        <f aca="false">липень!G37</f>
        <v>65.75</v>
      </c>
      <c r="H37" s="13" t="n">
        <f aca="false">липень!H37</f>
        <v>0</v>
      </c>
      <c r="I37" s="13" t="n">
        <f aca="false">липень!I37</f>
        <v>4.1</v>
      </c>
      <c r="J37" s="14" t="n">
        <f aca="false">ROUND(G37*I37,2)</f>
        <v>269.58</v>
      </c>
      <c r="K37" s="14"/>
      <c r="L37" s="14"/>
      <c r="M37" s="14"/>
      <c r="N37" s="14" t="n">
        <f aca="false">ROUND((G37*I37)-K37-L37-M37,2)</f>
        <v>269.58</v>
      </c>
      <c r="O37" s="14"/>
      <c r="P37" s="14" t="n">
        <f aca="false">ROUND(IF(D37=0,IF((N37-E37-O37)&gt;0,(N37-E37-O37),0),IF((D37+N37-O37)&gt;0,(D37+N37-O37),0)),2)</f>
        <v>9140.16</v>
      </c>
      <c r="Q37" s="14" t="n">
        <f aca="false">ROUND(IF(E37=0,IF((D37+N37-O37)&lt;0,ABS(D37+N37-O37),0),IF((N37-E37-O37)&lt;0,ABS(N37-E37-O37),0)),2)</f>
        <v>0</v>
      </c>
    </row>
    <row r="38" customFormat="false" ht="15" hidden="false" customHeight="true" outlineLevel="0" collapsed="false">
      <c r="A38" s="12" t="s">
        <v>110</v>
      </c>
      <c r="B38" s="12" t="str">
        <f aca="false">липень!B38</f>
        <v>Лучков В.Л.</v>
      </c>
      <c r="C38" s="12" t="s">
        <v>112</v>
      </c>
      <c r="D38" s="14" t="n">
        <f aca="false">липень!P38</f>
        <v>10994.94</v>
      </c>
      <c r="E38" s="14" t="n">
        <f aca="false">липень!Q38</f>
        <v>0</v>
      </c>
      <c r="F38" s="13" t="n">
        <f aca="false">липень!F38</f>
        <v>0</v>
      </c>
      <c r="G38" s="13" t="n">
        <f aca="false">липень!G38</f>
        <v>49.7</v>
      </c>
      <c r="H38" s="13" t="n">
        <f aca="false">липень!H38</f>
        <v>0</v>
      </c>
      <c r="I38" s="13" t="n">
        <f aca="false">липень!I38</f>
        <v>4.1</v>
      </c>
      <c r="J38" s="14" t="n">
        <f aca="false">ROUND(G38*I38,2)</f>
        <v>203.77</v>
      </c>
      <c r="K38" s="14"/>
      <c r="L38" s="14"/>
      <c r="M38" s="14"/>
      <c r="N38" s="14" t="n">
        <f aca="false">ROUND((G38*I38)-K38-L38-M38,2)</f>
        <v>203.77</v>
      </c>
      <c r="O38" s="14"/>
      <c r="P38" s="14" t="n">
        <f aca="false">ROUND(IF(D38=0,IF((N38-E38-O38)&gt;0,(N38-E38-O38),0),IF((D38+N38-O38)&gt;0,(D38+N38-O38),0)),2)</f>
        <v>11198.71</v>
      </c>
      <c r="Q38" s="14" t="n">
        <f aca="false">ROUND(IF(E38=0,IF((D38+N38-O38)&lt;0,ABS(D38+N38-O38),0),IF((N38-E38-O38)&lt;0,ABS(N38-E38-O38),0)),2)</f>
        <v>0</v>
      </c>
    </row>
    <row r="39" customFormat="false" ht="15" hidden="false" customHeight="true" outlineLevel="0" collapsed="false">
      <c r="A39" s="12" t="s">
        <v>113</v>
      </c>
      <c r="B39" s="12" t="str">
        <f aca="false">липень!B39</f>
        <v>Кашкар Т.М.</v>
      </c>
      <c r="C39" s="12" t="s">
        <v>115</v>
      </c>
      <c r="D39" s="14" t="n">
        <f aca="false">липень!P39</f>
        <v>1007.37</v>
      </c>
      <c r="E39" s="14" t="n">
        <f aca="false">липень!Q39</f>
        <v>0</v>
      </c>
      <c r="F39" s="13" t="n">
        <f aca="false">липень!F39</f>
        <v>0</v>
      </c>
      <c r="G39" s="13" t="n">
        <f aca="false">липень!G39</f>
        <v>35.1</v>
      </c>
      <c r="H39" s="13" t="n">
        <f aca="false">липень!H39</f>
        <v>0</v>
      </c>
      <c r="I39" s="13" t="n">
        <f aca="false">липень!I39</f>
        <v>4.1</v>
      </c>
      <c r="J39" s="14" t="n">
        <f aca="false">ROUND(G39*I39,2)</f>
        <v>143.91</v>
      </c>
      <c r="K39" s="14"/>
      <c r="L39" s="14"/>
      <c r="M39" s="14"/>
      <c r="N39" s="14" t="n">
        <f aca="false">ROUND((G39*I39)-K39-L39-M39,2)</f>
        <v>143.91</v>
      </c>
      <c r="O39" s="14"/>
      <c r="P39" s="14" t="n">
        <f aca="false">ROUND(IF(D39=0,IF((N39-E39-O39)&gt;0,(N39-E39-O39),0),IF((D39+N39-O39)&gt;0,(D39+N39-O39),0)),2)</f>
        <v>1151.28</v>
      </c>
      <c r="Q39" s="14" t="n">
        <f aca="false">ROUND(IF(E39=0,IF((D39+N39-O39)&lt;0,ABS(D39+N39-O39),0),IF((N39-E39-O39)&lt;0,ABS(N39-E39-O39),0)),2)</f>
        <v>0</v>
      </c>
    </row>
    <row r="40" customFormat="false" ht="15" hidden="false" customHeight="true" outlineLevel="0" collapsed="false">
      <c r="A40" s="12" t="s">
        <v>116</v>
      </c>
      <c r="B40" s="12" t="str">
        <f aca="false">липень!B40</f>
        <v>Стецюк Н.П.</v>
      </c>
      <c r="C40" s="12" t="s">
        <v>118</v>
      </c>
      <c r="D40" s="14" t="n">
        <f aca="false">липень!P40</f>
        <v>2694.64</v>
      </c>
      <c r="E40" s="14" t="n">
        <f aca="false">липень!Q40</f>
        <v>0</v>
      </c>
      <c r="F40" s="13" t="n">
        <f aca="false">липень!F40</f>
        <v>0</v>
      </c>
      <c r="G40" s="13" t="n">
        <f aca="false">липень!G40</f>
        <v>61.9</v>
      </c>
      <c r="H40" s="13" t="n">
        <f aca="false">липень!H40</f>
        <v>0</v>
      </c>
      <c r="I40" s="13" t="n">
        <f aca="false">липень!I40</f>
        <v>4.1</v>
      </c>
      <c r="J40" s="14" t="n">
        <f aca="false">ROUND(G40*I40,2)</f>
        <v>253.79</v>
      </c>
      <c r="K40" s="14"/>
      <c r="L40" s="14"/>
      <c r="M40" s="14"/>
      <c r="N40" s="14" t="n">
        <f aca="false">ROUND((G40*I40)-K40-L40-M40,2)</f>
        <v>253.79</v>
      </c>
      <c r="O40" s="14"/>
      <c r="P40" s="14" t="n">
        <f aca="false">ROUND(IF(D40=0,IF((N40-E40-O40)&gt;0,(N40-E40-O40),0),IF((D40+N40-O40)&gt;0,(D40+N40-O40),0)),2)</f>
        <v>2948.43</v>
      </c>
      <c r="Q40" s="14" t="n">
        <f aca="false">ROUND(IF(E40=0,IF((D40+N40-O40)&lt;0,ABS(D40+N40-O40),0),IF((N40-E40-O40)&lt;0,ABS(N40-E40-O40),0)),2)</f>
        <v>0</v>
      </c>
    </row>
    <row r="41" customFormat="false" ht="15" hidden="false" customHeight="true" outlineLevel="0" collapsed="false">
      <c r="A41" s="12" t="s">
        <v>119</v>
      </c>
      <c r="B41" s="12" t="str">
        <f aca="false">липень!B41</f>
        <v>Маханько В.О.</v>
      </c>
      <c r="C41" s="12" t="s">
        <v>121</v>
      </c>
      <c r="D41" s="14" t="n">
        <f aca="false">липень!P41</f>
        <v>11442.1</v>
      </c>
      <c r="E41" s="14" t="n">
        <f aca="false">липень!Q41</f>
        <v>0</v>
      </c>
      <c r="F41" s="13" t="n">
        <f aca="false">липень!F41</f>
        <v>0</v>
      </c>
      <c r="G41" s="13" t="n">
        <f aca="false">липень!G41</f>
        <v>65.53</v>
      </c>
      <c r="H41" s="13" t="n">
        <f aca="false">липень!H41</f>
        <v>0</v>
      </c>
      <c r="I41" s="13" t="n">
        <f aca="false">липень!I41</f>
        <v>4.1</v>
      </c>
      <c r="J41" s="14" t="n">
        <f aca="false">ROUND(G41*I41,2)</f>
        <v>268.67</v>
      </c>
      <c r="K41" s="14"/>
      <c r="L41" s="14"/>
      <c r="M41" s="14"/>
      <c r="N41" s="14" t="n">
        <f aca="false">ROUND((G41*I41)-K41-L41-M41,2)</f>
        <v>268.67</v>
      </c>
      <c r="O41" s="14"/>
      <c r="P41" s="14" t="n">
        <f aca="false">ROUND(IF(D41=0,IF((N41-E41-O41)&gt;0,(N41-E41-O41),0),IF((D41+N41-O41)&gt;0,(D41+N41-O41),0)),2)</f>
        <v>11710.77</v>
      </c>
      <c r="Q41" s="14" t="n">
        <f aca="false">ROUND(IF(E41=0,IF((D41+N41-O41)&lt;0,ABS(D41+N41-O41),0),IF((N41-E41-O41)&lt;0,ABS(N41-E41-O41),0)),2)</f>
        <v>0</v>
      </c>
    </row>
    <row r="42" customFormat="false" ht="15" hidden="false" customHeight="true" outlineLevel="0" collapsed="false">
      <c r="A42" s="12" t="s">
        <v>122</v>
      </c>
      <c r="B42" s="12" t="str">
        <f aca="false">липень!B42</f>
        <v>Реуцька Р.С.</v>
      </c>
      <c r="C42" s="12" t="s">
        <v>124</v>
      </c>
      <c r="D42" s="14" t="n">
        <f aca="false">липень!P42</f>
        <v>9687.85</v>
      </c>
      <c r="E42" s="14" t="n">
        <f aca="false">липень!Q42</f>
        <v>0</v>
      </c>
      <c r="F42" s="13" t="n">
        <f aca="false">липень!F42</f>
        <v>0</v>
      </c>
      <c r="G42" s="13" t="n">
        <f aca="false">липень!G42</f>
        <v>49.7</v>
      </c>
      <c r="H42" s="13" t="n">
        <f aca="false">липень!H42</f>
        <v>0</v>
      </c>
      <c r="I42" s="13" t="n">
        <f aca="false">липень!I42</f>
        <v>4.1</v>
      </c>
      <c r="J42" s="14" t="n">
        <f aca="false">ROUND(G42*I42,2)</f>
        <v>203.77</v>
      </c>
      <c r="K42" s="14"/>
      <c r="L42" s="14"/>
      <c r="M42" s="14"/>
      <c r="N42" s="14" t="n">
        <f aca="false">ROUND((G42*I42)-K42-L42-M42,2)</f>
        <v>203.77</v>
      </c>
      <c r="O42" s="14"/>
      <c r="P42" s="14" t="n">
        <f aca="false">ROUND(IF(D42=0,IF((N42-E42-O42)&gt;0,(N42-E42-O42),0),IF((D42+N42-O42)&gt;0,(D42+N42-O42),0)),2)</f>
        <v>9891.62</v>
      </c>
      <c r="Q42" s="14" t="n">
        <f aca="false">ROUND(IF(E42=0,IF((D42+N42-O42)&lt;0,ABS(D42+N42-O42),0),IF((N42-E42-O42)&lt;0,ABS(N42-E42-O42),0)),2)</f>
        <v>0</v>
      </c>
    </row>
    <row r="43" customFormat="false" ht="15" hidden="false" customHeight="true" outlineLevel="0" collapsed="false">
      <c r="A43" s="12" t="s">
        <v>125</v>
      </c>
      <c r="B43" s="12" t="str">
        <f aca="false">липень!B43</f>
        <v>Колесникова Р.Г.</v>
      </c>
      <c r="C43" s="12" t="s">
        <v>127</v>
      </c>
      <c r="D43" s="14" t="n">
        <f aca="false">липень!P43</f>
        <v>2883.93</v>
      </c>
      <c r="E43" s="14" t="n">
        <f aca="false">липень!Q43</f>
        <v>0</v>
      </c>
      <c r="F43" s="13" t="n">
        <f aca="false">липень!F43</f>
        <v>0</v>
      </c>
      <c r="G43" s="13" t="n">
        <f aca="false">липень!G43</f>
        <v>35.1</v>
      </c>
      <c r="H43" s="13" t="n">
        <f aca="false">липень!H43</f>
        <v>0</v>
      </c>
      <c r="I43" s="13" t="n">
        <f aca="false">липень!I43</f>
        <v>4.1</v>
      </c>
      <c r="J43" s="14" t="n">
        <f aca="false">ROUND(G43*I43,2)</f>
        <v>143.91</v>
      </c>
      <c r="K43" s="14"/>
      <c r="L43" s="14"/>
      <c r="M43" s="14"/>
      <c r="N43" s="14" t="n">
        <f aca="false">ROUND((G43*I43)-K43-L43-M43,2)</f>
        <v>143.91</v>
      </c>
      <c r="O43" s="14"/>
      <c r="P43" s="14" t="n">
        <f aca="false">ROUND(IF(D43=0,IF((N43-E43-O43)&gt;0,(N43-E43-O43),0),IF((D43+N43-O43)&gt;0,(D43+N43-O43),0)),2)</f>
        <v>3027.84</v>
      </c>
      <c r="Q43" s="14" t="n">
        <f aca="false">ROUND(IF(E43=0,IF((D43+N43-O43)&lt;0,ABS(D43+N43-O43),0),IF((N43-E43-O43)&lt;0,ABS(N43-E43-O43),0)),2)</f>
        <v>0</v>
      </c>
    </row>
    <row r="44" customFormat="false" ht="15" hidden="false" customHeight="true" outlineLevel="0" collapsed="false">
      <c r="A44" s="12" t="s">
        <v>128</v>
      </c>
      <c r="B44" s="12" t="str">
        <f aca="false">липень!B44</f>
        <v>Кучеренко М.М.</v>
      </c>
      <c r="C44" s="12" t="s">
        <v>130</v>
      </c>
      <c r="D44" s="14" t="n">
        <f aca="false">липень!P44</f>
        <v>12997.36</v>
      </c>
      <c r="E44" s="14" t="n">
        <f aca="false">липень!Q44</f>
        <v>0</v>
      </c>
      <c r="F44" s="13" t="n">
        <f aca="false">липень!F44</f>
        <v>0</v>
      </c>
      <c r="G44" s="13" t="n">
        <f aca="false">липень!G44</f>
        <v>61.88</v>
      </c>
      <c r="H44" s="13" t="n">
        <f aca="false">липень!H44</f>
        <v>0</v>
      </c>
      <c r="I44" s="13" t="n">
        <f aca="false">липень!I44</f>
        <v>4.1</v>
      </c>
      <c r="J44" s="14" t="n">
        <f aca="false">ROUND(G44*I44,2)</f>
        <v>253.71</v>
      </c>
      <c r="K44" s="14"/>
      <c r="L44" s="14"/>
      <c r="M44" s="14"/>
      <c r="N44" s="14" t="n">
        <f aca="false">ROUND((G44*I44)-K44-L44-M44,2)</f>
        <v>253.71</v>
      </c>
      <c r="O44" s="14"/>
      <c r="P44" s="14" t="n">
        <f aca="false">ROUND(IF(D44=0,IF((N44-E44-O44)&gt;0,(N44-E44-O44),0),IF((D44+N44-O44)&gt;0,(D44+N44-O44),0)),2)</f>
        <v>13251.07</v>
      </c>
      <c r="Q44" s="14" t="n">
        <f aca="false">ROUND(IF(E44=0,IF((D44+N44-O44)&lt;0,ABS(D44+N44-O44),0),IF((N44-E44-O44)&lt;0,ABS(N44-E44-O44),0)),2)</f>
        <v>0</v>
      </c>
    </row>
    <row r="45" customFormat="false" ht="15" hidden="false" customHeight="true" outlineLevel="0" collapsed="false">
      <c r="A45" s="12" t="s">
        <v>131</v>
      </c>
      <c r="B45" s="12" t="str">
        <f aca="false">липень!B45</f>
        <v>Гурова О.М.</v>
      </c>
      <c r="C45" s="12" t="s">
        <v>133</v>
      </c>
      <c r="D45" s="14" t="n">
        <f aca="false">липень!P45</f>
        <v>1468.77</v>
      </c>
      <c r="E45" s="14" t="n">
        <f aca="false">липень!Q45</f>
        <v>0</v>
      </c>
      <c r="F45" s="13" t="n">
        <f aca="false">липень!F45</f>
        <v>0</v>
      </c>
      <c r="G45" s="13" t="n">
        <f aca="false">липень!G45</f>
        <v>62.2</v>
      </c>
      <c r="H45" s="13" t="n">
        <f aca="false">липень!H45</f>
        <v>0</v>
      </c>
      <c r="I45" s="13" t="n">
        <f aca="false">липень!I45</f>
        <v>4.1</v>
      </c>
      <c r="J45" s="14" t="n">
        <f aca="false">ROUND(G45*I45,2)</f>
        <v>255.02</v>
      </c>
      <c r="K45" s="14"/>
      <c r="L45" s="14"/>
      <c r="M45" s="14"/>
      <c r="N45" s="14" t="n">
        <f aca="false">ROUND((G45*I45)-K45-L45-M45,2)</f>
        <v>255.02</v>
      </c>
      <c r="O45" s="14"/>
      <c r="P45" s="14" t="n">
        <f aca="false">ROUND(IF(D45=0,IF((N45-E45-O45)&gt;0,(N45-E45-O45),0),IF((D45+N45-O45)&gt;0,(D45+N45-O45),0)),2)</f>
        <v>1723.79</v>
      </c>
      <c r="Q45" s="14" t="n">
        <f aca="false">ROUND(IF(E45=0,IF((D45+N45-O45)&lt;0,ABS(D45+N45-O45),0),IF((N45-E45-O45)&lt;0,ABS(N45-E45-O45),0)),2)</f>
        <v>0</v>
      </c>
    </row>
    <row r="46" customFormat="false" ht="15" hidden="false" customHeight="true" outlineLevel="0" collapsed="false">
      <c r="A46" s="12" t="s">
        <v>134</v>
      </c>
      <c r="B46" s="12" t="str">
        <f aca="false">липень!B46</f>
        <v>Федорова В.І.</v>
      </c>
      <c r="C46" s="12" t="s">
        <v>136</v>
      </c>
      <c r="D46" s="14" t="n">
        <f aca="false">липень!P46</f>
        <v>644.72</v>
      </c>
      <c r="E46" s="14" t="n">
        <f aca="false">липень!Q46</f>
        <v>0</v>
      </c>
      <c r="F46" s="13" t="n">
        <f aca="false">липень!F46</f>
        <v>0</v>
      </c>
      <c r="G46" s="13" t="n">
        <f aca="false">липень!G46</f>
        <v>34.9</v>
      </c>
      <c r="H46" s="13" t="n">
        <f aca="false">липень!H46</f>
        <v>0</v>
      </c>
      <c r="I46" s="13" t="n">
        <f aca="false">липень!I46</f>
        <v>4.1</v>
      </c>
      <c r="J46" s="14" t="n">
        <f aca="false">ROUND(G46*I46,2)</f>
        <v>143.09</v>
      </c>
      <c r="K46" s="14"/>
      <c r="L46" s="14"/>
      <c r="M46" s="14"/>
      <c r="N46" s="14" t="n">
        <f aca="false">ROUND((G46*I46)-K46-L46-M46,2)</f>
        <v>143.09</v>
      </c>
      <c r="O46" s="14"/>
      <c r="P46" s="14" t="n">
        <f aca="false">ROUND(IF(D46=0,IF((N46-E46-O46)&gt;0,(N46-E46-O46),0),IF((D46+N46-O46)&gt;0,(D46+N46-O46),0)),2)</f>
        <v>787.81</v>
      </c>
      <c r="Q46" s="14" t="n">
        <f aca="false">ROUND(IF(E46=0,IF((D46+N46-O46)&lt;0,ABS(D46+N46-O46),0),IF((N46-E46-O46)&lt;0,ABS(N46-E46-O46),0)),2)</f>
        <v>0</v>
      </c>
    </row>
    <row r="47" customFormat="false" ht="15" hidden="false" customHeight="true" outlineLevel="0" collapsed="false">
      <c r="A47" s="12" t="s">
        <v>137</v>
      </c>
      <c r="B47" s="12" t="str">
        <f aca="false">липень!B47</f>
        <v>Лаптєв В.І.</v>
      </c>
      <c r="C47" s="12" t="s">
        <v>139</v>
      </c>
      <c r="D47" s="14" t="n">
        <f aca="false">липень!P47</f>
        <v>1400.56</v>
      </c>
      <c r="E47" s="14" t="n">
        <f aca="false">липень!Q47</f>
        <v>0</v>
      </c>
      <c r="F47" s="13" t="n">
        <f aca="false">липень!F47</f>
        <v>0</v>
      </c>
      <c r="G47" s="13" t="n">
        <f aca="false">липень!G47</f>
        <v>48.8</v>
      </c>
      <c r="H47" s="13" t="n">
        <f aca="false">липень!H47</f>
        <v>0</v>
      </c>
      <c r="I47" s="13" t="n">
        <f aca="false">липень!I47</f>
        <v>4.1</v>
      </c>
      <c r="J47" s="14" t="n">
        <f aca="false">ROUND(G47*I47,2)</f>
        <v>200.08</v>
      </c>
      <c r="K47" s="14"/>
      <c r="L47" s="14"/>
      <c r="M47" s="14"/>
      <c r="N47" s="14" t="n">
        <f aca="false">ROUND((G47*I47)-K47-L47-M47,2)</f>
        <v>200.08</v>
      </c>
      <c r="O47" s="14"/>
      <c r="P47" s="14" t="n">
        <f aca="false">ROUND(IF(D47=0,IF((N47-E47-O47)&gt;0,(N47-E47-O47),0),IF((D47+N47-O47)&gt;0,(D47+N47-O47),0)),2)</f>
        <v>1600.64</v>
      </c>
      <c r="Q47" s="14" t="n">
        <f aca="false">ROUND(IF(E47=0,IF((D47+N47-O47)&lt;0,ABS(D47+N47-O47),0),IF((N47-E47-O47)&lt;0,ABS(N47-E47-O47),0)),2)</f>
        <v>0</v>
      </c>
    </row>
    <row r="48" customFormat="false" ht="15" hidden="false" customHeight="true" outlineLevel="0" collapsed="false">
      <c r="A48" s="12" t="s">
        <v>140</v>
      </c>
      <c r="B48" s="12" t="str">
        <f aca="false">липень!B48</f>
        <v>Тимощук О.Є.</v>
      </c>
      <c r="C48" s="12" t="s">
        <v>142</v>
      </c>
      <c r="D48" s="14" t="n">
        <f aca="false">липень!P48</f>
        <v>1644.51</v>
      </c>
      <c r="E48" s="14" t="n">
        <f aca="false">липень!Q48</f>
        <v>0</v>
      </c>
      <c r="F48" s="13" t="n">
        <f aca="false">липень!F48</f>
        <v>0</v>
      </c>
      <c r="G48" s="13" t="n">
        <f aca="false">липень!G48</f>
        <v>57.3</v>
      </c>
      <c r="H48" s="13" t="n">
        <f aca="false">липень!H48</f>
        <v>0</v>
      </c>
      <c r="I48" s="13" t="n">
        <f aca="false">липень!I48</f>
        <v>4.1</v>
      </c>
      <c r="J48" s="14" t="n">
        <f aca="false">ROUND(G48*I48,2)</f>
        <v>234.93</v>
      </c>
      <c r="K48" s="14"/>
      <c r="L48" s="14"/>
      <c r="M48" s="14"/>
      <c r="N48" s="14" t="n">
        <f aca="false">ROUND((G48*I48)-K48-L48-M48,2)</f>
        <v>234.93</v>
      </c>
      <c r="O48" s="14"/>
      <c r="P48" s="14" t="n">
        <f aca="false">ROUND(IF(D48=0,IF((N48-E48-O48)&gt;0,(N48-E48-O48),0),IF((D48+N48-O48)&gt;0,(D48+N48-O48),0)),2)</f>
        <v>1879.44</v>
      </c>
      <c r="Q48" s="14" t="n">
        <f aca="false">ROUND(IF(E48=0,IF((D48+N48-O48)&lt;0,ABS(D48+N48-O48),0),IF((N48-E48-O48)&lt;0,ABS(N48-E48-O48),0)),2)</f>
        <v>0</v>
      </c>
    </row>
    <row r="49" customFormat="false" ht="15" hidden="false" customHeight="true" outlineLevel="0" collapsed="false">
      <c r="A49" s="12" t="s">
        <v>143</v>
      </c>
      <c r="B49" s="12" t="str">
        <f aca="false">липень!B49</f>
        <v>Котяш О.В.</v>
      </c>
      <c r="C49" s="12" t="s">
        <v>145</v>
      </c>
      <c r="D49" s="14" t="n">
        <f aca="false">липень!P49</f>
        <v>4929.36</v>
      </c>
      <c r="E49" s="14" t="n">
        <f aca="false">липень!Q49</f>
        <v>0</v>
      </c>
      <c r="F49" s="13" t="n">
        <f aca="false">липень!F49</f>
        <v>0</v>
      </c>
      <c r="G49" s="13" t="n">
        <f aca="false">липень!G49</f>
        <v>63.3</v>
      </c>
      <c r="H49" s="13" t="n">
        <f aca="false">липень!H49</f>
        <v>0</v>
      </c>
      <c r="I49" s="13" t="n">
        <f aca="false">липень!I49</f>
        <v>4.1</v>
      </c>
      <c r="J49" s="14" t="n">
        <f aca="false">ROUND(G49*I49,2)</f>
        <v>259.53</v>
      </c>
      <c r="K49" s="14"/>
      <c r="L49" s="14"/>
      <c r="M49" s="14"/>
      <c r="N49" s="14" t="n">
        <f aca="false">ROUND((G49*I49)-K49-L49-M49,2)</f>
        <v>259.53</v>
      </c>
      <c r="O49" s="14"/>
      <c r="P49" s="14" t="n">
        <f aca="false">ROUND(IF(D49=0,IF((N49-E49-O49)&gt;0,(N49-E49-O49),0),IF((D49+N49-O49)&gt;0,(D49+N49-O49),0)),2)</f>
        <v>5188.89</v>
      </c>
      <c r="Q49" s="14" t="n">
        <f aca="false">ROUND(IF(E49=0,IF((D49+N49-O49)&lt;0,ABS(D49+N49-O49),0),IF((N49-E49-O49)&lt;0,ABS(N49-E49-O49),0)),2)</f>
        <v>0</v>
      </c>
    </row>
    <row r="50" customFormat="false" ht="15" hidden="false" customHeight="true" outlineLevel="0" collapsed="false">
      <c r="A50" s="12" t="s">
        <v>146</v>
      </c>
      <c r="B50" s="12" t="str">
        <f aca="false">липень!B50</f>
        <v>Токовило-Паращенко Л.П.</v>
      </c>
      <c r="C50" s="12" t="s">
        <v>148</v>
      </c>
      <c r="D50" s="14" t="n">
        <f aca="false">липень!P50</f>
        <v>1024.03</v>
      </c>
      <c r="E50" s="14" t="n">
        <f aca="false">липень!Q50</f>
        <v>0</v>
      </c>
      <c r="F50" s="13" t="n">
        <f aca="false">липень!F50</f>
        <v>0</v>
      </c>
      <c r="G50" s="13" t="n">
        <f aca="false">липень!G50</f>
        <v>35.68</v>
      </c>
      <c r="H50" s="13" t="n">
        <f aca="false">липень!H50</f>
        <v>0</v>
      </c>
      <c r="I50" s="13" t="n">
        <f aca="false">липень!I50</f>
        <v>4.1</v>
      </c>
      <c r="J50" s="14" t="n">
        <f aca="false">ROUND(G50*I50,2)</f>
        <v>146.29</v>
      </c>
      <c r="K50" s="14"/>
      <c r="L50" s="14"/>
      <c r="M50" s="14"/>
      <c r="N50" s="14" t="n">
        <f aca="false">ROUND((G50*I50)-K50-L50-M50,2)</f>
        <v>146.29</v>
      </c>
      <c r="O50" s="14"/>
      <c r="P50" s="14" t="n">
        <f aca="false">ROUND(IF(D50=0,IF((N50-E50-O50)&gt;0,(N50-E50-O50),0),IF((D50+N50-O50)&gt;0,(D50+N50-O50),0)),2)</f>
        <v>1170.32</v>
      </c>
      <c r="Q50" s="14" t="n">
        <f aca="false">ROUND(IF(E50=0,IF((D50+N50-O50)&lt;0,ABS(D50+N50-O50),0),IF((N50-E50-O50)&lt;0,ABS(N50-E50-O50),0)),2)</f>
        <v>0</v>
      </c>
    </row>
    <row r="51" customFormat="false" ht="15" hidden="false" customHeight="true" outlineLevel="0" collapsed="false">
      <c r="A51" s="12" t="s">
        <v>149</v>
      </c>
      <c r="B51" s="12" t="str">
        <f aca="false">липень!B51</f>
        <v>Бєлая К.В.</v>
      </c>
      <c r="C51" s="12" t="s">
        <v>151</v>
      </c>
      <c r="D51" s="14" t="n">
        <f aca="false">липень!P51</f>
        <v>4249.66</v>
      </c>
      <c r="E51" s="14" t="n">
        <f aca="false">липень!Q51</f>
        <v>0</v>
      </c>
      <c r="F51" s="13" t="n">
        <f aca="false">липень!F51</f>
        <v>0</v>
      </c>
      <c r="G51" s="13" t="n">
        <f aca="false">липень!G51</f>
        <v>49.8</v>
      </c>
      <c r="H51" s="13" t="n">
        <f aca="false">липень!H51</f>
        <v>0</v>
      </c>
      <c r="I51" s="13" t="n">
        <f aca="false">липень!I51</f>
        <v>4.1</v>
      </c>
      <c r="J51" s="14" t="n">
        <f aca="false">ROUND(G51*I51,2)</f>
        <v>204.18</v>
      </c>
      <c r="K51" s="14"/>
      <c r="L51" s="14"/>
      <c r="M51" s="14"/>
      <c r="N51" s="14" t="n">
        <f aca="false">ROUND((G51*I51)-K51-L51-M51,2)</f>
        <v>204.18</v>
      </c>
      <c r="O51" s="14"/>
      <c r="P51" s="14" t="n">
        <f aca="false">ROUND(IF(D51=0,IF((N51-E51-O51)&gt;0,(N51-E51-O51),0),IF((D51+N51-O51)&gt;0,(D51+N51-O51),0)),2)</f>
        <v>4453.84</v>
      </c>
      <c r="Q51" s="14" t="n">
        <f aca="false">ROUND(IF(E51=0,IF((D51+N51-O51)&lt;0,ABS(D51+N51-O51),0),IF((N51-E51-O51)&lt;0,ABS(N51-E51-O51),0)),2)</f>
        <v>0</v>
      </c>
    </row>
    <row r="52" customFormat="false" ht="15" hidden="false" customHeight="true" outlineLevel="0" collapsed="false">
      <c r="A52" s="12" t="s">
        <v>152</v>
      </c>
      <c r="B52" s="12" t="str">
        <f aca="false">липень!B52</f>
        <v>Стадник О.Ф.</v>
      </c>
      <c r="C52" s="12" t="s">
        <v>154</v>
      </c>
      <c r="D52" s="14" t="n">
        <f aca="false">липень!P52</f>
        <v>7616.8</v>
      </c>
      <c r="E52" s="14" t="n">
        <f aca="false">липень!Q52</f>
        <v>0</v>
      </c>
      <c r="F52" s="13" t="n">
        <f aca="false">липень!F52</f>
        <v>0</v>
      </c>
      <c r="G52" s="13" t="n">
        <f aca="false">липень!G52</f>
        <v>65.9</v>
      </c>
      <c r="H52" s="13" t="n">
        <f aca="false">липень!H52</f>
        <v>0</v>
      </c>
      <c r="I52" s="13" t="n">
        <f aca="false">липень!I52</f>
        <v>4.1</v>
      </c>
      <c r="J52" s="14" t="n">
        <f aca="false">ROUND(G52*I52,2)</f>
        <v>270.19</v>
      </c>
      <c r="K52" s="14"/>
      <c r="L52" s="14"/>
      <c r="M52" s="14"/>
      <c r="N52" s="14" t="n">
        <f aca="false">ROUND((G52*I52)-K52-L52-M52,2)</f>
        <v>270.19</v>
      </c>
      <c r="O52" s="14"/>
      <c r="P52" s="14" t="n">
        <f aca="false">ROUND(IF(D52=0,IF((N52-E52-O52)&gt;0,(N52-E52-O52),0),IF((D52+N52-O52)&gt;0,(D52+N52-O52),0)),2)</f>
        <v>7886.99</v>
      </c>
      <c r="Q52" s="14" t="n">
        <f aca="false">ROUND(IF(E52=0,IF((D52+N52-O52)&lt;0,ABS(D52+N52-O52),0),IF((N52-E52-O52)&lt;0,ABS(N52-E52-O52),0)),2)</f>
        <v>0</v>
      </c>
    </row>
    <row r="53" customFormat="false" ht="15" hidden="false" customHeight="true" outlineLevel="0" collapsed="false">
      <c r="A53" s="12" t="s">
        <v>155</v>
      </c>
      <c r="B53" s="12" t="str">
        <f aca="false">липень!B53</f>
        <v>Ляшенко В.М.</v>
      </c>
      <c r="C53" s="12" t="s">
        <v>157</v>
      </c>
      <c r="D53" s="14" t="n">
        <f aca="false">липень!P53</f>
        <v>1779.4</v>
      </c>
      <c r="E53" s="14" t="n">
        <f aca="false">липень!Q53</f>
        <v>0</v>
      </c>
      <c r="F53" s="13" t="n">
        <f aca="false">липень!F53</f>
        <v>0</v>
      </c>
      <c r="G53" s="13" t="n">
        <f aca="false">липень!G53</f>
        <v>62</v>
      </c>
      <c r="H53" s="13" t="n">
        <f aca="false">липень!H53</f>
        <v>0</v>
      </c>
      <c r="I53" s="13" t="n">
        <f aca="false">липень!I53</f>
        <v>4.1</v>
      </c>
      <c r="J53" s="14" t="n">
        <f aca="false">ROUND(G53*I53,2)</f>
        <v>254.2</v>
      </c>
      <c r="K53" s="14"/>
      <c r="L53" s="14"/>
      <c r="M53" s="14"/>
      <c r="N53" s="14" t="n">
        <f aca="false">ROUND((G53*I53)-K53-L53-M53,2)</f>
        <v>254.2</v>
      </c>
      <c r="O53" s="14"/>
      <c r="P53" s="14" t="n">
        <f aca="false">ROUND(IF(D53=0,IF((N53-E53-O53)&gt;0,(N53-E53-O53),0),IF((D53+N53-O53)&gt;0,(D53+N53-O53),0)),2)</f>
        <v>2033.6</v>
      </c>
      <c r="Q53" s="14" t="n">
        <f aca="false">ROUND(IF(E53=0,IF((D53+N53-O53)&lt;0,ABS(D53+N53-O53),0),IF((N53-E53-O53)&lt;0,ABS(N53-E53-O53),0)),2)</f>
        <v>0</v>
      </c>
    </row>
    <row r="54" customFormat="false" ht="15" hidden="false" customHeight="true" outlineLevel="0" collapsed="false">
      <c r="A54" s="12" t="s">
        <v>158</v>
      </c>
      <c r="B54" s="12" t="str">
        <f aca="false">липень!B54</f>
        <v>Смоленська Т.О.</v>
      </c>
      <c r="C54" s="12" t="s">
        <v>160</v>
      </c>
      <c r="D54" s="14" t="n">
        <f aca="false">липень!P54</f>
        <v>1007.37</v>
      </c>
      <c r="E54" s="14" t="n">
        <f aca="false">липень!Q54</f>
        <v>0</v>
      </c>
      <c r="F54" s="13" t="n">
        <f aca="false">липень!F54</f>
        <v>0</v>
      </c>
      <c r="G54" s="13" t="n">
        <f aca="false">липень!G54</f>
        <v>35.1</v>
      </c>
      <c r="H54" s="13" t="n">
        <f aca="false">липень!H54</f>
        <v>0</v>
      </c>
      <c r="I54" s="13" t="n">
        <f aca="false">липень!I54</f>
        <v>4.1</v>
      </c>
      <c r="J54" s="14" t="n">
        <f aca="false">ROUND(G54*I54,2)</f>
        <v>143.91</v>
      </c>
      <c r="K54" s="14"/>
      <c r="L54" s="14"/>
      <c r="M54" s="14"/>
      <c r="N54" s="14" t="n">
        <f aca="false">ROUND((G54*I54)-K54-L54-M54,2)</f>
        <v>143.91</v>
      </c>
      <c r="O54" s="14"/>
      <c r="P54" s="14" t="n">
        <f aca="false">ROUND(IF(D54=0,IF((N54-E54-O54)&gt;0,(N54-E54-O54),0),IF((D54+N54-O54)&gt;0,(D54+N54-O54),0)),2)</f>
        <v>1151.28</v>
      </c>
      <c r="Q54" s="14" t="n">
        <f aca="false">ROUND(IF(E54=0,IF((D54+N54-O54)&lt;0,ABS(D54+N54-O54),0),IF((N54-E54-O54)&lt;0,ABS(N54-E54-O54),0)),2)</f>
        <v>0</v>
      </c>
    </row>
    <row r="55" customFormat="false" ht="15" hidden="false" customHeight="true" outlineLevel="0" collapsed="false">
      <c r="A55" s="12" t="s">
        <v>161</v>
      </c>
      <c r="B55" s="12" t="str">
        <f aca="false">липень!B55</f>
        <v>Дудка І.В.</v>
      </c>
      <c r="C55" s="12" t="s">
        <v>163</v>
      </c>
      <c r="D55" s="14" t="n">
        <f aca="false">липень!P55</f>
        <v>1423.52</v>
      </c>
      <c r="E55" s="14" t="n">
        <f aca="false">липень!Q55</f>
        <v>0</v>
      </c>
      <c r="F55" s="13" t="n">
        <f aca="false">липень!F55</f>
        <v>0</v>
      </c>
      <c r="G55" s="13" t="n">
        <f aca="false">липень!G55</f>
        <v>49.6</v>
      </c>
      <c r="H55" s="13" t="n">
        <f aca="false">липень!H55</f>
        <v>0</v>
      </c>
      <c r="I55" s="13" t="n">
        <f aca="false">липень!I55</f>
        <v>4.1</v>
      </c>
      <c r="J55" s="14" t="n">
        <f aca="false">ROUND(G55*I55,2)</f>
        <v>203.36</v>
      </c>
      <c r="K55" s="14"/>
      <c r="L55" s="14"/>
      <c r="M55" s="14"/>
      <c r="N55" s="14" t="n">
        <f aca="false">ROUND((G55*I55)-K55-L55-M55,2)</f>
        <v>203.36</v>
      </c>
      <c r="O55" s="14"/>
      <c r="P55" s="14" t="n">
        <f aca="false">ROUND(IF(D55=0,IF((N55-E55-O55)&gt;0,(N55-E55-O55),0),IF((D55+N55-O55)&gt;0,(D55+N55-O55),0)),2)</f>
        <v>1626.88</v>
      </c>
      <c r="Q55" s="14" t="n">
        <f aca="false">ROUND(IF(E55=0,IF((D55+N55-O55)&lt;0,ABS(D55+N55-O55),0),IF((N55-E55-O55)&lt;0,ABS(N55-E55-O55),0)),2)</f>
        <v>0</v>
      </c>
    </row>
    <row r="56" customFormat="false" ht="15" hidden="false" customHeight="true" outlineLevel="0" collapsed="false">
      <c r="A56" s="12" t="s">
        <v>164</v>
      </c>
      <c r="B56" s="12" t="str">
        <f aca="false">липень!B56</f>
        <v>Буланова Л.І.</v>
      </c>
      <c r="C56" s="12" t="s">
        <v>166</v>
      </c>
      <c r="D56" s="14" t="n">
        <f aca="false">липень!P56</f>
        <v>1906.8</v>
      </c>
      <c r="E56" s="14" t="n">
        <f aca="false">липень!Q56</f>
        <v>0</v>
      </c>
      <c r="F56" s="13" t="n">
        <f aca="false">липень!F56</f>
        <v>0</v>
      </c>
      <c r="G56" s="13" t="n">
        <f aca="false">липень!G56</f>
        <v>66.44</v>
      </c>
      <c r="H56" s="13" t="n">
        <f aca="false">липень!H56</f>
        <v>0</v>
      </c>
      <c r="I56" s="13" t="n">
        <f aca="false">липень!I56</f>
        <v>4.1</v>
      </c>
      <c r="J56" s="14" t="n">
        <f aca="false">ROUND(G56*I56,2)</f>
        <v>272.4</v>
      </c>
      <c r="K56" s="14"/>
      <c r="L56" s="14"/>
      <c r="M56" s="14"/>
      <c r="N56" s="14" t="n">
        <f aca="false">ROUND((G56*I56)-K56-L56-M56,2)</f>
        <v>272.4</v>
      </c>
      <c r="O56" s="14"/>
      <c r="P56" s="14" t="n">
        <f aca="false">ROUND(IF(D56=0,IF((N56-E56-O56)&gt;0,(N56-E56-O56),0),IF((D56+N56-O56)&gt;0,(D56+N56-O56),0)),2)</f>
        <v>2179.2</v>
      </c>
      <c r="Q56" s="14" t="n">
        <f aca="false">ROUND(IF(E56=0,IF((D56+N56-O56)&lt;0,ABS(D56+N56-O56),0),IF((N56-E56-O56)&lt;0,ABS(N56-E56-O56),0)),2)</f>
        <v>0</v>
      </c>
    </row>
    <row r="57" customFormat="false" ht="15" hidden="false" customHeight="true" outlineLevel="0" collapsed="false">
      <c r="A57" s="12" t="s">
        <v>167</v>
      </c>
      <c r="B57" s="12" t="str">
        <f aca="false">липень!B57</f>
        <v>Шалімова О.О.</v>
      </c>
      <c r="C57" s="12" t="s">
        <v>169</v>
      </c>
      <c r="D57" s="14" t="n">
        <f aca="false">липень!P57</f>
        <v>2208.5</v>
      </c>
      <c r="E57" s="14" t="n">
        <f aca="false">липень!Q57</f>
        <v>0</v>
      </c>
      <c r="F57" s="13" t="n">
        <f aca="false">липень!F57</f>
        <v>0</v>
      </c>
      <c r="G57" s="13" t="n">
        <f aca="false">липень!G57</f>
        <v>62.1</v>
      </c>
      <c r="H57" s="13" t="n">
        <f aca="false">липень!H57</f>
        <v>0</v>
      </c>
      <c r="I57" s="13" t="n">
        <f aca="false">липень!I57</f>
        <v>4.1</v>
      </c>
      <c r="J57" s="14" t="n">
        <f aca="false">ROUND(G57*I57,2)</f>
        <v>254.61</v>
      </c>
      <c r="K57" s="14"/>
      <c r="L57" s="14"/>
      <c r="M57" s="14"/>
      <c r="N57" s="14" t="n">
        <f aca="false">ROUND((G57*I57)-K57-L57-M57,2)</f>
        <v>254.61</v>
      </c>
      <c r="O57" s="14"/>
      <c r="P57" s="14" t="n">
        <f aca="false">ROUND(IF(D57=0,IF((N57-E57-O57)&gt;0,(N57-E57-O57),0),IF((D57+N57-O57)&gt;0,(D57+N57-O57),0)),2)</f>
        <v>2463.11</v>
      </c>
      <c r="Q57" s="14" t="n">
        <f aca="false">ROUND(IF(E57=0,IF((D57+N57-O57)&lt;0,ABS(D57+N57-O57),0),IF((N57-E57-O57)&lt;0,ABS(N57-E57-O57),0)),2)</f>
        <v>0</v>
      </c>
    </row>
    <row r="58" customFormat="false" ht="15" hidden="false" customHeight="true" outlineLevel="0" collapsed="false">
      <c r="A58" s="12" t="s">
        <v>170</v>
      </c>
      <c r="B58" s="12" t="str">
        <f aca="false">липень!B58</f>
        <v>Андросик О.О.</v>
      </c>
      <c r="C58" s="12" t="s">
        <v>172</v>
      </c>
      <c r="D58" s="14" t="n">
        <f aca="false">липень!P58</f>
        <v>2214.63</v>
      </c>
      <c r="E58" s="14" t="n">
        <f aca="false">липень!Q58</f>
        <v>0</v>
      </c>
      <c r="F58" s="13" t="n">
        <f aca="false">липень!F58</f>
        <v>0</v>
      </c>
      <c r="G58" s="13" t="n">
        <f aca="false">липень!G58</f>
        <v>34.9</v>
      </c>
      <c r="H58" s="13" t="n">
        <f aca="false">липень!H58</f>
        <v>0</v>
      </c>
      <c r="I58" s="13" t="n">
        <f aca="false">липень!I58</f>
        <v>4.1</v>
      </c>
      <c r="J58" s="14" t="n">
        <f aca="false">ROUND(G58*I58,2)</f>
        <v>143.09</v>
      </c>
      <c r="K58" s="14"/>
      <c r="L58" s="14"/>
      <c r="M58" s="14"/>
      <c r="N58" s="14" t="n">
        <f aca="false">ROUND((G58*I58)-K58-L58-M58,2)</f>
        <v>143.09</v>
      </c>
      <c r="O58" s="14"/>
      <c r="P58" s="14" t="n">
        <f aca="false">ROUND(IF(D58=0,IF((N58-E58-O58)&gt;0,(N58-E58-O58),0),IF((D58+N58-O58)&gt;0,(D58+N58-O58),0)),2)</f>
        <v>2357.72</v>
      </c>
      <c r="Q58" s="14" t="n">
        <f aca="false">ROUND(IF(E58=0,IF((D58+N58-O58)&lt;0,ABS(D58+N58-O58),0),IF((N58-E58-O58)&lt;0,ABS(N58-E58-O58),0)),2)</f>
        <v>0</v>
      </c>
    </row>
    <row r="59" customFormat="false" ht="15" hidden="false" customHeight="true" outlineLevel="0" collapsed="false">
      <c r="A59" s="12" t="s">
        <v>173</v>
      </c>
      <c r="B59" s="12" t="str">
        <f aca="false">липень!B59</f>
        <v>Токар Є.А.</v>
      </c>
      <c r="C59" s="12" t="s">
        <v>175</v>
      </c>
      <c r="D59" s="14" t="n">
        <f aca="false">липень!P59</f>
        <v>4752.35</v>
      </c>
      <c r="E59" s="14" t="n">
        <f aca="false">липень!Q59</f>
        <v>0</v>
      </c>
      <c r="F59" s="13" t="n">
        <f aca="false">липень!F59</f>
        <v>0</v>
      </c>
      <c r="G59" s="13" t="n">
        <f aca="false">липень!G59</f>
        <v>49.22</v>
      </c>
      <c r="H59" s="13" t="n">
        <f aca="false">липень!H59</f>
        <v>0</v>
      </c>
      <c r="I59" s="13" t="n">
        <f aca="false">липень!I59</f>
        <v>4.1</v>
      </c>
      <c r="J59" s="14" t="n">
        <f aca="false">ROUND(G59*I59,2)</f>
        <v>201.8</v>
      </c>
      <c r="K59" s="14"/>
      <c r="L59" s="14"/>
      <c r="M59" s="14"/>
      <c r="N59" s="14" t="n">
        <f aca="false">ROUND((G59*I59)-K59-L59-M59,2)</f>
        <v>201.8</v>
      </c>
      <c r="O59" s="14"/>
      <c r="P59" s="14" t="n">
        <f aca="false">ROUND(IF(D59=0,IF((N59-E59-O59)&gt;0,(N59-E59-O59),0),IF((D59+N59-O59)&gt;0,(D59+N59-O59),0)),2)</f>
        <v>4954.15</v>
      </c>
      <c r="Q59" s="14" t="n">
        <f aca="false">ROUND(IF(E59=0,IF((D59+N59-O59)&lt;0,ABS(D59+N59-O59),0),IF((N59-E59-O59)&lt;0,ABS(N59-E59-O59),0)),2)</f>
        <v>0</v>
      </c>
    </row>
    <row r="60" customFormat="false" ht="15" hidden="false" customHeight="true" outlineLevel="0" collapsed="false">
      <c r="A60" s="12" t="s">
        <v>176</v>
      </c>
      <c r="B60" s="12" t="str">
        <f aca="false">липень!B60</f>
        <v>Констанчук І.В.</v>
      </c>
      <c r="C60" s="12" t="s">
        <v>178</v>
      </c>
      <c r="D60" s="14" t="n">
        <f aca="false">липень!P60</f>
        <v>10748.96</v>
      </c>
      <c r="E60" s="14" t="n">
        <f aca="false">липень!Q60</f>
        <v>0</v>
      </c>
      <c r="F60" s="13" t="n">
        <f aca="false">липень!F60</f>
        <v>0</v>
      </c>
      <c r="G60" s="13" t="n">
        <f aca="false">липень!G60</f>
        <v>65.5</v>
      </c>
      <c r="H60" s="13" t="n">
        <f aca="false">липень!H60</f>
        <v>0</v>
      </c>
      <c r="I60" s="13" t="n">
        <f aca="false">липень!I60</f>
        <v>4.1</v>
      </c>
      <c r="J60" s="14" t="n">
        <f aca="false">ROUND(G60*I60,2)</f>
        <v>268.55</v>
      </c>
      <c r="K60" s="14"/>
      <c r="L60" s="14"/>
      <c r="M60" s="14"/>
      <c r="N60" s="14" t="n">
        <f aca="false">ROUND((G60*I60)-K60-L60-M60,2)</f>
        <v>268.55</v>
      </c>
      <c r="O60" s="14"/>
      <c r="P60" s="14" t="n">
        <f aca="false">ROUND(IF(D60=0,IF((N60-E60-O60)&gt;0,(N60-E60-O60),0),IF((D60+N60-O60)&gt;0,(D60+N60-O60),0)),2)</f>
        <v>11017.51</v>
      </c>
      <c r="Q60" s="14" t="n">
        <f aca="false">ROUND(IF(E60=0,IF((D60+N60-O60)&lt;0,ABS(D60+N60-O60),0),IF((N60-E60-O60)&lt;0,ABS(N60-E60-O60),0)),2)</f>
        <v>0</v>
      </c>
    </row>
    <row r="61" customFormat="false" ht="15" hidden="false" customHeight="true" outlineLevel="0" collapsed="false">
      <c r="A61" s="12" t="s">
        <v>179</v>
      </c>
      <c r="B61" s="12" t="str">
        <f aca="false">липень!B61</f>
        <v>Гончаров В.В.</v>
      </c>
      <c r="C61" s="12" t="s">
        <v>181</v>
      </c>
      <c r="D61" s="14" t="n">
        <f aca="false">липень!P61</f>
        <v>1151.74</v>
      </c>
      <c r="E61" s="14" t="n">
        <f aca="false">липень!Q61</f>
        <v>0</v>
      </c>
      <c r="F61" s="13" t="n">
        <f aca="false">липень!F61</f>
        <v>0</v>
      </c>
      <c r="G61" s="13" t="n">
        <f aca="false">липень!G61</f>
        <v>62.64</v>
      </c>
      <c r="H61" s="13" t="n">
        <f aca="false">липень!H61</f>
        <v>0</v>
      </c>
      <c r="I61" s="13" t="n">
        <f aca="false">липень!I61</f>
        <v>4.1</v>
      </c>
      <c r="J61" s="14" t="n">
        <f aca="false">ROUND(G61*I61,2)</f>
        <v>256.82</v>
      </c>
      <c r="K61" s="14"/>
      <c r="L61" s="14"/>
      <c r="M61" s="14"/>
      <c r="N61" s="14" t="n">
        <f aca="false">ROUND((G61*I61)-K61-L61-M61,2)</f>
        <v>256.82</v>
      </c>
      <c r="O61" s="14"/>
      <c r="P61" s="14" t="n">
        <f aca="false">ROUND(IF(D61=0,IF((N61-E61-O61)&gt;0,(N61-E61-O61),0),IF((D61+N61-O61)&gt;0,(D61+N61-O61),0)),2)</f>
        <v>1408.56</v>
      </c>
      <c r="Q61" s="14" t="n">
        <f aca="false">ROUND(IF(E61=0,IF((D61+N61-O61)&lt;0,ABS(D61+N61-O61),0),IF((N61-E61-O61)&lt;0,ABS(N61-E61-O61),0)),2)</f>
        <v>0</v>
      </c>
    </row>
    <row r="62" customFormat="false" ht="15" hidden="false" customHeight="true" outlineLevel="0" collapsed="false">
      <c r="A62" s="12" t="s">
        <v>182</v>
      </c>
      <c r="B62" s="12" t="str">
        <f aca="false">липень!B62</f>
        <v>Ляхомський В.О.</v>
      </c>
      <c r="C62" s="12" t="s">
        <v>184</v>
      </c>
      <c r="D62" s="14" t="n">
        <f aca="false">липень!P62</f>
        <v>2014.26</v>
      </c>
      <c r="E62" s="14" t="n">
        <f aca="false">липень!Q62</f>
        <v>0</v>
      </c>
      <c r="F62" s="13" t="n">
        <f aca="false">липень!F62</f>
        <v>0</v>
      </c>
      <c r="G62" s="13" t="n">
        <f aca="false">липень!G62</f>
        <v>34.9</v>
      </c>
      <c r="H62" s="13" t="n">
        <f aca="false">липень!H62</f>
        <v>0</v>
      </c>
      <c r="I62" s="13" t="n">
        <f aca="false">липень!I62</f>
        <v>4.1</v>
      </c>
      <c r="J62" s="14" t="n">
        <f aca="false">ROUND(G62*I62,2)</f>
        <v>143.09</v>
      </c>
      <c r="K62" s="14"/>
      <c r="L62" s="14"/>
      <c r="M62" s="14"/>
      <c r="N62" s="14" t="n">
        <f aca="false">ROUND((G62*I62)-K62-L62-M62,2)</f>
        <v>143.09</v>
      </c>
      <c r="O62" s="14"/>
      <c r="P62" s="14" t="n">
        <f aca="false">ROUND(IF(D62=0,IF((N62-E62-O62)&gt;0,(N62-E62-O62),0),IF((D62+N62-O62)&gt;0,(D62+N62-O62),0)),2)</f>
        <v>2157.35</v>
      </c>
      <c r="Q62" s="14" t="n">
        <f aca="false">ROUND(IF(E62=0,IF((D62+N62-O62)&lt;0,ABS(D62+N62-O62),0),IF((N62-E62-O62)&lt;0,ABS(N62-E62-O62),0)),2)</f>
        <v>0</v>
      </c>
    </row>
    <row r="63" customFormat="false" ht="15" hidden="false" customHeight="true" outlineLevel="0" collapsed="false">
      <c r="A63" s="12" t="s">
        <v>185</v>
      </c>
      <c r="B63" s="12" t="str">
        <f aca="false">липень!B63</f>
        <v>Крамаренко В.П.</v>
      </c>
      <c r="C63" s="12" t="s">
        <v>187</v>
      </c>
      <c r="D63" s="14" t="n">
        <f aca="false">липень!P63</f>
        <v>2245.54</v>
      </c>
      <c r="E63" s="14" t="n">
        <f aca="false">липень!Q63</f>
        <v>0</v>
      </c>
      <c r="F63" s="13" t="n">
        <f aca="false">липень!F63</f>
        <v>0</v>
      </c>
      <c r="G63" s="13" t="n">
        <f aca="false">липень!G63</f>
        <v>49.79</v>
      </c>
      <c r="H63" s="13" t="n">
        <f aca="false">липень!H63</f>
        <v>0</v>
      </c>
      <c r="I63" s="13" t="n">
        <f aca="false">липень!I63</f>
        <v>4.1</v>
      </c>
      <c r="J63" s="14" t="n">
        <f aca="false">ROUND(G63*I63,2)</f>
        <v>204.14</v>
      </c>
      <c r="K63" s="14"/>
      <c r="L63" s="14"/>
      <c r="M63" s="14"/>
      <c r="N63" s="14" t="n">
        <f aca="false">ROUND((G63*I63)-K63-L63-M63,2)</f>
        <v>204.14</v>
      </c>
      <c r="O63" s="14"/>
      <c r="P63" s="14" t="n">
        <f aca="false">ROUND(IF(D63=0,IF((N63-E63-O63)&gt;0,(N63-E63-O63),0),IF((D63+N63-O63)&gt;0,(D63+N63-O63),0)),2)</f>
        <v>2449.68</v>
      </c>
      <c r="Q63" s="14" t="n">
        <f aca="false">ROUND(IF(E63=0,IF((D63+N63-O63)&lt;0,ABS(D63+N63-O63),0),IF((N63-E63-O63)&lt;0,ABS(N63-E63-O63),0)),2)</f>
        <v>0</v>
      </c>
    </row>
    <row r="64" customFormat="false" ht="15" hidden="false" customHeight="true" outlineLevel="0" collapsed="false">
      <c r="A64" s="12" t="s">
        <v>188</v>
      </c>
      <c r="B64" s="12" t="str">
        <f aca="false">липень!B64</f>
        <v>Родзик С.Г.</v>
      </c>
      <c r="C64" s="12" t="s">
        <v>190</v>
      </c>
      <c r="D64" s="14" t="n">
        <f aca="false">липень!P64</f>
        <v>5346.4</v>
      </c>
      <c r="E64" s="14" t="n">
        <f aca="false">липень!Q64</f>
        <v>0</v>
      </c>
      <c r="F64" s="13" t="n">
        <f aca="false">липень!F64</f>
        <v>0</v>
      </c>
      <c r="G64" s="13" t="n">
        <f aca="false">липень!G64</f>
        <v>65.2</v>
      </c>
      <c r="H64" s="13" t="n">
        <f aca="false">липень!H64</f>
        <v>0</v>
      </c>
      <c r="I64" s="13" t="n">
        <f aca="false">липень!I64</f>
        <v>4.1</v>
      </c>
      <c r="J64" s="14" t="n">
        <f aca="false">ROUND(G64*I64,2)</f>
        <v>267.32</v>
      </c>
      <c r="K64" s="14"/>
      <c r="L64" s="14"/>
      <c r="M64" s="14"/>
      <c r="N64" s="14" t="n">
        <f aca="false">ROUND((G64*I64)-K64-L64-M64,2)</f>
        <v>267.32</v>
      </c>
      <c r="O64" s="14"/>
      <c r="P64" s="14" t="n">
        <f aca="false">ROUND(IF(D64=0,IF((N64-E64-O64)&gt;0,(N64-E64-O64),0),IF((D64+N64-O64)&gt;0,(D64+N64-O64),0)),2)</f>
        <v>5613.72</v>
      </c>
      <c r="Q64" s="14" t="n">
        <f aca="false">ROUND(IF(E64=0,IF((D64+N64-O64)&lt;0,ABS(D64+N64-O64),0),IF((N64-E64-O64)&lt;0,ABS(N64-E64-O64),0)),2)</f>
        <v>0</v>
      </c>
    </row>
    <row r="65" customFormat="false" ht="15" hidden="false" customHeight="true" outlineLevel="0" collapsed="false">
      <c r="A65" s="12" t="s">
        <v>191</v>
      </c>
      <c r="B65" s="12" t="str">
        <f aca="false">липень!B65</f>
        <v>Никоненко Н.С.</v>
      </c>
      <c r="C65" s="12" t="s">
        <v>193</v>
      </c>
      <c r="D65" s="14" t="n">
        <f aca="false">липень!P65</f>
        <v>11818.99</v>
      </c>
      <c r="E65" s="14" t="n">
        <f aca="false">липень!Q65</f>
        <v>0</v>
      </c>
      <c r="F65" s="13" t="n">
        <f aca="false">липень!F65</f>
        <v>0</v>
      </c>
      <c r="G65" s="13" t="n">
        <f aca="false">липень!G65</f>
        <v>61.88</v>
      </c>
      <c r="H65" s="13" t="n">
        <f aca="false">липень!H65</f>
        <v>0</v>
      </c>
      <c r="I65" s="13" t="n">
        <f aca="false">липень!I65</f>
        <v>4.1</v>
      </c>
      <c r="J65" s="14" t="n">
        <f aca="false">ROUND(G65*I65,2)</f>
        <v>253.71</v>
      </c>
      <c r="K65" s="14"/>
      <c r="L65" s="14"/>
      <c r="M65" s="14"/>
      <c r="N65" s="14" t="n">
        <f aca="false">ROUND((G65*I65)-K65-L65-M65,2)</f>
        <v>253.71</v>
      </c>
      <c r="O65" s="14"/>
      <c r="P65" s="14" t="n">
        <f aca="false">ROUND(IF(D65=0,IF((N65-E65-O65)&gt;0,(N65-E65-O65),0),IF((D65+N65-O65)&gt;0,(D65+N65-O65),0)),2)</f>
        <v>12072.7</v>
      </c>
      <c r="Q65" s="14" t="n">
        <f aca="false">ROUND(IF(E65=0,IF((D65+N65-O65)&lt;0,ABS(D65+N65-O65),0),IF((N65-E65-O65)&lt;0,ABS(N65-E65-O65),0)),2)</f>
        <v>0</v>
      </c>
    </row>
    <row r="66" customFormat="false" ht="15" hidden="false" customHeight="true" outlineLevel="0" collapsed="false">
      <c r="A66" s="12" t="s">
        <v>194</v>
      </c>
      <c r="B66" s="12" t="str">
        <f aca="false">липень!B66</f>
        <v>Чепок О.В.</v>
      </c>
      <c r="C66" s="12" t="s">
        <v>196</v>
      </c>
      <c r="D66" s="14" t="n">
        <f aca="false">липень!P66</f>
        <v>6588.41</v>
      </c>
      <c r="E66" s="14" t="n">
        <f aca="false">липень!Q66</f>
        <v>0</v>
      </c>
      <c r="F66" s="13" t="n">
        <f aca="false">липень!F66</f>
        <v>0</v>
      </c>
      <c r="G66" s="13" t="n">
        <f aca="false">липень!G66</f>
        <v>35</v>
      </c>
      <c r="H66" s="13" t="n">
        <f aca="false">липень!H66</f>
        <v>0</v>
      </c>
      <c r="I66" s="13" t="n">
        <f aca="false">липень!I66</f>
        <v>4.1</v>
      </c>
      <c r="J66" s="14" t="n">
        <f aca="false">ROUND(G66*I66,2)</f>
        <v>143.5</v>
      </c>
      <c r="K66" s="14"/>
      <c r="L66" s="14"/>
      <c r="M66" s="14"/>
      <c r="N66" s="14" t="n">
        <f aca="false">ROUND((G66*I66)-K66-L66-M66,2)</f>
        <v>143.5</v>
      </c>
      <c r="O66" s="14"/>
      <c r="P66" s="14" t="n">
        <f aca="false">ROUND(IF(D66=0,IF((N66-E66-O66)&gt;0,(N66-E66-O66),0),IF((D66+N66-O66)&gt;0,(D66+N66-O66),0)),2)</f>
        <v>6731.91</v>
      </c>
      <c r="Q66" s="14" t="n">
        <f aca="false">ROUND(IF(E66=0,IF((D66+N66-O66)&lt;0,ABS(D66+N66-O66),0),IF((N66-E66-O66)&lt;0,ABS(N66-E66-O66),0)),2)</f>
        <v>0</v>
      </c>
    </row>
    <row r="67" customFormat="false" ht="15" hidden="false" customHeight="true" outlineLevel="0" collapsed="false">
      <c r="A67" s="12" t="s">
        <v>197</v>
      </c>
      <c r="B67" s="12" t="str">
        <f aca="false">липень!B67</f>
        <v>Горошенко Л.С.</v>
      </c>
      <c r="C67" s="12" t="s">
        <v>199</v>
      </c>
      <c r="D67" s="14" t="n">
        <f aca="false">липень!P67</f>
        <v>3436.21</v>
      </c>
      <c r="E67" s="14" t="n">
        <f aca="false">липень!Q67</f>
        <v>0</v>
      </c>
      <c r="F67" s="13" t="n">
        <f aca="false">липень!F67</f>
        <v>0</v>
      </c>
      <c r="G67" s="13" t="n">
        <f aca="false">липень!G67</f>
        <v>49.3</v>
      </c>
      <c r="H67" s="13" t="n">
        <f aca="false">липень!H67</f>
        <v>0</v>
      </c>
      <c r="I67" s="13" t="n">
        <f aca="false">липень!I67</f>
        <v>4.1</v>
      </c>
      <c r="J67" s="14" t="n">
        <f aca="false">ROUND(G67*I67,2)</f>
        <v>202.13</v>
      </c>
      <c r="K67" s="14"/>
      <c r="L67" s="14"/>
      <c r="M67" s="14"/>
      <c r="N67" s="14" t="n">
        <f aca="false">ROUND((G67*I67)-K67-L67-M67,2)</f>
        <v>202.13</v>
      </c>
      <c r="O67" s="14"/>
      <c r="P67" s="14" t="n">
        <f aca="false">ROUND(IF(D67=0,IF((N67-E67-O67)&gt;0,(N67-E67-O67),0),IF((D67+N67-O67)&gt;0,(D67+N67-O67),0)),2)</f>
        <v>3638.34</v>
      </c>
      <c r="Q67" s="14" t="n">
        <f aca="false">ROUND(IF(E67=0,IF((D67+N67-O67)&lt;0,ABS(D67+N67-O67),0),IF((N67-E67-O67)&lt;0,ABS(N67-E67-O67),0)),2)</f>
        <v>0</v>
      </c>
    </row>
    <row r="68" customFormat="false" ht="15" hidden="false" customHeight="true" outlineLevel="0" collapsed="false">
      <c r="A68" s="12" t="s">
        <v>200</v>
      </c>
      <c r="B68" s="12" t="str">
        <f aca="false">липень!B68</f>
        <v>Неграчева Л.Г.</v>
      </c>
      <c r="C68" s="12" t="s">
        <v>202</v>
      </c>
      <c r="D68" s="14" t="n">
        <f aca="false">липень!P68</f>
        <v>1911.42</v>
      </c>
      <c r="E68" s="14" t="n">
        <f aca="false">липень!Q68</f>
        <v>0</v>
      </c>
      <c r="F68" s="13" t="n">
        <f aca="false">липень!F68</f>
        <v>0</v>
      </c>
      <c r="G68" s="13" t="n">
        <f aca="false">липень!G68</f>
        <v>66.6</v>
      </c>
      <c r="H68" s="13" t="n">
        <f aca="false">липень!H68</f>
        <v>0</v>
      </c>
      <c r="I68" s="13" t="n">
        <f aca="false">липень!I68</f>
        <v>4.1</v>
      </c>
      <c r="J68" s="14" t="n">
        <f aca="false">ROUND(G68*I68,2)</f>
        <v>273.06</v>
      </c>
      <c r="K68" s="14"/>
      <c r="L68" s="14"/>
      <c r="M68" s="14"/>
      <c r="N68" s="14" t="n">
        <f aca="false">ROUND((G68*I68)-K68-L68-M68,2)</f>
        <v>273.06</v>
      </c>
      <c r="O68" s="14"/>
      <c r="P68" s="14" t="n">
        <f aca="false">ROUND(IF(D68=0,IF((N68-E68-O68)&gt;0,(N68-E68-O68),0),IF((D68+N68-O68)&gt;0,(D68+N68-O68),0)),2)</f>
        <v>2184.48</v>
      </c>
      <c r="Q68" s="14" t="n">
        <f aca="false">ROUND(IF(E68=0,IF((D68+N68-O68)&lt;0,ABS(D68+N68-O68),0),IF((N68-E68-O68)&lt;0,ABS(N68-E68-O68),0)),2)</f>
        <v>0</v>
      </c>
    </row>
    <row r="69" customFormat="false" ht="15" hidden="false" customHeight="true" outlineLevel="0" collapsed="false">
      <c r="A69" s="12" t="s">
        <v>203</v>
      </c>
      <c r="B69" s="12" t="str">
        <f aca="false">липень!B69</f>
        <v>Брежнєв О.В.</v>
      </c>
      <c r="C69" s="12" t="s">
        <v>205</v>
      </c>
      <c r="D69" s="14" t="n">
        <f aca="false">липень!P69</f>
        <v>3190.21</v>
      </c>
      <c r="E69" s="14" t="n">
        <f aca="false">липень!Q69</f>
        <v>0</v>
      </c>
      <c r="F69" s="13" t="n">
        <f aca="false">липень!F69</f>
        <v>0</v>
      </c>
      <c r="G69" s="13" t="n">
        <f aca="false">липень!G69</f>
        <v>61.88</v>
      </c>
      <c r="H69" s="13" t="n">
        <f aca="false">липень!H69</f>
        <v>0</v>
      </c>
      <c r="I69" s="13" t="n">
        <f aca="false">липень!I69</f>
        <v>4.1</v>
      </c>
      <c r="J69" s="14" t="n">
        <f aca="false">ROUND(G69*I69,2)</f>
        <v>253.71</v>
      </c>
      <c r="K69" s="14"/>
      <c r="L69" s="14"/>
      <c r="M69" s="14"/>
      <c r="N69" s="14" t="n">
        <f aca="false">ROUND((G69*I69)-K69-L69-M69,2)</f>
        <v>253.71</v>
      </c>
      <c r="O69" s="14"/>
      <c r="P69" s="14" t="n">
        <f aca="false">ROUND(IF(D69=0,IF((N69-E69-O69)&gt;0,(N69-E69-O69),0),IF((D69+N69-O69)&gt;0,(D69+N69-O69),0)),2)</f>
        <v>3443.92</v>
      </c>
      <c r="Q69" s="14" t="n">
        <f aca="false">ROUND(IF(E69=0,IF((D69+N69-O69)&lt;0,ABS(D69+N69-O69),0),IF((N69-E69-O69)&lt;0,ABS(N69-E69-O69),0)),2)</f>
        <v>0</v>
      </c>
    </row>
    <row r="70" customFormat="false" ht="15" hidden="false" customHeight="true" outlineLevel="0" collapsed="false">
      <c r="A70" s="12" t="s">
        <v>206</v>
      </c>
      <c r="B70" s="12" t="str">
        <f aca="false">липень!B70</f>
        <v>Горбатюк К.О.</v>
      </c>
      <c r="C70" s="12" t="s">
        <v>208</v>
      </c>
      <c r="D70" s="14" t="n">
        <f aca="false">липень!P70</f>
        <v>2006.76</v>
      </c>
      <c r="E70" s="14" t="n">
        <f aca="false">липень!Q70</f>
        <v>0</v>
      </c>
      <c r="F70" s="13" t="n">
        <f aca="false">липень!F70</f>
        <v>0</v>
      </c>
      <c r="G70" s="13" t="n">
        <f aca="false">липень!G70</f>
        <v>34.96</v>
      </c>
      <c r="H70" s="13" t="n">
        <f aca="false">липень!H70</f>
        <v>0</v>
      </c>
      <c r="I70" s="13" t="n">
        <f aca="false">липень!I70</f>
        <v>4.1</v>
      </c>
      <c r="J70" s="14" t="n">
        <f aca="false">ROUND(G70*I70,2)</f>
        <v>143.34</v>
      </c>
      <c r="K70" s="14"/>
      <c r="L70" s="14"/>
      <c r="M70" s="14"/>
      <c r="N70" s="14" t="n">
        <f aca="false">ROUND((G70*I70)-K70-L70-M70,2)</f>
        <v>143.34</v>
      </c>
      <c r="O70" s="14"/>
      <c r="P70" s="14" t="n">
        <f aca="false">ROUND(IF(D70=0,IF((N70-E70-O70)&gt;0,(N70-E70-O70),0),IF((D70+N70-O70)&gt;0,(D70+N70-O70),0)),2)</f>
        <v>2150.1</v>
      </c>
      <c r="Q70" s="14" t="n">
        <f aca="false">ROUND(IF(E70=0,IF((D70+N70-O70)&lt;0,ABS(D70+N70-O70),0),IF((N70-E70-O70)&lt;0,ABS(N70-E70-O70),0)),2)</f>
        <v>0</v>
      </c>
    </row>
    <row r="71" customFormat="false" ht="15" hidden="false" customHeight="true" outlineLevel="0" collapsed="false">
      <c r="A71" s="12" t="s">
        <v>209</v>
      </c>
      <c r="B71" s="12" t="str">
        <f aca="false">липень!B71</f>
        <v>Божик М.О.</v>
      </c>
      <c r="C71" s="12" t="s">
        <v>211</v>
      </c>
      <c r="D71" s="14" t="n">
        <f aca="false">липень!P71</f>
        <v>1230.72</v>
      </c>
      <c r="E71" s="14" t="n">
        <f aca="false">липень!Q71</f>
        <v>0</v>
      </c>
      <c r="F71" s="13" t="n">
        <f aca="false">липень!F71</f>
        <v>0</v>
      </c>
      <c r="G71" s="13" t="n">
        <f aca="false">липень!G71</f>
        <v>50.03</v>
      </c>
      <c r="H71" s="13" t="n">
        <f aca="false">липень!H71</f>
        <v>0</v>
      </c>
      <c r="I71" s="13" t="n">
        <f aca="false">липень!I71</f>
        <v>4.1</v>
      </c>
      <c r="J71" s="14" t="n">
        <f aca="false">ROUND(G71*I71,2)</f>
        <v>205.12</v>
      </c>
      <c r="K71" s="14"/>
      <c r="L71" s="14"/>
      <c r="M71" s="14"/>
      <c r="N71" s="14" t="n">
        <f aca="false">ROUND((G71*I71)-K71-L71-M71,2)</f>
        <v>205.12</v>
      </c>
      <c r="O71" s="14"/>
      <c r="P71" s="14" t="n">
        <f aca="false">ROUND(IF(D71=0,IF((N71-E71-O71)&gt;0,(N71-E71-O71),0),IF((D71+N71-O71)&gt;0,(D71+N71-O71),0)),2)</f>
        <v>1435.84</v>
      </c>
      <c r="Q71" s="14" t="n">
        <f aca="false">ROUND(IF(E71=0,IF((D71+N71-O71)&lt;0,ABS(D71+N71-O71),0),IF((N71-E71-O71)&lt;0,ABS(N71-E71-O71),0)),2)</f>
        <v>0</v>
      </c>
    </row>
    <row r="72" customFormat="false" ht="15" hidden="false" customHeight="true" outlineLevel="0" collapsed="false">
      <c r="A72" s="12" t="s">
        <v>212</v>
      </c>
      <c r="B72" s="12" t="str">
        <f aca="false">липень!B72</f>
        <v>Зайченко С.Л</v>
      </c>
      <c r="C72" s="12" t="s">
        <v>214</v>
      </c>
      <c r="D72" s="14" t="n">
        <f aca="false">липень!P72</f>
        <v>14394.81</v>
      </c>
      <c r="E72" s="14" t="n">
        <f aca="false">липень!Q72</f>
        <v>0</v>
      </c>
      <c r="F72" s="13" t="n">
        <f aca="false">липень!F72</f>
        <v>0</v>
      </c>
      <c r="G72" s="13" t="n">
        <f aca="false">липень!G72</f>
        <v>65.15</v>
      </c>
      <c r="H72" s="13" t="n">
        <f aca="false">липень!H72</f>
        <v>0</v>
      </c>
      <c r="I72" s="13" t="n">
        <f aca="false">липень!I72</f>
        <v>4.1</v>
      </c>
      <c r="J72" s="14" t="n">
        <f aca="false">ROUND(G72*I72,2)</f>
        <v>267.12</v>
      </c>
      <c r="K72" s="14"/>
      <c r="L72" s="14"/>
      <c r="M72" s="14"/>
      <c r="N72" s="14" t="n">
        <f aca="false">ROUND((G72*I72)-K72-L72-M72,2)</f>
        <v>267.12</v>
      </c>
      <c r="O72" s="14"/>
      <c r="P72" s="14" t="n">
        <f aca="false">ROUND(IF(D72=0,IF((N72-E72-O72)&gt;0,(N72-E72-O72),0),IF((D72+N72-O72)&gt;0,(D72+N72-O72),0)),2)</f>
        <v>14661.93</v>
      </c>
      <c r="Q72" s="14" t="n">
        <f aca="false">ROUND(IF(E72=0,IF((D72+N72-O72)&lt;0,ABS(D72+N72-O72),0),IF((N72-E72-O72)&lt;0,ABS(N72-E72-O72),0)),2)</f>
        <v>0</v>
      </c>
    </row>
    <row r="73" customFormat="false" ht="15" hidden="false" customHeight="true" outlineLevel="0" collapsed="false">
      <c r="A73" s="12" t="s">
        <v>215</v>
      </c>
      <c r="B73" s="12" t="str">
        <f aca="false">липень!B73</f>
        <v>Бессараб Н.Г.</v>
      </c>
      <c r="C73" s="12" t="s">
        <v>217</v>
      </c>
      <c r="D73" s="14" t="n">
        <f aca="false">липень!P73</f>
        <v>3367.83</v>
      </c>
      <c r="E73" s="14" t="n">
        <f aca="false">липень!Q73</f>
        <v>0</v>
      </c>
      <c r="F73" s="13" t="n">
        <f aca="false">липень!F73</f>
        <v>0</v>
      </c>
      <c r="G73" s="13" t="n">
        <f aca="false">липень!G73</f>
        <v>63.41</v>
      </c>
      <c r="H73" s="13" t="n">
        <f aca="false">липень!H73</f>
        <v>0</v>
      </c>
      <c r="I73" s="13" t="n">
        <f aca="false">липень!I73</f>
        <v>4.1</v>
      </c>
      <c r="J73" s="14" t="n">
        <f aca="false">ROUND(G73*I73,2)</f>
        <v>259.98</v>
      </c>
      <c r="K73" s="14"/>
      <c r="L73" s="14"/>
      <c r="M73" s="14"/>
      <c r="N73" s="14" t="n">
        <f aca="false">ROUND((G73*I73)-K73-L73-M73,2)</f>
        <v>259.98</v>
      </c>
      <c r="O73" s="14"/>
      <c r="P73" s="14" t="n">
        <f aca="false">ROUND(IF(D73=0,IF((N73-E73-O73)&gt;0,(N73-E73-O73),0),IF((D73+N73-O73)&gt;0,(D73+N73-O73),0)),2)</f>
        <v>3627.81</v>
      </c>
      <c r="Q73" s="14" t="n">
        <f aca="false">ROUND(IF(E73=0,IF((D73+N73-O73)&lt;0,ABS(D73+N73-O73),0),IF((N73-E73-O73)&lt;0,ABS(N73-E73-O73),0)),2)</f>
        <v>0</v>
      </c>
    </row>
    <row r="74" customFormat="false" ht="15" hidden="false" customHeight="true" outlineLevel="0" collapsed="false">
      <c r="A74" s="12" t="s">
        <v>218</v>
      </c>
      <c r="B74" s="12" t="str">
        <f aca="false">липень!B74</f>
        <v>Прохорова С.І.</v>
      </c>
      <c r="C74" s="12" t="s">
        <v>220</v>
      </c>
      <c r="D74" s="14" t="n">
        <f aca="false">липень!P74</f>
        <v>964.2</v>
      </c>
      <c r="E74" s="14" t="n">
        <f aca="false">липень!Q74</f>
        <v>0</v>
      </c>
      <c r="F74" s="13" t="n">
        <f aca="false">липень!F74</f>
        <v>0</v>
      </c>
      <c r="G74" s="13" t="n">
        <f aca="false">липень!G74</f>
        <v>35.19</v>
      </c>
      <c r="H74" s="13" t="n">
        <f aca="false">липень!H74</f>
        <v>0</v>
      </c>
      <c r="I74" s="13" t="n">
        <f aca="false">липень!I74</f>
        <v>4.1</v>
      </c>
      <c r="J74" s="14" t="n">
        <f aca="false">ROUND(G74*I74,2)</f>
        <v>144.28</v>
      </c>
      <c r="K74" s="14"/>
      <c r="L74" s="14"/>
      <c r="M74" s="14"/>
      <c r="N74" s="14" t="n">
        <f aca="false">ROUND((G74*I74)-K74-L74-M74,2)</f>
        <v>144.28</v>
      </c>
      <c r="O74" s="14"/>
      <c r="P74" s="14" t="n">
        <f aca="false">ROUND(IF(D74=0,IF((N74-E74-O74)&gt;0,(N74-E74-O74),0),IF((D74+N74-O74)&gt;0,(D74+N74-O74),0)),2)</f>
        <v>1108.48</v>
      </c>
      <c r="Q74" s="14" t="n">
        <f aca="false">ROUND(IF(E74=0,IF((D74+N74-O74)&lt;0,ABS(D74+N74-O74),0),IF((N74-E74-O74)&lt;0,ABS(N74-E74-O74),0)),2)</f>
        <v>0</v>
      </c>
    </row>
    <row r="75" customFormat="false" ht="15" hidden="false" customHeight="true" outlineLevel="0" collapsed="false">
      <c r="A75" s="12" t="s">
        <v>221</v>
      </c>
      <c r="B75" s="12" t="str">
        <f aca="false">липень!B75</f>
        <v>Браташ А.Ф.</v>
      </c>
      <c r="C75" s="12" t="s">
        <v>223</v>
      </c>
      <c r="D75" s="14" t="n">
        <f aca="false">липень!P75</f>
        <v>11312.92</v>
      </c>
      <c r="E75" s="14" t="n">
        <f aca="false">липень!Q75</f>
        <v>0</v>
      </c>
      <c r="F75" s="13" t="n">
        <f aca="false">липень!F75</f>
        <v>0</v>
      </c>
      <c r="G75" s="13" t="n">
        <f aca="false">липень!G75</f>
        <v>49.89</v>
      </c>
      <c r="H75" s="13" t="n">
        <f aca="false">липень!H75</f>
        <v>0</v>
      </c>
      <c r="I75" s="13" t="n">
        <f aca="false">липень!I75</f>
        <v>4.1</v>
      </c>
      <c r="J75" s="14" t="n">
        <f aca="false">ROUND(G75*I75,2)</f>
        <v>204.55</v>
      </c>
      <c r="K75" s="14"/>
      <c r="L75" s="14"/>
      <c r="M75" s="14"/>
      <c r="N75" s="14" t="n">
        <f aca="false">ROUND((G75*I75)-K75-L75-M75,2)</f>
        <v>204.55</v>
      </c>
      <c r="O75" s="14"/>
      <c r="P75" s="14" t="n">
        <f aca="false">ROUND(IF(D75=0,IF((N75-E75-O75)&gt;0,(N75-E75-O75),0),IF((D75+N75-O75)&gt;0,(D75+N75-O75),0)),2)</f>
        <v>11517.47</v>
      </c>
      <c r="Q75" s="14" t="n">
        <f aca="false">ROUND(IF(E75=0,IF((D75+N75-O75)&lt;0,ABS(D75+N75-O75),0),IF((N75-E75-O75)&lt;0,ABS(N75-E75-O75),0)),2)</f>
        <v>0</v>
      </c>
    </row>
    <row r="76" customFormat="false" ht="15" hidden="false" customHeight="true" outlineLevel="0" collapsed="false">
      <c r="A76" s="12" t="s">
        <v>224</v>
      </c>
      <c r="B76" s="12" t="str">
        <f aca="false">липень!B76</f>
        <v>Кудас Д.О.</v>
      </c>
      <c r="C76" s="12" t="s">
        <v>226</v>
      </c>
      <c r="D76" s="14" t="n">
        <f aca="false">липень!P76</f>
        <v>2932.82</v>
      </c>
      <c r="E76" s="14" t="n">
        <f aca="false">липень!Q76</f>
        <v>0</v>
      </c>
      <c r="F76" s="13" t="n">
        <f aca="false">липень!F76</f>
        <v>0</v>
      </c>
      <c r="G76" s="13" t="n">
        <f aca="false">липень!G76</f>
        <v>65.03</v>
      </c>
      <c r="H76" s="13" t="n">
        <f aca="false">липень!H76</f>
        <v>0</v>
      </c>
      <c r="I76" s="13" t="n">
        <f aca="false">липень!I76</f>
        <v>4.1</v>
      </c>
      <c r="J76" s="14" t="n">
        <f aca="false">ROUND(G76*I76,2)</f>
        <v>266.62</v>
      </c>
      <c r="K76" s="14"/>
      <c r="L76" s="14"/>
      <c r="M76" s="14"/>
      <c r="N76" s="14" t="n">
        <f aca="false">ROUND((G76*I76)-K76-L76-M76,2)</f>
        <v>266.62</v>
      </c>
      <c r="O76" s="14"/>
      <c r="P76" s="14" t="n">
        <f aca="false">ROUND(IF(D76=0,IF((N76-E76-O76)&gt;0,(N76-E76-O76),0),IF((D76+N76-O76)&gt;0,(D76+N76-O76),0)),2)</f>
        <v>3199.44</v>
      </c>
      <c r="Q76" s="14" t="n">
        <f aca="false">ROUND(IF(E76=0,IF((D76+N76-O76)&lt;0,ABS(D76+N76-O76),0),IF((N76-E76-O76)&lt;0,ABS(N76-E76-O76),0)),2)</f>
        <v>0</v>
      </c>
    </row>
    <row r="77" customFormat="false" ht="15" hidden="false" customHeight="true" outlineLevel="0" collapsed="false">
      <c r="A77" s="12" t="s">
        <v>227</v>
      </c>
      <c r="B77" s="12" t="str">
        <f aca="false">липень!B77</f>
        <v>Шушлєбін Б.В.</v>
      </c>
      <c r="C77" s="12" t="s">
        <v>229</v>
      </c>
      <c r="D77" s="14" t="n">
        <f aca="false">липень!P77</f>
        <v>1611.85</v>
      </c>
      <c r="E77" s="14" t="n">
        <f aca="false">липень!Q77</f>
        <v>0</v>
      </c>
      <c r="F77" s="13" t="n">
        <f aca="false">липень!F77</f>
        <v>0</v>
      </c>
      <c r="G77" s="13" t="n">
        <f aca="false">липень!G77</f>
        <v>62.11</v>
      </c>
      <c r="H77" s="13" t="n">
        <f aca="false">липень!H77</f>
        <v>0</v>
      </c>
      <c r="I77" s="13" t="n">
        <f aca="false">липень!I77</f>
        <v>4.1</v>
      </c>
      <c r="J77" s="14" t="n">
        <f aca="false">ROUND(G77*I77,2)</f>
        <v>254.65</v>
      </c>
      <c r="K77" s="14"/>
      <c r="L77" s="14"/>
      <c r="M77" s="14"/>
      <c r="N77" s="14" t="n">
        <f aca="false">ROUND((G77*I77)-K77-L77-M77,2)</f>
        <v>254.65</v>
      </c>
      <c r="O77" s="14"/>
      <c r="P77" s="14" t="n">
        <f aca="false">ROUND(IF(D77=0,IF((N77-E77-O77)&gt;0,(N77-E77-O77),0),IF((D77+N77-O77)&gt;0,(D77+N77-O77),0)),2)</f>
        <v>1866.5</v>
      </c>
      <c r="Q77" s="14" t="n">
        <f aca="false">ROUND(IF(E77=0,IF((D77+N77-O77)&lt;0,ABS(D77+N77-O77),0),IF((N77-E77-O77)&lt;0,ABS(N77-E77-O77),0)),2)</f>
        <v>0</v>
      </c>
    </row>
    <row r="78" customFormat="false" ht="15" hidden="false" customHeight="true" outlineLevel="0" collapsed="false">
      <c r="A78" s="12" t="s">
        <v>230</v>
      </c>
      <c r="B78" s="12" t="str">
        <f aca="false">липень!B78</f>
        <v>Бородіна І.О.</v>
      </c>
      <c r="C78" s="12" t="s">
        <v>232</v>
      </c>
      <c r="D78" s="14" t="n">
        <f aca="false">липень!P78</f>
        <v>7191.62</v>
      </c>
      <c r="E78" s="14" t="n">
        <f aca="false">липень!Q78</f>
        <v>0</v>
      </c>
      <c r="F78" s="13" t="n">
        <f aca="false">липень!F78</f>
        <v>0</v>
      </c>
      <c r="G78" s="13" t="n">
        <f aca="false">липень!G78</f>
        <v>34.9</v>
      </c>
      <c r="H78" s="13" t="n">
        <f aca="false">липень!H78</f>
        <v>0</v>
      </c>
      <c r="I78" s="13" t="n">
        <f aca="false">липень!I78</f>
        <v>4.1</v>
      </c>
      <c r="J78" s="14" t="n">
        <f aca="false">ROUND(G78*I78,2)</f>
        <v>143.09</v>
      </c>
      <c r="K78" s="14"/>
      <c r="L78" s="14"/>
      <c r="M78" s="14"/>
      <c r="N78" s="14" t="n">
        <f aca="false">ROUND((G78*I78)-K78-L78-M78,2)</f>
        <v>143.09</v>
      </c>
      <c r="O78" s="14"/>
      <c r="P78" s="14" t="n">
        <f aca="false">ROUND(IF(D78=0,IF((N78-E78-O78)&gt;0,(N78-E78-O78),0),IF((D78+N78-O78)&gt;0,(D78+N78-O78),0)),2)</f>
        <v>7334.71</v>
      </c>
      <c r="Q78" s="14" t="n">
        <f aca="false">ROUND(IF(E78=0,IF((D78+N78-O78)&lt;0,ABS(D78+N78-O78),0),IF((N78-E78-O78)&lt;0,ABS(N78-E78-O78),0)),2)</f>
        <v>0</v>
      </c>
    </row>
    <row r="79" customFormat="false" ht="15" hidden="false" customHeight="true" outlineLevel="0" collapsed="false">
      <c r="A79" s="12" t="s">
        <v>233</v>
      </c>
      <c r="B79" s="12" t="str">
        <f aca="false">липень!B79</f>
        <v>Котурга Л.Й.</v>
      </c>
      <c r="C79" s="12" t="s">
        <v>235</v>
      </c>
      <c r="D79" s="14" t="n">
        <f aca="false">липень!P79</f>
        <v>1412.04</v>
      </c>
      <c r="E79" s="14" t="n">
        <f aca="false">липень!Q79</f>
        <v>0</v>
      </c>
      <c r="F79" s="13" t="n">
        <f aca="false">липень!F79</f>
        <v>0</v>
      </c>
      <c r="G79" s="13" t="n">
        <f aca="false">липень!G79</f>
        <v>49.2</v>
      </c>
      <c r="H79" s="13" t="n">
        <f aca="false">липень!H79</f>
        <v>0</v>
      </c>
      <c r="I79" s="13" t="n">
        <f aca="false">липень!I79</f>
        <v>4.1</v>
      </c>
      <c r="J79" s="14" t="n">
        <f aca="false">ROUND(G79*I79,2)</f>
        <v>201.72</v>
      </c>
      <c r="K79" s="14"/>
      <c r="L79" s="14"/>
      <c r="M79" s="14"/>
      <c r="N79" s="14" t="n">
        <f aca="false">ROUND((G79*I79)-K79-L79-M79,2)</f>
        <v>201.72</v>
      </c>
      <c r="O79" s="14"/>
      <c r="P79" s="14" t="n">
        <f aca="false">ROUND(IF(D79=0,IF((N79-E79-O79)&gt;0,(N79-E79-O79),0),IF((D79+N79-O79)&gt;0,(D79+N79-O79),0)),2)</f>
        <v>1613.76</v>
      </c>
      <c r="Q79" s="14" t="n">
        <f aca="false">ROUND(IF(E79=0,IF((D79+N79-O79)&lt;0,ABS(D79+N79-O79),0),IF((N79-E79-O79)&lt;0,ABS(N79-E79-O79),0)),2)</f>
        <v>0</v>
      </c>
    </row>
    <row r="80" customFormat="false" ht="15" hidden="false" customHeight="true" outlineLevel="0" collapsed="false">
      <c r="A80" s="12" t="s">
        <v>236</v>
      </c>
      <c r="B80" s="12" t="str">
        <f aca="false">липень!B80</f>
        <v>Горова О.І.</v>
      </c>
      <c r="C80" s="12" t="s">
        <v>238</v>
      </c>
      <c r="D80" s="14" t="n">
        <f aca="false">липень!P80</f>
        <v>2146.08</v>
      </c>
      <c r="E80" s="14" t="n">
        <f aca="false">липень!Q80</f>
        <v>0</v>
      </c>
      <c r="F80" s="13" t="n">
        <f aca="false">липень!F80</f>
        <v>0</v>
      </c>
      <c r="G80" s="13" t="n">
        <f aca="false">липень!G80</f>
        <v>65.43</v>
      </c>
      <c r="H80" s="13" t="n">
        <f aca="false">липень!H80</f>
        <v>0</v>
      </c>
      <c r="I80" s="13" t="n">
        <f aca="false">липень!I80</f>
        <v>4.1</v>
      </c>
      <c r="J80" s="14" t="n">
        <f aca="false">ROUND(G80*I80,2)</f>
        <v>268.26</v>
      </c>
      <c r="K80" s="14"/>
      <c r="L80" s="14"/>
      <c r="M80" s="14"/>
      <c r="N80" s="14" t="n">
        <f aca="false">ROUND((G80*I80)-K80-L80-M80,2)</f>
        <v>268.26</v>
      </c>
      <c r="O80" s="14"/>
      <c r="P80" s="14" t="n">
        <f aca="false">ROUND(IF(D80=0,IF((N80-E80-O80)&gt;0,(N80-E80-O80),0),IF((D80+N80-O80)&gt;0,(D80+N80-O80),0)),2)</f>
        <v>2414.34</v>
      </c>
      <c r="Q80" s="14" t="n">
        <f aca="false">ROUND(IF(E80=0,IF((D80+N80-O80)&lt;0,ABS(D80+N80-O80),0),IF((N80-E80-O80)&lt;0,ABS(N80-E80-O80),0)),2)</f>
        <v>0</v>
      </c>
    </row>
    <row r="81" customFormat="false" ht="15" hidden="false" customHeight="true" outlineLevel="0" collapsed="false">
      <c r="A81" s="12" t="s">
        <v>239</v>
      </c>
      <c r="B81" s="12" t="str">
        <f aca="false">липень!B81</f>
        <v>Рибакевич М.П.</v>
      </c>
      <c r="C81" s="12" t="s">
        <v>241</v>
      </c>
      <c r="D81" s="14" t="n">
        <f aca="false">липень!P81</f>
        <v>2863.45</v>
      </c>
      <c r="E81" s="14" t="n">
        <f aca="false">липень!Q81</f>
        <v>0</v>
      </c>
      <c r="F81" s="13" t="n">
        <f aca="false">липень!F81</f>
        <v>0</v>
      </c>
      <c r="G81" s="13" t="n">
        <f aca="false">липень!G81</f>
        <v>64.5</v>
      </c>
      <c r="H81" s="13" t="n">
        <f aca="false">липень!H81</f>
        <v>0</v>
      </c>
      <c r="I81" s="13" t="n">
        <f aca="false">липень!I81</f>
        <v>4.1</v>
      </c>
      <c r="J81" s="14" t="n">
        <f aca="false">ROUND(G81*I81,2)</f>
        <v>264.45</v>
      </c>
      <c r="K81" s="14"/>
      <c r="L81" s="14"/>
      <c r="M81" s="14"/>
      <c r="N81" s="14" t="n">
        <f aca="false">ROUND((G81*I81)-K81-L81-M81,2)</f>
        <v>264.45</v>
      </c>
      <c r="O81" s="14"/>
      <c r="P81" s="14" t="n">
        <f aca="false">ROUND(IF(D81=0,IF((N81-E81-O81)&gt;0,(N81-E81-O81),0),IF((D81+N81-O81)&gt;0,(D81+N81-O81),0)),2)</f>
        <v>3127.9</v>
      </c>
      <c r="Q81" s="14" t="n">
        <f aca="false">ROUND(IF(E81=0,IF((D81+N81-O81)&lt;0,ABS(D81+N81-O81),0),IF((N81-E81-O81)&lt;0,ABS(N81-E81-O81),0)),2)</f>
        <v>0</v>
      </c>
    </row>
    <row r="82" customFormat="false" ht="15" hidden="false" customHeight="true" outlineLevel="0" collapsed="false">
      <c r="A82" s="12" t="s">
        <v>242</v>
      </c>
      <c r="B82" s="12" t="str">
        <f aca="false">липень!B82</f>
        <v>Башкалов В.В.</v>
      </c>
      <c r="C82" s="12" t="s">
        <v>244</v>
      </c>
      <c r="D82" s="14" t="n">
        <f aca="false">липень!P82</f>
        <v>1455.04</v>
      </c>
      <c r="E82" s="14" t="n">
        <f aca="false">липень!Q82</f>
        <v>0</v>
      </c>
      <c r="F82" s="13" t="n">
        <f aca="false">липень!F82</f>
        <v>0</v>
      </c>
      <c r="G82" s="13" t="n">
        <f aca="false">липень!G82</f>
        <v>50.8</v>
      </c>
      <c r="H82" s="13" t="n">
        <f aca="false">липень!H82</f>
        <v>0</v>
      </c>
      <c r="I82" s="13" t="n">
        <f aca="false">липень!I82</f>
        <v>4.1</v>
      </c>
      <c r="J82" s="14" t="n">
        <f aca="false">ROUND(G82*I82,2)</f>
        <v>208.28</v>
      </c>
      <c r="K82" s="14"/>
      <c r="L82" s="14"/>
      <c r="M82" s="14"/>
      <c r="N82" s="14" t="n">
        <f aca="false">ROUND((G82*I82)-K82-L82-M82,2)</f>
        <v>208.28</v>
      </c>
      <c r="O82" s="14"/>
      <c r="P82" s="14" t="n">
        <f aca="false">ROUND(IF(D82=0,IF((N82-E82-O82)&gt;0,(N82-E82-O82),0),IF((D82+N82-O82)&gt;0,(D82+N82-O82),0)),2)</f>
        <v>1663.32</v>
      </c>
      <c r="Q82" s="14" t="n">
        <f aca="false">ROUND(IF(E82=0,IF((D82+N82-O82)&lt;0,ABS(D82+N82-O82),0),IF((N82-E82-O82)&lt;0,ABS(N82-E82-O82),0)),2)</f>
        <v>0</v>
      </c>
    </row>
    <row r="83" customFormat="false" ht="15" hidden="false" customHeight="true" outlineLevel="0" collapsed="false">
      <c r="A83" s="12" t="s">
        <v>245</v>
      </c>
      <c r="B83" s="12" t="str">
        <f aca="false">липень!B83</f>
        <v>Тіхенко Г.Д.</v>
      </c>
      <c r="C83" s="12" t="s">
        <v>247</v>
      </c>
      <c r="D83" s="14" t="n">
        <f aca="false">липень!P83</f>
        <v>4719.14</v>
      </c>
      <c r="E83" s="14" t="n">
        <f aca="false">липень!Q83</f>
        <v>0</v>
      </c>
      <c r="F83" s="13" t="n">
        <f aca="false">липень!F83</f>
        <v>0</v>
      </c>
      <c r="G83" s="13" t="n">
        <f aca="false">липень!G83</f>
        <v>34.9</v>
      </c>
      <c r="H83" s="13" t="n">
        <f aca="false">липень!H83</f>
        <v>0</v>
      </c>
      <c r="I83" s="13" t="n">
        <f aca="false">липень!I83</f>
        <v>4.1</v>
      </c>
      <c r="J83" s="14" t="n">
        <f aca="false">ROUND(G83*I83,2)</f>
        <v>143.09</v>
      </c>
      <c r="K83" s="14"/>
      <c r="L83" s="14"/>
      <c r="M83" s="14"/>
      <c r="N83" s="14" t="n">
        <f aca="false">ROUND((G83*I83)-K83-L83-M83,2)</f>
        <v>143.09</v>
      </c>
      <c r="O83" s="14"/>
      <c r="P83" s="14" t="n">
        <f aca="false">ROUND(IF(D83=0,IF((N83-E83-O83)&gt;0,(N83-E83-O83),0),IF((D83+N83-O83)&gt;0,(D83+N83-O83),0)),2)</f>
        <v>4862.23</v>
      </c>
      <c r="Q83" s="14" t="n">
        <f aca="false">ROUND(IF(E83=0,IF((D83+N83-O83)&lt;0,ABS(D83+N83-O83),0),IF((N83-E83-O83)&lt;0,ABS(N83-E83-O83),0)),2)</f>
        <v>0</v>
      </c>
    </row>
    <row r="84" customFormat="false" ht="15" hidden="false" customHeight="true" outlineLevel="0" collapsed="false">
      <c r="A84" s="12" t="s">
        <v>248</v>
      </c>
      <c r="B84" s="12" t="str">
        <f aca="false">липень!B84</f>
        <v>Головченко В.Г.</v>
      </c>
      <c r="C84" s="12" t="s">
        <v>250</v>
      </c>
      <c r="D84" s="14" t="n">
        <f aca="false">липень!P84</f>
        <v>1750.8</v>
      </c>
      <c r="E84" s="14" t="n">
        <f aca="false">липень!Q84</f>
        <v>0</v>
      </c>
      <c r="F84" s="13" t="n">
        <f aca="false">липень!F84</f>
        <v>0</v>
      </c>
      <c r="G84" s="13" t="n">
        <f aca="false">липень!G84</f>
        <v>61</v>
      </c>
      <c r="H84" s="13" t="n">
        <f aca="false">липень!H84</f>
        <v>0</v>
      </c>
      <c r="I84" s="13" t="n">
        <f aca="false">липень!I84</f>
        <v>4.1</v>
      </c>
      <c r="J84" s="14" t="n">
        <f aca="false">ROUND(G84*I84,2)</f>
        <v>250.1</v>
      </c>
      <c r="K84" s="14"/>
      <c r="L84" s="14"/>
      <c r="M84" s="14"/>
      <c r="N84" s="14" t="n">
        <f aca="false">ROUND((G84*I84)-K84-L84-M84,2)</f>
        <v>250.1</v>
      </c>
      <c r="O84" s="14"/>
      <c r="P84" s="14" t="n">
        <f aca="false">ROUND(IF(D84=0,IF((N84-E84-O84)&gt;0,(N84-E84-O84),0),IF((D84+N84-O84)&gt;0,(D84+N84-O84),0)),2)</f>
        <v>2000.9</v>
      </c>
      <c r="Q84" s="14" t="n">
        <f aca="false">ROUND(IF(E84=0,IF((D84+N84-O84)&lt;0,ABS(D84+N84-O84),0),IF((N84-E84-O84)&lt;0,ABS(N84-E84-O84),0)),2)</f>
        <v>0</v>
      </c>
    </row>
    <row r="85" customFormat="false" ht="15" hidden="false" customHeight="true" outlineLevel="0" collapsed="false">
      <c r="A85" s="12" t="s">
        <v>251</v>
      </c>
      <c r="B85" s="12" t="str">
        <f aca="false">липень!B85</f>
        <v>Семанішина Є.С.</v>
      </c>
      <c r="C85" s="12" t="s">
        <v>253</v>
      </c>
      <c r="D85" s="14" t="n">
        <f aca="false">липень!P85</f>
        <v>2252.3</v>
      </c>
      <c r="E85" s="14" t="n">
        <f aca="false">липень!Q85</f>
        <v>0</v>
      </c>
      <c r="F85" s="13" t="n">
        <f aca="false">липень!F85</f>
        <v>0</v>
      </c>
      <c r="G85" s="13" t="n">
        <f aca="false">липень!G85</f>
        <v>64.5</v>
      </c>
      <c r="H85" s="13" t="n">
        <f aca="false">липень!H85</f>
        <v>0</v>
      </c>
      <c r="I85" s="13" t="n">
        <f aca="false">липень!I85</f>
        <v>4.1</v>
      </c>
      <c r="J85" s="14" t="n">
        <f aca="false">ROUND(G85*I85,2)</f>
        <v>264.45</v>
      </c>
      <c r="K85" s="14"/>
      <c r="L85" s="14"/>
      <c r="M85" s="14"/>
      <c r="N85" s="14" t="n">
        <f aca="false">ROUND((G85*I85)-K85-L85-M85,2)</f>
        <v>264.45</v>
      </c>
      <c r="O85" s="14"/>
      <c r="P85" s="14" t="n">
        <f aca="false">ROUND(IF(D85=0,IF((N85-E85-O85)&gt;0,(N85-E85-O85),0),IF((D85+N85-O85)&gt;0,(D85+N85-O85),0)),2)</f>
        <v>2516.75</v>
      </c>
      <c r="Q85" s="14" t="n">
        <f aca="false">ROUND(IF(E85=0,IF((D85+N85-O85)&lt;0,ABS(D85+N85-O85),0),IF((N85-E85-O85)&lt;0,ABS(N85-E85-O85),0)),2)</f>
        <v>0</v>
      </c>
    </row>
    <row r="86" customFormat="false" ht="15" hidden="false" customHeight="true" outlineLevel="0" collapsed="false">
      <c r="A86" s="12" t="s">
        <v>254</v>
      </c>
      <c r="B86" s="12" t="str">
        <f aca="false">липень!B86</f>
        <v>Зінченко Ю.В.</v>
      </c>
      <c r="C86" s="12" t="s">
        <v>256</v>
      </c>
      <c r="D86" s="14" t="n">
        <f aca="false">липень!P86</f>
        <v>1399.17</v>
      </c>
      <c r="E86" s="14" t="n">
        <f aca="false">липень!Q86</f>
        <v>0</v>
      </c>
      <c r="F86" s="13" t="n">
        <f aca="false">липень!F86</f>
        <v>0</v>
      </c>
      <c r="G86" s="13" t="n">
        <f aca="false">липень!G86</f>
        <v>49.3</v>
      </c>
      <c r="H86" s="13" t="n">
        <f aca="false">липень!H86</f>
        <v>0</v>
      </c>
      <c r="I86" s="13" t="n">
        <f aca="false">липень!I86</f>
        <v>4.1</v>
      </c>
      <c r="J86" s="14" t="n">
        <f aca="false">ROUND(G86*I86,2)</f>
        <v>202.13</v>
      </c>
      <c r="K86" s="14"/>
      <c r="L86" s="14"/>
      <c r="M86" s="14"/>
      <c r="N86" s="14" t="n">
        <f aca="false">ROUND((G86*I86)-K86-L86-M86,2)</f>
        <v>202.13</v>
      </c>
      <c r="O86" s="14"/>
      <c r="P86" s="14" t="n">
        <f aca="false">ROUND(IF(D86=0,IF((N86-E86-O86)&gt;0,(N86-E86-O86),0),IF((D86+N86-O86)&gt;0,(D86+N86-O86),0)),2)</f>
        <v>1601.3</v>
      </c>
      <c r="Q86" s="14" t="n">
        <f aca="false">ROUND(IF(E86=0,IF((D86+N86-O86)&lt;0,ABS(D86+N86-O86),0),IF((N86-E86-O86)&lt;0,ABS(N86-E86-O86),0)),2)</f>
        <v>0</v>
      </c>
    </row>
    <row r="87" customFormat="false" ht="15" hidden="false" customHeight="true" outlineLevel="0" collapsed="false">
      <c r="A87" s="12" t="s">
        <v>257</v>
      </c>
      <c r="B87" s="12" t="str">
        <f aca="false">липень!B87</f>
        <v>Рилова Г.П.</v>
      </c>
      <c r="C87" s="12" t="s">
        <v>259</v>
      </c>
      <c r="D87" s="14" t="n">
        <f aca="false">липень!P87</f>
        <v>1148</v>
      </c>
      <c r="E87" s="14" t="n">
        <f aca="false">липень!Q87</f>
        <v>0</v>
      </c>
      <c r="F87" s="13" t="n">
        <f aca="false">липень!F87</f>
        <v>0</v>
      </c>
      <c r="G87" s="13" t="n">
        <f aca="false">липень!G87</f>
        <v>35</v>
      </c>
      <c r="H87" s="13" t="n">
        <f aca="false">липень!H87</f>
        <v>0</v>
      </c>
      <c r="I87" s="13" t="n">
        <f aca="false">липень!I87</f>
        <v>4.1</v>
      </c>
      <c r="J87" s="14" t="n">
        <f aca="false">ROUND(G87*I87,2)</f>
        <v>143.5</v>
      </c>
      <c r="K87" s="14"/>
      <c r="L87" s="14"/>
      <c r="M87" s="14"/>
      <c r="N87" s="14" t="n">
        <f aca="false">ROUND((G87*I87)-K87-L87-M87,2)</f>
        <v>143.5</v>
      </c>
      <c r="O87" s="14"/>
      <c r="P87" s="14" t="n">
        <f aca="false">ROUND(IF(D87=0,IF((N87-E87-O87)&gt;0,(N87-E87-O87),0),IF((D87+N87-O87)&gt;0,(D87+N87-O87),0)),2)</f>
        <v>1291.5</v>
      </c>
      <c r="Q87" s="14" t="n">
        <f aca="false">ROUND(IF(E87=0,IF((D87+N87-O87)&lt;0,ABS(D87+N87-O87),0),IF((N87-E87-O87)&lt;0,ABS(N87-E87-O87),0)),2)</f>
        <v>0</v>
      </c>
    </row>
    <row r="88" customFormat="false" ht="15" hidden="false" customHeight="true" outlineLevel="0" collapsed="false">
      <c r="A88" s="12" t="s">
        <v>260</v>
      </c>
      <c r="B88" s="12" t="str">
        <f aca="false">липень!B88</f>
        <v>Ленський І.О.</v>
      </c>
      <c r="C88" s="12" t="s">
        <v>262</v>
      </c>
      <c r="D88" s="14" t="n">
        <f aca="false">липень!P88</f>
        <v>2027.04</v>
      </c>
      <c r="E88" s="14" t="n">
        <f aca="false">липень!Q88</f>
        <v>0</v>
      </c>
      <c r="F88" s="13" t="n">
        <f aca="false">липень!F88</f>
        <v>0</v>
      </c>
      <c r="G88" s="13" t="n">
        <f aca="false">липень!G88</f>
        <v>61.8</v>
      </c>
      <c r="H88" s="13" t="n">
        <f aca="false">липень!H88</f>
        <v>0</v>
      </c>
      <c r="I88" s="13" t="n">
        <f aca="false">липень!I88</f>
        <v>4.1</v>
      </c>
      <c r="J88" s="14" t="n">
        <f aca="false">ROUND(G88*I88,2)</f>
        <v>253.38</v>
      </c>
      <c r="K88" s="14"/>
      <c r="L88" s="14"/>
      <c r="M88" s="14"/>
      <c r="N88" s="14" t="n">
        <f aca="false">ROUND((G88*I88)-K88-L88-M88,2)</f>
        <v>253.38</v>
      </c>
      <c r="O88" s="14"/>
      <c r="P88" s="14" t="n">
        <f aca="false">ROUND(IF(D88=0,IF((N88-E88-O88)&gt;0,(N88-E88-O88),0),IF((D88+N88-O88)&gt;0,(D88+N88-O88),0)),2)</f>
        <v>2280.42</v>
      </c>
      <c r="Q88" s="14" t="n">
        <f aca="false">ROUND(IF(E88=0,IF((D88+N88-O88)&lt;0,ABS(D88+N88-O88),0),IF((N88-E88-O88)&lt;0,ABS(N88-E88-O88),0)),2)</f>
        <v>0</v>
      </c>
    </row>
    <row r="89" customFormat="false" ht="15" hidden="false" customHeight="true" outlineLevel="0" collapsed="false">
      <c r="A89" s="12" t="s">
        <v>263</v>
      </c>
      <c r="B89" s="12" t="str">
        <f aca="false">липень!B89</f>
        <v>Слюсар О.О.</v>
      </c>
      <c r="C89" s="12" t="s">
        <v>265</v>
      </c>
      <c r="D89" s="14" t="n">
        <f aca="false">липень!P89</f>
        <v>14435.81</v>
      </c>
      <c r="E89" s="14" t="n">
        <f aca="false">липень!Q89</f>
        <v>0</v>
      </c>
      <c r="F89" s="13" t="n">
        <f aca="false">липень!F89</f>
        <v>0</v>
      </c>
      <c r="G89" s="13" t="n">
        <f aca="false">липень!G89</f>
        <v>65.81</v>
      </c>
      <c r="H89" s="13" t="n">
        <f aca="false">липень!H89</f>
        <v>0</v>
      </c>
      <c r="I89" s="13" t="n">
        <f aca="false">липень!I89</f>
        <v>4.1</v>
      </c>
      <c r="J89" s="14" t="n">
        <f aca="false">ROUND(G89*I89,2)</f>
        <v>269.82</v>
      </c>
      <c r="K89" s="14"/>
      <c r="L89" s="14"/>
      <c r="M89" s="14"/>
      <c r="N89" s="14" t="n">
        <f aca="false">ROUND((G89*I89)-K89-L89-M89,2)</f>
        <v>269.82</v>
      </c>
      <c r="O89" s="14"/>
      <c r="P89" s="14" t="n">
        <f aca="false">ROUND(IF(D89=0,IF((N89-E89-O89)&gt;0,(N89-E89-O89),0),IF((D89+N89-O89)&gt;0,(D89+N89-O89),0)),2)</f>
        <v>14705.63</v>
      </c>
      <c r="Q89" s="14" t="n">
        <f aca="false">ROUND(IF(E89=0,IF((D89+N89-O89)&lt;0,ABS(D89+N89-O89),0),IF((N89-E89-O89)&lt;0,ABS(N89-E89-O89),0)),2)</f>
        <v>0</v>
      </c>
    </row>
    <row r="90" customFormat="false" ht="15" hidden="false" customHeight="true" outlineLevel="0" collapsed="false">
      <c r="A90" s="12" t="s">
        <v>266</v>
      </c>
      <c r="B90" s="12" t="str">
        <f aca="false">липень!B90</f>
        <v>Кісельов Г.О.</v>
      </c>
      <c r="C90" s="12" t="s">
        <v>268</v>
      </c>
      <c r="D90" s="14" t="n">
        <f aca="false">липень!P90</f>
        <v>813.7</v>
      </c>
      <c r="E90" s="14" t="n">
        <f aca="false">липень!Q90</f>
        <v>0</v>
      </c>
      <c r="F90" s="13" t="n">
        <f aca="false">липень!F90</f>
        <v>0</v>
      </c>
      <c r="G90" s="13" t="n">
        <f aca="false">липень!G90</f>
        <v>49.7</v>
      </c>
      <c r="H90" s="13" t="n">
        <f aca="false">липень!H90</f>
        <v>0</v>
      </c>
      <c r="I90" s="13" t="n">
        <f aca="false">липень!I90</f>
        <v>4.1</v>
      </c>
      <c r="J90" s="14" t="n">
        <f aca="false">ROUND(G90*I90,2)</f>
        <v>203.77</v>
      </c>
      <c r="K90" s="14"/>
      <c r="L90" s="14"/>
      <c r="M90" s="14"/>
      <c r="N90" s="14" t="n">
        <f aca="false">ROUND((G90*I90)-K90-L90-M90,2)</f>
        <v>203.77</v>
      </c>
      <c r="O90" s="14"/>
      <c r="P90" s="14" t="n">
        <f aca="false">ROUND(IF(D90=0,IF((N90-E90-O90)&gt;0,(N90-E90-O90),0),IF((D90+N90-O90)&gt;0,(D90+N90-O90),0)),2)</f>
        <v>1017.47</v>
      </c>
      <c r="Q90" s="14" t="n">
        <f aca="false">ROUND(IF(E90=0,IF((D90+N90-O90)&lt;0,ABS(D90+N90-O90),0),IF((N90-E90-O90)&lt;0,ABS(N90-E90-O90),0)),2)</f>
        <v>0</v>
      </c>
    </row>
    <row r="91" customFormat="false" ht="15" hidden="false" customHeight="true" outlineLevel="0" collapsed="false">
      <c r="A91" s="12" t="s">
        <v>269</v>
      </c>
      <c r="B91" s="12" t="str">
        <f aca="false">липень!B91</f>
        <v>Губанова Н.С.</v>
      </c>
      <c r="C91" s="12" t="s">
        <v>271</v>
      </c>
      <c r="D91" s="14" t="n">
        <f aca="false">липень!P91</f>
        <v>6789.6</v>
      </c>
      <c r="E91" s="14" t="n">
        <f aca="false">липень!Q91</f>
        <v>0</v>
      </c>
      <c r="F91" s="13" t="n">
        <f aca="false">липень!F91</f>
        <v>0</v>
      </c>
      <c r="G91" s="13" t="n">
        <f aca="false">липень!G91</f>
        <v>34.5</v>
      </c>
      <c r="H91" s="13" t="n">
        <f aca="false">липень!H91</f>
        <v>0</v>
      </c>
      <c r="I91" s="13" t="n">
        <f aca="false">липень!I91</f>
        <v>4.1</v>
      </c>
      <c r="J91" s="14" t="n">
        <f aca="false">ROUND(G91*I91,2)</f>
        <v>141.45</v>
      </c>
      <c r="K91" s="14"/>
      <c r="L91" s="14"/>
      <c r="M91" s="14"/>
      <c r="N91" s="14" t="n">
        <f aca="false">ROUND((G91*I91)-K91-L91-M91,2)</f>
        <v>141.45</v>
      </c>
      <c r="O91" s="14"/>
      <c r="P91" s="14" t="n">
        <f aca="false">ROUND(IF(D91=0,IF((N91-E91-O91)&gt;0,(N91-E91-O91),0),IF((D91+N91-O91)&gt;0,(D91+N91-O91),0)),2)</f>
        <v>6931.05</v>
      </c>
      <c r="Q91" s="14" t="n">
        <f aca="false">ROUND(IF(E91=0,IF((D91+N91-O91)&lt;0,ABS(D91+N91-O91),0),IF((N91-E91-O91)&lt;0,ABS(N91-E91-O91),0)),2)</f>
        <v>0</v>
      </c>
    </row>
    <row r="92" customFormat="false" ht="15" hidden="false" customHeight="true" outlineLevel="0" collapsed="false">
      <c r="A92" s="12" t="s">
        <v>272</v>
      </c>
      <c r="B92" s="12" t="str">
        <f aca="false">липень!B92</f>
        <v>Попова А.В.</v>
      </c>
      <c r="C92" s="12" t="s">
        <v>274</v>
      </c>
      <c r="D92" s="14" t="n">
        <f aca="false">липень!P92</f>
        <v>5547.31</v>
      </c>
      <c r="E92" s="14" t="n">
        <f aca="false">липень!Q92</f>
        <v>0</v>
      </c>
      <c r="F92" s="13" t="n">
        <f aca="false">липень!F92</f>
        <v>0</v>
      </c>
      <c r="G92" s="13" t="n">
        <f aca="false">липень!G92</f>
        <v>62.4</v>
      </c>
      <c r="H92" s="13" t="n">
        <f aca="false">липень!H92</f>
        <v>0</v>
      </c>
      <c r="I92" s="13" t="n">
        <f aca="false">липень!I92</f>
        <v>4.1</v>
      </c>
      <c r="J92" s="14" t="n">
        <f aca="false">ROUND(G92*I92,2)</f>
        <v>255.84</v>
      </c>
      <c r="K92" s="14"/>
      <c r="L92" s="14"/>
      <c r="M92" s="14"/>
      <c r="N92" s="14" t="n">
        <f aca="false">ROUND((G92*I92)-K92-L92-M92,2)</f>
        <v>255.84</v>
      </c>
      <c r="O92" s="14"/>
      <c r="P92" s="14" t="n">
        <f aca="false">ROUND(IF(D92=0,IF((N92-E92-O92)&gt;0,(N92-E92-O92),0),IF((D92+N92-O92)&gt;0,(D92+N92-O92),0)),2)</f>
        <v>5803.15</v>
      </c>
      <c r="Q92" s="14" t="n">
        <f aca="false">ROUND(IF(E92=0,IF((D92+N92-O92)&lt;0,ABS(D92+N92-O92),0),IF((N92-E92-O92)&lt;0,ABS(N92-E92-O92),0)),2)</f>
        <v>0</v>
      </c>
    </row>
    <row r="93" customFormat="false" ht="15" hidden="false" customHeight="true" outlineLevel="0" collapsed="false">
      <c r="A93" s="12" t="s">
        <v>275</v>
      </c>
      <c r="B93" s="12" t="str">
        <f aca="false">липень!B93</f>
        <v>Стародубець О.К.</v>
      </c>
      <c r="C93" s="12" t="s">
        <v>277</v>
      </c>
      <c r="D93" s="14" t="n">
        <f aca="false">липень!P93</f>
        <v>2179.92</v>
      </c>
      <c r="E93" s="14" t="n">
        <f aca="false">липень!Q93</f>
        <v>0</v>
      </c>
      <c r="F93" s="13" t="n">
        <f aca="false">липень!F93</f>
        <v>0</v>
      </c>
      <c r="G93" s="13" t="n">
        <f aca="false">липень!G93</f>
        <v>66.46</v>
      </c>
      <c r="H93" s="13" t="n">
        <f aca="false">липень!H93</f>
        <v>0</v>
      </c>
      <c r="I93" s="13" t="n">
        <f aca="false">липень!I93</f>
        <v>4.1</v>
      </c>
      <c r="J93" s="14" t="n">
        <f aca="false">ROUND(G93*I93,2)</f>
        <v>272.49</v>
      </c>
      <c r="K93" s="14"/>
      <c r="L93" s="14"/>
      <c r="M93" s="14"/>
      <c r="N93" s="14" t="n">
        <f aca="false">ROUND((G93*I93)-K93-L93-M93,2)</f>
        <v>272.49</v>
      </c>
      <c r="O93" s="14"/>
      <c r="P93" s="14" t="n">
        <f aca="false">ROUND(IF(D93=0,IF((N93-E93-O93)&gt;0,(N93-E93-O93),0),IF((D93+N93-O93)&gt;0,(D93+N93-O93),0)),2)</f>
        <v>2452.41</v>
      </c>
      <c r="Q93" s="14" t="n">
        <f aca="false">ROUND(IF(E93=0,IF((D93+N93-O93)&lt;0,ABS(D93+N93-O93),0),IF((N93-E93-O93)&lt;0,ABS(N93-E93-O93),0)),2)</f>
        <v>0</v>
      </c>
    </row>
    <row r="94" customFormat="false" ht="15" hidden="false" customHeight="true" outlineLevel="0" collapsed="false">
      <c r="A94" s="12" t="s">
        <v>278</v>
      </c>
      <c r="B94" s="12" t="str">
        <f aca="false">липень!B94</f>
        <v>Сакун Т.А.</v>
      </c>
      <c r="C94" s="12" t="s">
        <v>280</v>
      </c>
      <c r="D94" s="14" t="n">
        <f aca="false">липень!P94</f>
        <v>9213.85</v>
      </c>
      <c r="E94" s="14" t="n">
        <f aca="false">липень!Q94</f>
        <v>0</v>
      </c>
      <c r="F94" s="13" t="n">
        <f aca="false">липень!F94</f>
        <v>0</v>
      </c>
      <c r="G94" s="13" t="n">
        <f aca="false">липень!G94</f>
        <v>49.73</v>
      </c>
      <c r="H94" s="13" t="n">
        <f aca="false">липень!H94</f>
        <v>0</v>
      </c>
      <c r="I94" s="13" t="n">
        <f aca="false">липень!I94</f>
        <v>4.1</v>
      </c>
      <c r="J94" s="14" t="n">
        <f aca="false">ROUND(G94*I94,2)</f>
        <v>203.89</v>
      </c>
      <c r="K94" s="14"/>
      <c r="L94" s="14"/>
      <c r="M94" s="14"/>
      <c r="N94" s="14" t="n">
        <f aca="false">ROUND((G94*I94)-K94-L94-M94,2)</f>
        <v>203.89</v>
      </c>
      <c r="O94" s="14"/>
      <c r="P94" s="14" t="n">
        <f aca="false">ROUND(IF(D94=0,IF((N94-E94-O94)&gt;0,(N94-E94-O94),0),IF((D94+N94-O94)&gt;0,(D94+N94-O94),0)),2)</f>
        <v>9417.74</v>
      </c>
      <c r="Q94" s="14" t="n">
        <f aca="false">ROUND(IF(E94=0,IF((D94+N94-O94)&lt;0,ABS(D94+N94-O94),0),IF((N94-E94-O94)&lt;0,ABS(N94-E94-O94),0)),2)</f>
        <v>0</v>
      </c>
    </row>
    <row r="95" customFormat="false" ht="15" hidden="false" customHeight="true" outlineLevel="0" collapsed="false">
      <c r="A95" s="12" t="s">
        <v>281</v>
      </c>
      <c r="B95" s="12" t="str">
        <f aca="false">липень!B95</f>
        <v>Фатєєв Ю.О.</v>
      </c>
      <c r="C95" s="12" t="s">
        <v>283</v>
      </c>
      <c r="D95" s="14" t="n">
        <f aca="false">липень!P95</f>
        <v>9945.32</v>
      </c>
      <c r="E95" s="14" t="n">
        <f aca="false">липень!Q95</f>
        <v>0</v>
      </c>
      <c r="F95" s="13" t="n">
        <f aca="false">липень!F95</f>
        <v>0</v>
      </c>
      <c r="G95" s="13" t="n">
        <f aca="false">липень!G95</f>
        <v>34.9</v>
      </c>
      <c r="H95" s="13" t="n">
        <f aca="false">липень!H95</f>
        <v>0</v>
      </c>
      <c r="I95" s="13" t="n">
        <f aca="false">липень!I95</f>
        <v>4.1</v>
      </c>
      <c r="J95" s="14" t="n">
        <f aca="false">ROUND(G95*I95,2)</f>
        <v>143.09</v>
      </c>
      <c r="K95" s="14"/>
      <c r="L95" s="14"/>
      <c r="M95" s="14"/>
      <c r="N95" s="14" t="n">
        <f aca="false">ROUND((G95*I95)-K95-L95-M95,2)</f>
        <v>143.09</v>
      </c>
      <c r="O95" s="14"/>
      <c r="P95" s="14" t="n">
        <f aca="false">ROUND(IF(D95=0,IF((N95-E95-O95)&gt;0,(N95-E95-O95),0),IF((D95+N95-O95)&gt;0,(D95+N95-O95),0)),2)</f>
        <v>10088.41</v>
      </c>
      <c r="Q95" s="14" t="n">
        <f aca="false">ROUND(IF(E95=0,IF((D95+N95-O95)&lt;0,ABS(D95+N95-O95),0),IF((N95-E95-O95)&lt;0,ABS(N95-E95-O95),0)),2)</f>
        <v>0</v>
      </c>
    </row>
    <row r="96" customFormat="false" ht="15" hidden="false" customHeight="true" outlineLevel="0" collapsed="false">
      <c r="A96" s="12" t="s">
        <v>284</v>
      </c>
      <c r="B96" s="12" t="str">
        <f aca="false">липень!B96</f>
        <v>Лукашов Є.В.</v>
      </c>
      <c r="C96" s="12" t="s">
        <v>286</v>
      </c>
      <c r="D96" s="14" t="n">
        <f aca="false">липень!P96</f>
        <v>15153.92</v>
      </c>
      <c r="E96" s="14" t="n">
        <f aca="false">липень!Q96</f>
        <v>0</v>
      </c>
      <c r="F96" s="13" t="n">
        <f aca="false">липень!F96</f>
        <v>0</v>
      </c>
      <c r="G96" s="13" t="n">
        <f aca="false">липень!G96</f>
        <v>61.9</v>
      </c>
      <c r="H96" s="13" t="n">
        <f aca="false">липень!H96</f>
        <v>0</v>
      </c>
      <c r="I96" s="13" t="n">
        <f aca="false">липень!I96</f>
        <v>4.1</v>
      </c>
      <c r="J96" s="14" t="n">
        <f aca="false">ROUND(G96*I96,2)</f>
        <v>253.79</v>
      </c>
      <c r="K96" s="14"/>
      <c r="L96" s="14"/>
      <c r="M96" s="14"/>
      <c r="N96" s="14" t="n">
        <f aca="false">ROUND((G96*I96)-K96-L96-M96,2)</f>
        <v>253.79</v>
      </c>
      <c r="O96" s="14"/>
      <c r="P96" s="14" t="n">
        <f aca="false">ROUND(IF(D96=0,IF((N96-E96-O96)&gt;0,(N96-E96-O96),0),IF((D96+N96-O96)&gt;0,(D96+N96-O96),0)),2)</f>
        <v>15407.71</v>
      </c>
      <c r="Q96" s="14" t="n">
        <f aca="false">ROUND(IF(E96=0,IF((D96+N96-O96)&lt;0,ABS(D96+N96-O96),0),IF((N96-E96-O96)&lt;0,ABS(N96-E96-O96),0)),2)</f>
        <v>0</v>
      </c>
    </row>
    <row r="97" customFormat="false" ht="15" hidden="false" customHeight="true" outlineLevel="0" collapsed="false">
      <c r="A97" s="12" t="s">
        <v>287</v>
      </c>
      <c r="B97" s="12" t="str">
        <f aca="false">липень!B97</f>
        <v>Довбета В.М.</v>
      </c>
      <c r="C97" s="12" t="s">
        <v>289</v>
      </c>
      <c r="D97" s="14" t="n">
        <f aca="false">липень!P97</f>
        <v>1601.87</v>
      </c>
      <c r="E97" s="14" t="n">
        <f aca="false">липень!Q97</f>
        <v>0</v>
      </c>
      <c r="F97" s="13" t="n">
        <f aca="false">липень!F97</f>
        <v>0</v>
      </c>
      <c r="G97" s="13" t="n">
        <f aca="false">липень!G97</f>
        <v>65.3</v>
      </c>
      <c r="H97" s="13" t="n">
        <f aca="false">липень!H97</f>
        <v>0</v>
      </c>
      <c r="I97" s="13" t="n">
        <f aca="false">липень!I97</f>
        <v>4.1</v>
      </c>
      <c r="J97" s="14" t="n">
        <f aca="false">ROUND(G97*I97,2)</f>
        <v>267.73</v>
      </c>
      <c r="K97" s="14"/>
      <c r="L97" s="14"/>
      <c r="M97" s="14"/>
      <c r="N97" s="14" t="n">
        <f aca="false">ROUND((G97*I97)-K97-L97-M97,2)</f>
        <v>267.73</v>
      </c>
      <c r="O97" s="14"/>
      <c r="P97" s="14" t="n">
        <f aca="false">ROUND(IF(D97=0,IF((N97-E97-O97)&gt;0,(N97-E97-O97),0),IF((D97+N97-O97)&gt;0,(D97+N97-O97),0)),2)</f>
        <v>1869.6</v>
      </c>
      <c r="Q97" s="14" t="n">
        <f aca="false">ROUND(IF(E97=0,IF((D97+N97-O97)&lt;0,ABS(D97+N97-O97),0),IF((N97-E97-O97)&lt;0,ABS(N97-E97-O97),0)),2)</f>
        <v>0</v>
      </c>
    </row>
    <row r="98" customFormat="false" ht="15" hidden="false" customHeight="true" outlineLevel="0" collapsed="false">
      <c r="A98" s="12" t="s">
        <v>290</v>
      </c>
      <c r="B98" s="12" t="str">
        <f aca="false">липень!B98</f>
        <v>Черняк К.В.</v>
      </c>
      <c r="C98" s="12" t="s">
        <v>292</v>
      </c>
      <c r="D98" s="14" t="n">
        <f aca="false">липень!P98</f>
        <v>1191.78</v>
      </c>
      <c r="E98" s="14" t="n">
        <f aca="false">липень!Q98</f>
        <v>0</v>
      </c>
      <c r="F98" s="13" t="n">
        <f aca="false">липень!F98</f>
        <v>0</v>
      </c>
      <c r="G98" s="13" t="n">
        <f aca="false">липень!G98</f>
        <v>49.48</v>
      </c>
      <c r="H98" s="13" t="n">
        <f aca="false">липень!H98</f>
        <v>0</v>
      </c>
      <c r="I98" s="13" t="n">
        <f aca="false">липень!I98</f>
        <v>4.1</v>
      </c>
      <c r="J98" s="14" t="n">
        <f aca="false">ROUND(G98*I98,2)</f>
        <v>202.87</v>
      </c>
      <c r="K98" s="14"/>
      <c r="L98" s="14"/>
      <c r="M98" s="14"/>
      <c r="N98" s="14" t="n">
        <f aca="false">ROUND((G98*I98)-K98-L98-M98,2)</f>
        <v>202.87</v>
      </c>
      <c r="O98" s="14"/>
      <c r="P98" s="14" t="n">
        <f aca="false">ROUND(IF(D98=0,IF((N98-E98-O98)&gt;0,(N98-E98-O98),0),IF((D98+N98-O98)&gt;0,(D98+N98-O98),0)),2)</f>
        <v>1394.65</v>
      </c>
      <c r="Q98" s="14" t="n">
        <f aca="false">ROUND(IF(E98=0,IF((D98+N98-O98)&lt;0,ABS(D98+N98-O98),0),IF((N98-E98-O98)&lt;0,ABS(N98-E98-O98),0)),2)</f>
        <v>0</v>
      </c>
    </row>
    <row r="99" customFormat="false" ht="15" hidden="false" customHeight="true" outlineLevel="0" collapsed="false">
      <c r="A99" s="12" t="s">
        <v>293</v>
      </c>
      <c r="B99" s="12" t="str">
        <f aca="false">липень!B99</f>
        <v>Довбета С.П.</v>
      </c>
      <c r="C99" s="12" t="s">
        <v>295</v>
      </c>
      <c r="D99" s="14" t="n">
        <f aca="false">липень!P99</f>
        <v>1004.23</v>
      </c>
      <c r="E99" s="14" t="n">
        <f aca="false">липень!Q99</f>
        <v>0</v>
      </c>
      <c r="F99" s="13" t="n">
        <f aca="false">липень!F99</f>
        <v>0</v>
      </c>
      <c r="G99" s="13" t="n">
        <f aca="false">липень!G99</f>
        <v>35.1</v>
      </c>
      <c r="H99" s="13" t="n">
        <f aca="false">липень!H99</f>
        <v>0</v>
      </c>
      <c r="I99" s="13" t="n">
        <f aca="false">липень!I99</f>
        <v>4.1</v>
      </c>
      <c r="J99" s="14" t="n">
        <f aca="false">ROUND(G99*I99,2)</f>
        <v>143.91</v>
      </c>
      <c r="K99" s="14"/>
      <c r="L99" s="14"/>
      <c r="M99" s="14"/>
      <c r="N99" s="14" t="n">
        <f aca="false">ROUND((G99*I99)-K99-L99-M99,2)</f>
        <v>143.91</v>
      </c>
      <c r="O99" s="14"/>
      <c r="P99" s="14" t="n">
        <f aca="false">ROUND(IF(D99=0,IF((N99-E99-O99)&gt;0,(N99-E99-O99),0),IF((D99+N99-O99)&gt;0,(D99+N99-O99),0)),2)</f>
        <v>1148.14</v>
      </c>
      <c r="Q99" s="14" t="n">
        <f aca="false">ROUND(IF(E99=0,IF((D99+N99-O99)&lt;0,ABS(D99+N99-O99),0),IF((N99-E99-O99)&lt;0,ABS(N99-E99-O99),0)),2)</f>
        <v>0</v>
      </c>
    </row>
    <row r="100" customFormat="false" ht="15" hidden="false" customHeight="true" outlineLevel="0" collapsed="false">
      <c r="A100" s="12" t="s">
        <v>296</v>
      </c>
      <c r="B100" s="12" t="str">
        <f aca="false">липень!B100</f>
        <v>Липка Г.Ю.</v>
      </c>
      <c r="C100" s="12" t="s">
        <v>298</v>
      </c>
      <c r="D100" s="14" t="n">
        <f aca="false">липень!P100</f>
        <v>14769.84</v>
      </c>
      <c r="E100" s="14" t="n">
        <f aca="false">липень!Q100</f>
        <v>0</v>
      </c>
      <c r="F100" s="13" t="n">
        <f aca="false">липень!F100</f>
        <v>0</v>
      </c>
      <c r="G100" s="13" t="n">
        <f aca="false">липень!G100</f>
        <v>63.2</v>
      </c>
      <c r="H100" s="13" t="n">
        <f aca="false">липень!H100</f>
        <v>0</v>
      </c>
      <c r="I100" s="13" t="n">
        <f aca="false">липень!I100</f>
        <v>4.1</v>
      </c>
      <c r="J100" s="14" t="n">
        <f aca="false">ROUND(G100*I100,2)</f>
        <v>259.12</v>
      </c>
      <c r="K100" s="14"/>
      <c r="L100" s="14"/>
      <c r="M100" s="14"/>
      <c r="N100" s="14" t="n">
        <f aca="false">ROUND((G100*I100)-K100-L100-M100,2)</f>
        <v>259.12</v>
      </c>
      <c r="O100" s="14"/>
      <c r="P100" s="14" t="n">
        <f aca="false">ROUND(IF(D100=0,IF((N100-E100-O100)&gt;0,(N100-E100-O100),0),IF((D100+N100-O100)&gt;0,(D100+N100-O100),0)),2)</f>
        <v>15028.96</v>
      </c>
      <c r="Q100" s="14" t="n">
        <f aca="false">ROUND(IF(E100=0,IF((D100+N100-O100)&lt;0,ABS(D100+N100-O100),0),IF((N100-E100-O100)&lt;0,ABS(N100-E100-O100),0)),2)</f>
        <v>0</v>
      </c>
    </row>
    <row r="101" customFormat="false" ht="15" hidden="false" customHeight="true" outlineLevel="0" collapsed="false">
      <c r="A101" s="12" t="s">
        <v>299</v>
      </c>
      <c r="B101" s="12" t="str">
        <f aca="false">липень!B101</f>
        <v>Утьосов Д.М.</v>
      </c>
      <c r="C101" s="12" t="s">
        <v>301</v>
      </c>
      <c r="D101" s="14" t="n">
        <f aca="false">липень!P101</f>
        <v>9291.91</v>
      </c>
      <c r="E101" s="14" t="n">
        <f aca="false">липень!Q101</f>
        <v>0</v>
      </c>
      <c r="F101" s="13" t="n">
        <f aca="false">липень!F101</f>
        <v>0</v>
      </c>
      <c r="G101" s="13" t="n">
        <f aca="false">липень!G101</f>
        <v>66.1</v>
      </c>
      <c r="H101" s="13" t="n">
        <f aca="false">липень!H101</f>
        <v>0</v>
      </c>
      <c r="I101" s="13" t="n">
        <f aca="false">липень!I101</f>
        <v>4.1</v>
      </c>
      <c r="J101" s="14" t="n">
        <f aca="false">ROUND(G101*I101,2)</f>
        <v>271.01</v>
      </c>
      <c r="K101" s="14"/>
      <c r="L101" s="14"/>
      <c r="M101" s="14"/>
      <c r="N101" s="14" t="n">
        <f aca="false">ROUND((G101*I101)-K101-L101-M101,2)</f>
        <v>271.01</v>
      </c>
      <c r="O101" s="14"/>
      <c r="P101" s="14" t="n">
        <f aca="false">ROUND(IF(D101=0,IF((N101-E101-O101)&gt;0,(N101-E101-O101),0),IF((D101+N101-O101)&gt;0,(D101+N101-O101),0)),2)</f>
        <v>9562.92</v>
      </c>
      <c r="Q101" s="14" t="n">
        <f aca="false">ROUND(IF(E101=0,IF((D101+N101-O101)&lt;0,ABS(D101+N101-O101),0),IF((N101-E101-O101)&lt;0,ABS(N101-E101-O101),0)),2)</f>
        <v>0</v>
      </c>
    </row>
    <row r="102" customFormat="false" ht="15" hidden="false" customHeight="true" outlineLevel="0" collapsed="false">
      <c r="A102" s="12" t="s">
        <v>302</v>
      </c>
      <c r="B102" s="12" t="str">
        <f aca="false">липень!B102</f>
        <v>Стеценко Д.М.</v>
      </c>
      <c r="C102" s="12" t="s">
        <v>304</v>
      </c>
      <c r="D102" s="14" t="n">
        <f aca="false">липень!P102</f>
        <v>8779.81</v>
      </c>
      <c r="E102" s="14" t="n">
        <f aca="false">липень!Q102</f>
        <v>0</v>
      </c>
      <c r="F102" s="13" t="n">
        <f aca="false">липень!F102</f>
        <v>0</v>
      </c>
      <c r="G102" s="13" t="n">
        <f aca="false">липень!G102</f>
        <v>49.8</v>
      </c>
      <c r="H102" s="13" t="n">
        <f aca="false">липень!H102</f>
        <v>0</v>
      </c>
      <c r="I102" s="13" t="n">
        <f aca="false">липень!I102</f>
        <v>4.1</v>
      </c>
      <c r="J102" s="14" t="n">
        <f aca="false">ROUND(G102*I102,2)</f>
        <v>204.18</v>
      </c>
      <c r="K102" s="14"/>
      <c r="L102" s="14"/>
      <c r="M102" s="14"/>
      <c r="N102" s="14" t="n">
        <f aca="false">ROUND((G102*I102)-K102-L102-M102,2)</f>
        <v>204.18</v>
      </c>
      <c r="O102" s="14"/>
      <c r="P102" s="14" t="n">
        <f aca="false">ROUND(IF(D102=0,IF((N102-E102-O102)&gt;0,(N102-E102-O102),0),IF((D102+N102-O102)&gt;0,(D102+N102-O102),0)),2)</f>
        <v>8983.99</v>
      </c>
      <c r="Q102" s="14" t="n">
        <f aca="false">ROUND(IF(E102=0,IF((D102+N102-O102)&lt;0,ABS(D102+N102-O102),0),IF((N102-E102-O102)&lt;0,ABS(N102-E102-O102),0)),2)</f>
        <v>0</v>
      </c>
    </row>
    <row r="103" customFormat="false" ht="15" hidden="false" customHeight="true" outlineLevel="0" collapsed="false">
      <c r="A103" s="12" t="s">
        <v>305</v>
      </c>
      <c r="B103" s="12" t="str">
        <f aca="false">липень!B103</f>
        <v>Задніпряна О.М.</v>
      </c>
      <c r="C103" s="12" t="s">
        <v>307</v>
      </c>
      <c r="D103" s="14" t="n">
        <f aca="false">липень!P103</f>
        <v>7236.46</v>
      </c>
      <c r="E103" s="14" t="n">
        <f aca="false">липень!Q103</f>
        <v>0</v>
      </c>
      <c r="F103" s="13" t="n">
        <f aca="false">липень!F103</f>
        <v>0</v>
      </c>
      <c r="G103" s="13" t="n">
        <f aca="false">липень!G103</f>
        <v>34.6</v>
      </c>
      <c r="H103" s="13" t="n">
        <f aca="false">липень!H103</f>
        <v>0</v>
      </c>
      <c r="I103" s="13" t="n">
        <f aca="false">липень!I103</f>
        <v>4.1</v>
      </c>
      <c r="J103" s="14" t="n">
        <f aca="false">ROUND(G103*I103,2)</f>
        <v>141.86</v>
      </c>
      <c r="K103" s="14"/>
      <c r="L103" s="14"/>
      <c r="M103" s="14"/>
      <c r="N103" s="14" t="n">
        <f aca="false">ROUND((G103*I103)-K103-L103-M103,2)</f>
        <v>141.86</v>
      </c>
      <c r="O103" s="14"/>
      <c r="P103" s="14" t="n">
        <f aca="false">ROUND(IF(D103=0,IF((N103-E103-O103)&gt;0,(N103-E103-O103),0),IF((D103+N103-O103)&gt;0,(D103+N103-O103),0)),2)</f>
        <v>7378.32</v>
      </c>
      <c r="Q103" s="14" t="n">
        <f aca="false">ROUND(IF(E103=0,IF((D103+N103-O103)&lt;0,ABS(D103+N103-O103),0),IF((N103-E103-O103)&lt;0,ABS(N103-E103-O103),0)),2)</f>
        <v>0</v>
      </c>
    </row>
    <row r="104" customFormat="false" ht="15" hidden="false" customHeight="true" outlineLevel="0" collapsed="false">
      <c r="A104" s="12" t="s">
        <v>308</v>
      </c>
      <c r="B104" s="12" t="str">
        <f aca="false">липень!B104</f>
        <v>Геращенко М.Д.</v>
      </c>
      <c r="C104" s="12" t="s">
        <v>310</v>
      </c>
      <c r="D104" s="14" t="n">
        <f aca="false">липень!P104</f>
        <v>1796.62</v>
      </c>
      <c r="E104" s="14" t="n">
        <f aca="false">липень!Q104</f>
        <v>0</v>
      </c>
      <c r="F104" s="13" t="n">
        <f aca="false">липень!F104</f>
        <v>0</v>
      </c>
      <c r="G104" s="13" t="n">
        <f aca="false">липень!G104</f>
        <v>62.6</v>
      </c>
      <c r="H104" s="13" t="n">
        <f aca="false">липень!H104</f>
        <v>0</v>
      </c>
      <c r="I104" s="13" t="n">
        <f aca="false">липень!I104</f>
        <v>4.1</v>
      </c>
      <c r="J104" s="14" t="n">
        <f aca="false">ROUND(G104*I104,2)</f>
        <v>256.66</v>
      </c>
      <c r="K104" s="14"/>
      <c r="L104" s="14"/>
      <c r="M104" s="14"/>
      <c r="N104" s="14" t="n">
        <f aca="false">ROUND((G104*I104)-K104-L104-M104,2)</f>
        <v>256.66</v>
      </c>
      <c r="O104" s="14"/>
      <c r="P104" s="14" t="n">
        <f aca="false">ROUND(IF(D104=0,IF((N104-E104-O104)&gt;0,(N104-E104-O104),0),IF((D104+N104-O104)&gt;0,(D104+N104-O104),0)),2)</f>
        <v>2053.28</v>
      </c>
      <c r="Q104" s="14" t="n">
        <f aca="false">ROUND(IF(E104=0,IF((D104+N104-O104)&lt;0,ABS(D104+N104-O104),0),IF((N104-E104-O104)&lt;0,ABS(N104-E104-O104),0)),2)</f>
        <v>0</v>
      </c>
    </row>
    <row r="105" customFormat="false" ht="15" hidden="false" customHeight="true" outlineLevel="0" collapsed="false">
      <c r="A105" s="12" t="s">
        <v>311</v>
      </c>
      <c r="B105" s="12" t="str">
        <f aca="false">липень!B105</f>
        <v>Горб В.М.</v>
      </c>
      <c r="C105" s="12" t="s">
        <v>313</v>
      </c>
      <c r="D105" s="14" t="n">
        <f aca="false">липень!P105</f>
        <v>13170.47</v>
      </c>
      <c r="E105" s="14" t="n">
        <f aca="false">липень!Q105</f>
        <v>0</v>
      </c>
      <c r="F105" s="13" t="n">
        <f aca="false">липень!F105</f>
        <v>0</v>
      </c>
      <c r="G105" s="13" t="n">
        <f aca="false">липень!G105</f>
        <v>65.57</v>
      </c>
      <c r="H105" s="13" t="n">
        <f aca="false">липень!H105</f>
        <v>0</v>
      </c>
      <c r="I105" s="13" t="n">
        <f aca="false">липень!I105</f>
        <v>4.1</v>
      </c>
      <c r="J105" s="14" t="n">
        <f aca="false">ROUND(G105*I105,2)</f>
        <v>268.84</v>
      </c>
      <c r="K105" s="14"/>
      <c r="L105" s="14"/>
      <c r="M105" s="14"/>
      <c r="N105" s="14" t="n">
        <f aca="false">ROUND((G105*I105)-K105-L105-M105,2)</f>
        <v>268.84</v>
      </c>
      <c r="O105" s="14"/>
      <c r="P105" s="14" t="n">
        <f aca="false">ROUND(IF(D105=0,IF((N105-E105-O105)&gt;0,(N105-E105-O105),0),IF((D105+N105-O105)&gt;0,(D105+N105-O105),0)),2)</f>
        <v>13439.31</v>
      </c>
      <c r="Q105" s="14" t="n">
        <f aca="false">ROUND(IF(E105=0,IF((D105+N105-O105)&lt;0,ABS(D105+N105-O105),0),IF((N105-E105-O105)&lt;0,ABS(N105-E105-O105),0)),2)</f>
        <v>0</v>
      </c>
    </row>
    <row r="106" customFormat="false" ht="15" hidden="false" customHeight="true" outlineLevel="0" collapsed="false">
      <c r="A106" s="12" t="s">
        <v>314</v>
      </c>
      <c r="B106" s="12" t="str">
        <f aca="false">липень!B106</f>
        <v>Нойок Г.К.</v>
      </c>
      <c r="C106" s="12" t="s">
        <v>316</v>
      </c>
      <c r="D106" s="14" t="n">
        <f aca="false">липень!P106</f>
        <v>8793.41</v>
      </c>
      <c r="E106" s="14" t="n">
        <f aca="false">липень!Q106</f>
        <v>0</v>
      </c>
      <c r="F106" s="13" t="n">
        <f aca="false">липень!F106</f>
        <v>0</v>
      </c>
      <c r="G106" s="13" t="n">
        <f aca="false">липень!G106</f>
        <v>49.8</v>
      </c>
      <c r="H106" s="13" t="n">
        <f aca="false">липень!H106</f>
        <v>0</v>
      </c>
      <c r="I106" s="13" t="n">
        <f aca="false">липень!I106</f>
        <v>4.1</v>
      </c>
      <c r="J106" s="14" t="n">
        <f aca="false">ROUND(G106*I106,2)</f>
        <v>204.18</v>
      </c>
      <c r="K106" s="14"/>
      <c r="L106" s="14"/>
      <c r="M106" s="14"/>
      <c r="N106" s="14" t="n">
        <f aca="false">ROUND((G106*I106)-K106-L106-M106,2)</f>
        <v>204.18</v>
      </c>
      <c r="O106" s="14"/>
      <c r="P106" s="14" t="n">
        <f aca="false">ROUND(IF(D106=0,IF((N106-E106-O106)&gt;0,(N106-E106-O106),0),IF((D106+N106-O106)&gt;0,(D106+N106-O106),0)),2)</f>
        <v>8997.59</v>
      </c>
      <c r="Q106" s="14" t="n">
        <f aca="false">ROUND(IF(E106=0,IF((D106+N106-O106)&lt;0,ABS(D106+N106-O106),0),IF((N106-E106-O106)&lt;0,ABS(N106-E106-O106),0)),2)</f>
        <v>0</v>
      </c>
    </row>
    <row r="107" customFormat="false" ht="15" hidden="false" customHeight="true" outlineLevel="0" collapsed="false">
      <c r="A107" s="12" t="s">
        <v>317</v>
      </c>
      <c r="B107" s="12" t="str">
        <f aca="false">липень!B107</f>
        <v>Сафонова О.В.</v>
      </c>
      <c r="C107" s="12" t="s">
        <v>319</v>
      </c>
      <c r="D107" s="14" t="n">
        <f aca="false">липень!P107</f>
        <v>6965.59</v>
      </c>
      <c r="E107" s="14" t="n">
        <f aca="false">липень!Q107</f>
        <v>0</v>
      </c>
      <c r="F107" s="13" t="n">
        <f aca="false">липень!F107</f>
        <v>0</v>
      </c>
      <c r="G107" s="13" t="n">
        <f aca="false">липень!G107</f>
        <v>34.9</v>
      </c>
      <c r="H107" s="13" t="n">
        <f aca="false">липень!H107</f>
        <v>0</v>
      </c>
      <c r="I107" s="13" t="n">
        <f aca="false">липень!I107</f>
        <v>4.1</v>
      </c>
      <c r="J107" s="14" t="n">
        <f aca="false">ROUND(G107*I107,2)</f>
        <v>143.09</v>
      </c>
      <c r="K107" s="14"/>
      <c r="L107" s="14"/>
      <c r="M107" s="14"/>
      <c r="N107" s="14" t="n">
        <f aca="false">ROUND((G107*I107)-K107-L107-M107,2)</f>
        <v>143.09</v>
      </c>
      <c r="O107" s="14"/>
      <c r="P107" s="14" t="n">
        <f aca="false">ROUND(IF(D107=0,IF((N107-E107-O107)&gt;0,(N107-E107-O107),0),IF((D107+N107-O107)&gt;0,(D107+N107-O107),0)),2)</f>
        <v>7108.68</v>
      </c>
      <c r="Q107" s="14" t="n">
        <f aca="false">ROUND(IF(E107=0,IF((D107+N107-O107)&lt;0,ABS(D107+N107-O107),0),IF((N107-E107-O107)&lt;0,ABS(N107-E107-O107),0)),2)</f>
        <v>0</v>
      </c>
    </row>
    <row r="108" customFormat="false" ht="15" hidden="false" customHeight="true" outlineLevel="0" collapsed="false">
      <c r="A108" s="12" t="s">
        <v>320</v>
      </c>
      <c r="B108" s="12" t="str">
        <f aca="false">липень!B108</f>
        <v>Вінарська Н.П.</v>
      </c>
      <c r="C108" s="12" t="s">
        <v>322</v>
      </c>
      <c r="D108" s="14" t="n">
        <f aca="false">липень!P108</f>
        <v>13898.84</v>
      </c>
      <c r="E108" s="14" t="n">
        <f aca="false">липень!Q108</f>
        <v>0</v>
      </c>
      <c r="F108" s="13" t="n">
        <f aca="false">липень!F108</f>
        <v>0</v>
      </c>
      <c r="G108" s="13" t="n">
        <f aca="false">липень!G108</f>
        <v>62.78</v>
      </c>
      <c r="H108" s="13" t="n">
        <f aca="false">липень!H108</f>
        <v>0</v>
      </c>
      <c r="I108" s="13" t="n">
        <f aca="false">липень!I108</f>
        <v>4.1</v>
      </c>
      <c r="J108" s="14" t="n">
        <f aca="false">ROUND(G108*I108,2)</f>
        <v>257.4</v>
      </c>
      <c r="K108" s="14"/>
      <c r="L108" s="14"/>
      <c r="M108" s="14"/>
      <c r="N108" s="14" t="n">
        <f aca="false">ROUND((G108*I108)-K108-L108-M108,2)</f>
        <v>257.4</v>
      </c>
      <c r="O108" s="14"/>
      <c r="P108" s="14" t="n">
        <f aca="false">ROUND(IF(D108=0,IF((N108-E108-O108)&gt;0,(N108-E108-O108),0),IF((D108+N108-O108)&gt;0,(D108+N108-O108),0)),2)</f>
        <v>14156.24</v>
      </c>
      <c r="Q108" s="14" t="n">
        <f aca="false">ROUND(IF(E108=0,IF((D108+N108-O108)&lt;0,ABS(D108+N108-O108),0),IF((N108-E108-O108)&lt;0,ABS(N108-E108-O108),0)),2)</f>
        <v>0</v>
      </c>
    </row>
    <row r="109" customFormat="false" ht="15" hidden="false" customHeight="true" outlineLevel="0" collapsed="false">
      <c r="A109" s="12" t="s">
        <v>323</v>
      </c>
      <c r="B109" s="12" t="str">
        <f aca="false">липень!B109</f>
        <v>Чернова Н.І.</v>
      </c>
      <c r="C109" s="12" t="s">
        <v>325</v>
      </c>
      <c r="D109" s="14" t="n">
        <f aca="false">липень!P109</f>
        <v>14595.73</v>
      </c>
      <c r="E109" s="14" t="n">
        <f aca="false">липень!Q109</f>
        <v>0</v>
      </c>
      <c r="F109" s="13" t="n">
        <f aca="false">липень!F109</f>
        <v>0</v>
      </c>
      <c r="G109" s="13" t="n">
        <f aca="false">липень!G109</f>
        <v>66.29</v>
      </c>
      <c r="H109" s="13" t="n">
        <f aca="false">липень!H109</f>
        <v>0</v>
      </c>
      <c r="I109" s="13" t="n">
        <f aca="false">липень!I109</f>
        <v>4.1</v>
      </c>
      <c r="J109" s="14" t="n">
        <f aca="false">ROUND(G109*I109,2)</f>
        <v>271.79</v>
      </c>
      <c r="K109" s="14"/>
      <c r="L109" s="14"/>
      <c r="M109" s="14"/>
      <c r="N109" s="14" t="n">
        <f aca="false">ROUND((G109*I109)-K109-L109-M109,2)</f>
        <v>271.79</v>
      </c>
      <c r="O109" s="14"/>
      <c r="P109" s="14" t="n">
        <f aca="false">ROUND(IF(D109=0,IF((N109-E109-O109)&gt;0,(N109-E109-O109),0),IF((D109+N109-O109)&gt;0,(D109+N109-O109),0)),2)</f>
        <v>14867.52</v>
      </c>
      <c r="Q109" s="14" t="n">
        <f aca="false">ROUND(IF(E109=0,IF((D109+N109-O109)&lt;0,ABS(D109+N109-O109),0),IF((N109-E109-O109)&lt;0,ABS(N109-E109-O109),0)),2)</f>
        <v>0</v>
      </c>
    </row>
    <row r="110" customFormat="false" ht="15" hidden="false" customHeight="true" outlineLevel="0" collapsed="false">
      <c r="A110" s="12" t="s">
        <v>326</v>
      </c>
      <c r="B110" s="12" t="str">
        <f aca="false">липень!B110</f>
        <v>Кошева Н.П</v>
      </c>
      <c r="C110" s="12" t="s">
        <v>328</v>
      </c>
      <c r="D110" s="14" t="n">
        <f aca="false">липень!P110</f>
        <v>10684</v>
      </c>
      <c r="E110" s="14" t="n">
        <f aca="false">липень!Q110</f>
        <v>0</v>
      </c>
      <c r="F110" s="13" t="n">
        <f aca="false">липень!F110</f>
        <v>0</v>
      </c>
      <c r="G110" s="13" t="n">
        <f aca="false">липень!G110</f>
        <v>50</v>
      </c>
      <c r="H110" s="13" t="n">
        <f aca="false">липень!H110</f>
        <v>0</v>
      </c>
      <c r="I110" s="13" t="n">
        <f aca="false">липень!I110</f>
        <v>4.1</v>
      </c>
      <c r="J110" s="14" t="n">
        <f aca="false">ROUND(G110*I110,2)</f>
        <v>205</v>
      </c>
      <c r="K110" s="14"/>
      <c r="L110" s="14"/>
      <c r="M110" s="14"/>
      <c r="N110" s="14" t="n">
        <f aca="false">ROUND((G110*I110)-K110-L110-M110,2)</f>
        <v>205</v>
      </c>
      <c r="O110" s="14"/>
      <c r="P110" s="14" t="n">
        <f aca="false">ROUND(IF(D110=0,IF((N110-E110-O110)&gt;0,(N110-E110-O110),0),IF((D110+N110-O110)&gt;0,(D110+N110-O110),0)),2)</f>
        <v>10889</v>
      </c>
      <c r="Q110" s="14" t="n">
        <f aca="false">ROUND(IF(E110=0,IF((D110+N110-O110)&lt;0,ABS(D110+N110-O110),0),IF((N110-E110-O110)&lt;0,ABS(N110-E110-O110),0)),2)</f>
        <v>0</v>
      </c>
    </row>
    <row r="111" customFormat="false" ht="15" hidden="false" customHeight="true" outlineLevel="0" collapsed="false">
      <c r="A111" s="12" t="s">
        <v>329</v>
      </c>
      <c r="B111" s="12" t="str">
        <f aca="false">липень!B111</f>
        <v>Уривський Д.Б.</v>
      </c>
      <c r="C111" s="12" t="s">
        <v>331</v>
      </c>
      <c r="D111" s="14" t="n">
        <f aca="false">липень!P111</f>
        <v>7825.59</v>
      </c>
      <c r="E111" s="14" t="n">
        <f aca="false">липень!Q111</f>
        <v>0</v>
      </c>
      <c r="F111" s="13" t="n">
        <f aca="false">липень!F111</f>
        <v>0</v>
      </c>
      <c r="G111" s="13" t="n">
        <f aca="false">липень!G111</f>
        <v>35</v>
      </c>
      <c r="H111" s="13" t="n">
        <f aca="false">липень!H111</f>
        <v>0</v>
      </c>
      <c r="I111" s="13" t="n">
        <f aca="false">липень!I111</f>
        <v>4.1</v>
      </c>
      <c r="J111" s="14" t="n">
        <f aca="false">ROUND(G111*I111,2)</f>
        <v>143.5</v>
      </c>
      <c r="K111" s="14"/>
      <c r="L111" s="14"/>
      <c r="M111" s="14"/>
      <c r="N111" s="14" t="n">
        <f aca="false">ROUND((G111*I111)-K111-L111-M111,2)</f>
        <v>143.5</v>
      </c>
      <c r="O111" s="14"/>
      <c r="P111" s="14" t="n">
        <f aca="false">ROUND(IF(D111=0,IF((N111-E111-O111)&gt;0,(N111-E111-O111),0),IF((D111+N111-O111)&gt;0,(D111+N111-O111),0)),2)</f>
        <v>7969.09</v>
      </c>
      <c r="Q111" s="14" t="n">
        <f aca="false">ROUND(IF(E111=0,IF((D111+N111-O111)&lt;0,ABS(D111+N111-O111),0),IF((N111-E111-O111)&lt;0,ABS(N111-E111-O111),0)),2)</f>
        <v>0</v>
      </c>
    </row>
    <row r="112" customFormat="false" ht="15" hidden="false" customHeight="true" outlineLevel="0" collapsed="false">
      <c r="A112" s="12" t="s">
        <v>332</v>
      </c>
      <c r="B112" s="12" t="str">
        <f aca="false">липень!B112</f>
        <v>АДПСУ (Чорноморець В.М.)</v>
      </c>
      <c r="C112" s="12" t="s">
        <v>334</v>
      </c>
      <c r="D112" s="14" t="n">
        <f aca="false">липень!P112</f>
        <v>4759.69</v>
      </c>
      <c r="E112" s="14" t="n">
        <f aca="false">липень!Q112</f>
        <v>0</v>
      </c>
      <c r="F112" s="13" t="n">
        <f aca="false">липень!F112</f>
        <v>0</v>
      </c>
      <c r="G112" s="13" t="n">
        <f aca="false">липень!G112</f>
        <v>61.1</v>
      </c>
      <c r="H112" s="13" t="n">
        <f aca="false">липень!H112</f>
        <v>0</v>
      </c>
      <c r="I112" s="13" t="n">
        <f aca="false">липень!I112</f>
        <v>4.1</v>
      </c>
      <c r="J112" s="14" t="n">
        <f aca="false">ROUND(G112*I112,2)</f>
        <v>250.51</v>
      </c>
      <c r="K112" s="14"/>
      <c r="L112" s="14"/>
      <c r="M112" s="14"/>
      <c r="N112" s="14" t="n">
        <f aca="false">ROUND((G112*I112)-K112-L112-M112,2)</f>
        <v>250.51</v>
      </c>
      <c r="O112" s="14"/>
      <c r="P112" s="14" t="n">
        <f aca="false">ROUND(IF(D112=0,IF((N112-E112-O112)&gt;0,(N112-E112-O112),0),IF((D112+N112-O112)&gt;0,(D112+N112-O112),0)),2)</f>
        <v>5010.2</v>
      </c>
      <c r="Q112" s="14" t="n">
        <f aca="false">ROUND(IF(E112=0,IF((D112+N112-O112)&lt;0,ABS(D112+N112-O112),0),IF((N112-E112-O112)&lt;0,ABS(N112-E112-O112),0)),2)</f>
        <v>0</v>
      </c>
    </row>
    <row r="113" customFormat="false" ht="15" hidden="false" customHeight="true" outlineLevel="0" collapsed="false">
      <c r="A113" s="12" t="s">
        <v>335</v>
      </c>
      <c r="B113" s="12" t="str">
        <f aca="false">липень!B113</f>
        <v>Дмитренко Г.В.</v>
      </c>
      <c r="C113" s="12" t="s">
        <v>337</v>
      </c>
      <c r="D113" s="14" t="n">
        <f aca="false">липень!P113</f>
        <v>13348.12</v>
      </c>
      <c r="E113" s="14" t="n">
        <f aca="false">липень!Q113</f>
        <v>0</v>
      </c>
      <c r="F113" s="13" t="n">
        <f aca="false">липень!F113</f>
        <v>0</v>
      </c>
      <c r="G113" s="13" t="n">
        <f aca="false">липень!G113</f>
        <v>64.89</v>
      </c>
      <c r="H113" s="13" t="n">
        <f aca="false">липень!H113</f>
        <v>0</v>
      </c>
      <c r="I113" s="13" t="n">
        <f aca="false">липень!I113</f>
        <v>4.1</v>
      </c>
      <c r="J113" s="14" t="n">
        <f aca="false">ROUND(G113*I113,2)</f>
        <v>266.05</v>
      </c>
      <c r="K113" s="14"/>
      <c r="L113" s="14"/>
      <c r="M113" s="14"/>
      <c r="N113" s="14" t="n">
        <f aca="false">ROUND((G113*I113)-K113-L113-M113,2)</f>
        <v>266.05</v>
      </c>
      <c r="O113" s="14"/>
      <c r="P113" s="14" t="n">
        <f aca="false">ROUND(IF(D113=0,IF((N113-E113-O113)&gt;0,(N113-E113-O113),0),IF((D113+N113-O113)&gt;0,(D113+N113-O113),0)),2)</f>
        <v>13614.17</v>
      </c>
      <c r="Q113" s="14" t="n">
        <f aca="false">ROUND(IF(E113=0,IF((D113+N113-O113)&lt;0,ABS(D113+N113-O113),0),IF((N113-E113-O113)&lt;0,ABS(N113-E113-O113),0)),2)</f>
        <v>0</v>
      </c>
    </row>
    <row r="114" customFormat="false" ht="15" hidden="false" customHeight="true" outlineLevel="0" collapsed="false">
      <c r="A114" s="12" t="s">
        <v>338</v>
      </c>
      <c r="B114" s="12" t="str">
        <f aca="false">липень!B114</f>
        <v>Номерова Т.В.</v>
      </c>
      <c r="C114" s="12" t="s">
        <v>340</v>
      </c>
      <c r="D114" s="14" t="n">
        <f aca="false">липень!P114</f>
        <v>1228.88</v>
      </c>
      <c r="E114" s="14" t="n">
        <f aca="false">липень!Q114</f>
        <v>0</v>
      </c>
      <c r="F114" s="13" t="n">
        <f aca="false">липень!F114</f>
        <v>0</v>
      </c>
      <c r="G114" s="13" t="n">
        <f aca="false">липень!G114</f>
        <v>49.96</v>
      </c>
      <c r="H114" s="13" t="n">
        <f aca="false">липень!H114</f>
        <v>0</v>
      </c>
      <c r="I114" s="13" t="n">
        <f aca="false">липень!I114</f>
        <v>4.1</v>
      </c>
      <c r="J114" s="14" t="n">
        <f aca="false">ROUND(G114*I114,2)</f>
        <v>204.84</v>
      </c>
      <c r="K114" s="14"/>
      <c r="L114" s="14"/>
      <c r="M114" s="14"/>
      <c r="N114" s="14" t="n">
        <f aca="false">ROUND((G114*I114)-K114-L114-M114,2)</f>
        <v>204.84</v>
      </c>
      <c r="O114" s="14"/>
      <c r="P114" s="14" t="n">
        <f aca="false">ROUND(IF(D114=0,IF((N114-E114-O114)&gt;0,(N114-E114-O114),0),IF((D114+N114-O114)&gt;0,(D114+N114-O114),0)),2)</f>
        <v>1433.72</v>
      </c>
      <c r="Q114" s="14" t="n">
        <f aca="false">ROUND(IF(E114=0,IF((D114+N114-O114)&lt;0,ABS(D114+N114-O114),0),IF((N114-E114-O114)&lt;0,ABS(N114-E114-O114),0)),2)</f>
        <v>0</v>
      </c>
    </row>
    <row r="115" customFormat="false" ht="15" hidden="false" customHeight="true" outlineLevel="0" collapsed="false">
      <c r="A115" s="12" t="s">
        <v>341</v>
      </c>
      <c r="B115" s="12" t="str">
        <f aca="false">липень!B115</f>
        <v>Самойлова О.В.</v>
      </c>
      <c r="C115" s="12" t="s">
        <v>343</v>
      </c>
      <c r="D115" s="14" t="n">
        <f aca="false">липень!P115</f>
        <v>990.15</v>
      </c>
      <c r="E115" s="14" t="n">
        <f aca="false">липень!Q115</f>
        <v>0</v>
      </c>
      <c r="F115" s="13" t="n">
        <f aca="false">липень!F115</f>
        <v>0</v>
      </c>
      <c r="G115" s="13" t="n">
        <f aca="false">липень!G115</f>
        <v>34.5</v>
      </c>
      <c r="H115" s="13" t="n">
        <f aca="false">липень!H115</f>
        <v>0</v>
      </c>
      <c r="I115" s="13" t="n">
        <f aca="false">липень!I115</f>
        <v>4.1</v>
      </c>
      <c r="J115" s="14" t="n">
        <f aca="false">ROUND(G115*I115,2)</f>
        <v>141.45</v>
      </c>
      <c r="K115" s="14"/>
      <c r="L115" s="14"/>
      <c r="M115" s="14"/>
      <c r="N115" s="14" t="n">
        <f aca="false">ROUND((G115*I115)-K115-L115-M115,2)</f>
        <v>141.45</v>
      </c>
      <c r="O115" s="14"/>
      <c r="P115" s="14" t="n">
        <f aca="false">ROUND(IF(D115=0,IF((N115-E115-O115)&gt;0,(N115-E115-O115),0),IF((D115+N115-O115)&gt;0,(D115+N115-O115),0)),2)</f>
        <v>1131.6</v>
      </c>
      <c r="Q115" s="14" t="n">
        <f aca="false">ROUND(IF(E115=0,IF((D115+N115-O115)&lt;0,ABS(D115+N115-O115),0),IF((N115-E115-O115)&lt;0,ABS(N115-E115-O115),0)),2)</f>
        <v>0</v>
      </c>
    </row>
    <row r="116" customFormat="false" ht="15" hidden="false" customHeight="true" outlineLevel="0" collapsed="false">
      <c r="A116" s="12" t="s">
        <v>344</v>
      </c>
      <c r="B116" s="12" t="str">
        <f aca="false">липень!B116</f>
        <v>Випенко О.І.</v>
      </c>
      <c r="C116" s="12" t="s">
        <v>346</v>
      </c>
      <c r="D116" s="14" t="n">
        <f aca="false">липень!P116</f>
        <v>16946.27</v>
      </c>
      <c r="E116" s="14" t="n">
        <f aca="false">липень!Q116</f>
        <v>0</v>
      </c>
      <c r="F116" s="13" t="n">
        <f aca="false">липень!F116</f>
        <v>0</v>
      </c>
      <c r="G116" s="13" t="n">
        <f aca="false">липень!G116</f>
        <v>62.9</v>
      </c>
      <c r="H116" s="13" t="n">
        <f aca="false">липень!H116</f>
        <v>0</v>
      </c>
      <c r="I116" s="13" t="n">
        <f aca="false">липень!I116</f>
        <v>4.1</v>
      </c>
      <c r="J116" s="14" t="n">
        <f aca="false">ROUND(G116*I116,2)</f>
        <v>257.89</v>
      </c>
      <c r="K116" s="14"/>
      <c r="L116" s="14"/>
      <c r="M116" s="14"/>
      <c r="N116" s="14" t="n">
        <f aca="false">ROUND((G116*I116)-K116-L116-M116,2)</f>
        <v>257.89</v>
      </c>
      <c r="O116" s="14"/>
      <c r="P116" s="14" t="n">
        <f aca="false">ROUND(IF(D116=0,IF((N116-E116-O116)&gt;0,(N116-E116-O116),0),IF((D116+N116-O116)&gt;0,(D116+N116-O116),0)),2)</f>
        <v>17204.16</v>
      </c>
      <c r="Q116" s="14" t="n">
        <f aca="false">ROUND(IF(E116=0,IF((D116+N116-O116)&lt;0,ABS(D116+N116-O116),0),IF((N116-E116-O116)&lt;0,ABS(N116-E116-O116),0)),2)</f>
        <v>0</v>
      </c>
    </row>
    <row r="117" customFormat="false" ht="15" hidden="false" customHeight="true" outlineLevel="0" collapsed="false">
      <c r="A117" s="12" t="s">
        <v>347</v>
      </c>
      <c r="B117" s="12" t="str">
        <f aca="false">липень!B117</f>
        <v>Саприкін Ю.О.</v>
      </c>
      <c r="C117" s="12" t="s">
        <v>349</v>
      </c>
      <c r="D117" s="14" t="n">
        <f aca="false">липень!P117</f>
        <v>3188.16</v>
      </c>
      <c r="E117" s="14" t="n">
        <f aca="false">липень!Q117</f>
        <v>0</v>
      </c>
      <c r="F117" s="13" t="n">
        <f aca="false">липень!F117</f>
        <v>0</v>
      </c>
      <c r="G117" s="13" t="n">
        <f aca="false">липень!G117</f>
        <v>97.2</v>
      </c>
      <c r="H117" s="13" t="n">
        <f aca="false">липень!H117</f>
        <v>0</v>
      </c>
      <c r="I117" s="13" t="n">
        <f aca="false">липень!I117</f>
        <v>4.1</v>
      </c>
      <c r="J117" s="14" t="n">
        <f aca="false">ROUND(G117*I117,2)</f>
        <v>398.52</v>
      </c>
      <c r="K117" s="14"/>
      <c r="L117" s="14"/>
      <c r="M117" s="14"/>
      <c r="N117" s="14" t="n">
        <f aca="false">ROUND((G117*I117)-K117-L117-M117,2)</f>
        <v>398.52</v>
      </c>
      <c r="O117" s="14"/>
      <c r="P117" s="14" t="n">
        <f aca="false">ROUND(IF(D117=0,IF((N117-E117-O117)&gt;0,(N117-E117-O117),0),IF((D117+N117-O117)&gt;0,(D117+N117-O117),0)),2)</f>
        <v>3586.68</v>
      </c>
      <c r="Q117" s="14" t="n">
        <f aca="false">ROUND(IF(E117=0,IF((D117+N117-O117)&lt;0,ABS(D117+N117-O117),0),IF((N117-E117-O117)&lt;0,ABS(N117-E117-O117),0)),2)</f>
        <v>0</v>
      </c>
    </row>
    <row r="118" customFormat="false" ht="15" hidden="false" customHeight="true" outlineLevel="0" collapsed="false">
      <c r="A118" s="12" t="s">
        <v>350</v>
      </c>
      <c r="B118" s="12" t="str">
        <f aca="false">липень!B118</f>
        <v>Мовчан В.М.</v>
      </c>
      <c r="C118" s="12" t="s">
        <v>352</v>
      </c>
      <c r="D118" s="14" t="n">
        <f aca="false">липень!P118</f>
        <v>1399.16</v>
      </c>
      <c r="E118" s="14" t="n">
        <f aca="false">липень!Q118</f>
        <v>0</v>
      </c>
      <c r="F118" s="13" t="n">
        <f aca="false">липень!F118</f>
        <v>0</v>
      </c>
      <c r="G118" s="13" t="n">
        <f aca="false">липень!G118</f>
        <v>48.75</v>
      </c>
      <c r="H118" s="13" t="n">
        <f aca="false">липень!H118</f>
        <v>0</v>
      </c>
      <c r="I118" s="13" t="n">
        <f aca="false">липень!I118</f>
        <v>4.1</v>
      </c>
      <c r="J118" s="14" t="n">
        <f aca="false">ROUND(G118*I118,2)</f>
        <v>199.88</v>
      </c>
      <c r="K118" s="14"/>
      <c r="L118" s="14"/>
      <c r="M118" s="14"/>
      <c r="N118" s="14" t="n">
        <f aca="false">ROUND((G118*I118)-K118-L118-M118,2)</f>
        <v>199.88</v>
      </c>
      <c r="O118" s="14"/>
      <c r="P118" s="14" t="n">
        <f aca="false">ROUND(IF(D118=0,IF((N118-E118-O118)&gt;0,(N118-E118-O118),0),IF((D118+N118-O118)&gt;0,(D118+N118-O118),0)),2)</f>
        <v>1599.04</v>
      </c>
      <c r="Q118" s="14" t="n">
        <f aca="false">ROUND(IF(E118=0,IF((D118+N118-O118)&lt;0,ABS(D118+N118-O118),0),IF((N118-E118-O118)&lt;0,ABS(N118-E118-O118),0)),2)</f>
        <v>0</v>
      </c>
    </row>
    <row r="119" customFormat="false" ht="15" hidden="false" customHeight="true" outlineLevel="0" collapsed="false">
      <c r="A119" s="12" t="s">
        <v>353</v>
      </c>
      <c r="B119" s="12" t="str">
        <f aca="false">липень!B119</f>
        <v>Величко Н.М.</v>
      </c>
      <c r="C119" s="12" t="s">
        <v>355</v>
      </c>
      <c r="D119" s="14" t="n">
        <f aca="false">липень!P119</f>
        <v>2011.86</v>
      </c>
      <c r="E119" s="14" t="n">
        <f aca="false">липень!Q119</f>
        <v>0</v>
      </c>
      <c r="F119" s="13" t="n">
        <f aca="false">липень!F119</f>
        <v>0</v>
      </c>
      <c r="G119" s="13" t="n">
        <f aca="false">липень!G119</f>
        <v>63.8</v>
      </c>
      <c r="H119" s="13" t="n">
        <f aca="false">липень!H119</f>
        <v>0</v>
      </c>
      <c r="I119" s="13" t="n">
        <f aca="false">липень!I119</f>
        <v>4.1</v>
      </c>
      <c r="J119" s="14" t="n">
        <f aca="false">ROUND(G119*I119,2)</f>
        <v>261.58</v>
      </c>
      <c r="K119" s="14"/>
      <c r="L119" s="14"/>
      <c r="M119" s="14"/>
      <c r="N119" s="14" t="n">
        <f aca="false">ROUND((G119*I119)-K119-L119-M119,2)</f>
        <v>261.58</v>
      </c>
      <c r="O119" s="14"/>
      <c r="P119" s="14" t="n">
        <f aca="false">ROUND(IF(D119=0,IF((N119-E119-O119)&gt;0,(N119-E119-O119),0),IF((D119+N119-O119)&gt;0,(D119+N119-O119),0)),2)</f>
        <v>2273.44</v>
      </c>
      <c r="Q119" s="14" t="n">
        <f aca="false">ROUND(IF(E119=0,IF((D119+N119-O119)&lt;0,ABS(D119+N119-O119),0),IF((N119-E119-O119)&lt;0,ABS(N119-E119-O119),0)),2)</f>
        <v>0</v>
      </c>
    </row>
    <row r="120" customFormat="false" ht="15" hidden="false" customHeight="true" outlineLevel="0" collapsed="false">
      <c r="A120" s="12" t="s">
        <v>356</v>
      </c>
      <c r="B120" s="12" t="str">
        <f aca="false">липень!B120</f>
        <v>Бухлов С.В.</v>
      </c>
      <c r="C120" s="12" t="s">
        <v>358</v>
      </c>
      <c r="D120" s="14" t="n">
        <f aca="false">липень!P120</f>
        <v>19030.87</v>
      </c>
      <c r="E120" s="14" t="n">
        <f aca="false">липень!Q120</f>
        <v>0</v>
      </c>
      <c r="F120" s="13" t="n">
        <f aca="false">липень!F120</f>
        <v>0</v>
      </c>
      <c r="G120" s="13" t="n">
        <f aca="false">липень!G120</f>
        <v>62.6</v>
      </c>
      <c r="H120" s="13" t="n">
        <f aca="false">липень!H120</f>
        <v>0</v>
      </c>
      <c r="I120" s="13" t="n">
        <f aca="false">липень!I120</f>
        <v>4.1</v>
      </c>
      <c r="J120" s="14" t="n">
        <f aca="false">ROUND(G120*I120,2)</f>
        <v>256.66</v>
      </c>
      <c r="K120" s="14"/>
      <c r="L120" s="14"/>
      <c r="M120" s="14"/>
      <c r="N120" s="14" t="n">
        <f aca="false">ROUND((G120*I120)-K120-L120-M120,2)</f>
        <v>256.66</v>
      </c>
      <c r="O120" s="14"/>
      <c r="P120" s="14" t="n">
        <f aca="false">ROUND(IF(D120=0,IF((N120-E120-O120)&gt;0,(N120-E120-O120),0),IF((D120+N120-O120)&gt;0,(D120+N120-O120),0)),2)</f>
        <v>19287.53</v>
      </c>
      <c r="Q120" s="14" t="n">
        <f aca="false">ROUND(IF(E120=0,IF((D120+N120-O120)&lt;0,ABS(D120+N120-O120),0),IF((N120-E120-O120)&lt;0,ABS(N120-E120-O120),0)),2)</f>
        <v>0</v>
      </c>
    </row>
    <row r="121" customFormat="false" ht="15" hidden="false" customHeight="true" outlineLevel="0" collapsed="false">
      <c r="A121" s="12" t="s">
        <v>359</v>
      </c>
      <c r="B121" s="12" t="str">
        <f aca="false">липень!B121</f>
        <v>Перепеліцина Т.Ю.</v>
      </c>
      <c r="C121" s="12" t="s">
        <v>361</v>
      </c>
      <c r="D121" s="14" t="n">
        <f aca="false">липень!P121</f>
        <v>3399.08</v>
      </c>
      <c r="E121" s="14" t="n">
        <f aca="false">липень!Q121</f>
        <v>0</v>
      </c>
      <c r="F121" s="13" t="n">
        <f aca="false">липень!F121</f>
        <v>0</v>
      </c>
      <c r="G121" s="13" t="n">
        <f aca="false">липень!G121</f>
        <v>34.7</v>
      </c>
      <c r="H121" s="13" t="n">
        <f aca="false">липень!H121</f>
        <v>0</v>
      </c>
      <c r="I121" s="13" t="n">
        <f aca="false">липень!I121</f>
        <v>4.1</v>
      </c>
      <c r="J121" s="14" t="n">
        <f aca="false">ROUND(G121*I121,2)</f>
        <v>142.27</v>
      </c>
      <c r="K121" s="14"/>
      <c r="L121" s="14"/>
      <c r="M121" s="14"/>
      <c r="N121" s="14" t="n">
        <f aca="false">ROUND((G121*I121)-K121-L121-M121,2)</f>
        <v>142.27</v>
      </c>
      <c r="O121" s="14"/>
      <c r="P121" s="14" t="n">
        <f aca="false">ROUND(IF(D121=0,IF((N121-E121-O121)&gt;0,(N121-E121-O121),0),IF((D121+N121-O121)&gt;0,(D121+N121-O121),0)),2)</f>
        <v>3541.35</v>
      </c>
      <c r="Q121" s="14" t="n">
        <f aca="false">ROUND(IF(E121=0,IF((D121+N121-O121)&lt;0,ABS(D121+N121-O121),0),IF((N121-E121-O121)&lt;0,ABS(N121-E121-O121),0)),2)</f>
        <v>0</v>
      </c>
    </row>
    <row r="122" customFormat="false" ht="15" hidden="false" customHeight="true" outlineLevel="0" collapsed="false">
      <c r="A122" s="12" t="s">
        <v>362</v>
      </c>
      <c r="B122" s="12" t="str">
        <f aca="false">липень!B122</f>
        <v>Свєтлова Т.Ю.</v>
      </c>
      <c r="C122" s="12" t="s">
        <v>364</v>
      </c>
      <c r="D122" s="14" t="n">
        <f aca="false">липень!P122</f>
        <v>4667.15</v>
      </c>
      <c r="E122" s="14" t="n">
        <f aca="false">липень!Q122</f>
        <v>0</v>
      </c>
      <c r="F122" s="13" t="n">
        <f aca="false">липень!F122</f>
        <v>0</v>
      </c>
      <c r="G122" s="13" t="n">
        <f aca="false">липень!G122</f>
        <v>49.72</v>
      </c>
      <c r="H122" s="13" t="n">
        <f aca="false">липень!H122</f>
        <v>0</v>
      </c>
      <c r="I122" s="13" t="n">
        <f aca="false">липень!I122</f>
        <v>4.1</v>
      </c>
      <c r="J122" s="14" t="n">
        <f aca="false">ROUND(G122*I122,2)</f>
        <v>203.85</v>
      </c>
      <c r="K122" s="14"/>
      <c r="L122" s="14"/>
      <c r="M122" s="14"/>
      <c r="N122" s="14" t="n">
        <f aca="false">ROUND((G122*I122)-K122-L122-M122,2)</f>
        <v>203.85</v>
      </c>
      <c r="O122" s="14"/>
      <c r="P122" s="14" t="n">
        <f aca="false">ROUND(IF(D122=0,IF((N122-E122-O122)&gt;0,(N122-E122-O122),0),IF((D122+N122-O122)&gt;0,(D122+N122-O122),0)),2)</f>
        <v>4871</v>
      </c>
      <c r="Q122" s="14" t="n">
        <f aca="false">ROUND(IF(E122=0,IF((D122+N122-O122)&lt;0,ABS(D122+N122-O122),0),IF((N122-E122-O122)&lt;0,ABS(N122-E122-O122),0)),2)</f>
        <v>0</v>
      </c>
    </row>
    <row r="123" customFormat="false" ht="15" hidden="false" customHeight="true" outlineLevel="0" collapsed="false">
      <c r="A123" s="12" t="s">
        <v>365</v>
      </c>
      <c r="B123" s="12" t="str">
        <f aca="false">липень!B123</f>
        <v>Маркова О.М.</v>
      </c>
      <c r="C123" s="12" t="s">
        <v>367</v>
      </c>
      <c r="D123" s="14" t="n">
        <f aca="false">липень!P123</f>
        <v>1919.83</v>
      </c>
      <c r="E123" s="14" t="n">
        <f aca="false">липень!Q123</f>
        <v>0</v>
      </c>
      <c r="F123" s="13" t="n">
        <f aca="false">липень!F123</f>
        <v>0</v>
      </c>
      <c r="G123" s="13" t="n">
        <f aca="false">липень!G123</f>
        <v>65.1</v>
      </c>
      <c r="H123" s="13" t="n">
        <f aca="false">липень!H123</f>
        <v>0</v>
      </c>
      <c r="I123" s="13" t="n">
        <f aca="false">липень!I123</f>
        <v>4.1</v>
      </c>
      <c r="J123" s="14" t="n">
        <f aca="false">ROUND(G123*I123,2)</f>
        <v>266.91</v>
      </c>
      <c r="K123" s="14"/>
      <c r="L123" s="14"/>
      <c r="M123" s="14"/>
      <c r="N123" s="14" t="n">
        <f aca="false">ROUND((G123*I123)-K123-L123-M123,2)</f>
        <v>266.91</v>
      </c>
      <c r="O123" s="14"/>
      <c r="P123" s="14" t="n">
        <f aca="false">ROUND(IF(D123=0,IF((N123-E123-O123)&gt;0,(N123-E123-O123),0),IF((D123+N123-O123)&gt;0,(D123+N123-O123),0)),2)</f>
        <v>2186.74</v>
      </c>
      <c r="Q123" s="14" t="n">
        <f aca="false">ROUND(IF(E123=0,IF((D123+N123-O123)&lt;0,ABS(D123+N123-O123),0),IF((N123-E123-O123)&lt;0,ABS(N123-E123-O123),0)),2)</f>
        <v>0</v>
      </c>
    </row>
    <row r="124" customFormat="false" ht="15" hidden="false" customHeight="true" outlineLevel="0" collapsed="false">
      <c r="A124" s="12" t="s">
        <v>368</v>
      </c>
      <c r="B124" s="12" t="str">
        <f aca="false">липень!B124</f>
        <v>Ракитська А.М.</v>
      </c>
      <c r="C124" s="12" t="s">
        <v>370</v>
      </c>
      <c r="D124" s="14" t="n">
        <f aca="false">липень!P124</f>
        <v>1777.26</v>
      </c>
      <c r="E124" s="14" t="n">
        <f aca="false">липень!Q124</f>
        <v>0</v>
      </c>
      <c r="F124" s="13" t="n">
        <f aca="false">липень!F124</f>
        <v>0</v>
      </c>
      <c r="G124" s="13" t="n">
        <f aca="false">липень!G124</f>
        <v>62.18</v>
      </c>
      <c r="H124" s="13" t="n">
        <f aca="false">липень!H124</f>
        <v>0</v>
      </c>
      <c r="I124" s="13" t="n">
        <f aca="false">липень!I124</f>
        <v>4.1</v>
      </c>
      <c r="J124" s="14" t="n">
        <f aca="false">ROUND(G124*I124,2)</f>
        <v>254.94</v>
      </c>
      <c r="K124" s="14"/>
      <c r="L124" s="14"/>
      <c r="M124" s="14"/>
      <c r="N124" s="14" t="n">
        <f aca="false">ROUND((G124*I124)-K124-L124-M124,2)</f>
        <v>254.94</v>
      </c>
      <c r="O124" s="14"/>
      <c r="P124" s="14" t="n">
        <f aca="false">ROUND(IF(D124=0,IF((N124-E124-O124)&gt;0,(N124-E124-O124),0),IF((D124+N124-O124)&gt;0,(D124+N124-O124),0)),2)</f>
        <v>2032.2</v>
      </c>
      <c r="Q124" s="14" t="n">
        <f aca="false">ROUND(IF(E124=0,IF((D124+N124-O124)&lt;0,ABS(D124+N124-O124),0),IF((N124-E124-O124)&lt;0,ABS(N124-E124-O124),0)),2)</f>
        <v>0</v>
      </c>
    </row>
    <row r="125" customFormat="false" ht="15" hidden="false" customHeight="true" outlineLevel="0" collapsed="false">
      <c r="A125" s="12" t="s">
        <v>371</v>
      </c>
      <c r="B125" s="12" t="str">
        <f aca="false">липень!B125</f>
        <v>Гусак К.С.</v>
      </c>
      <c r="C125" s="12" t="s">
        <v>373</v>
      </c>
      <c r="D125" s="14" t="n">
        <f aca="false">липень!P125</f>
        <v>7688.37</v>
      </c>
      <c r="E125" s="14" t="n">
        <f aca="false">липень!Q125</f>
        <v>0</v>
      </c>
      <c r="F125" s="13" t="n">
        <f aca="false">липень!F125</f>
        <v>0</v>
      </c>
      <c r="G125" s="13" t="n">
        <f aca="false">липень!G125</f>
        <v>35.1</v>
      </c>
      <c r="H125" s="13" t="n">
        <f aca="false">липень!H125</f>
        <v>0</v>
      </c>
      <c r="I125" s="13" t="n">
        <f aca="false">липень!I125</f>
        <v>4.1</v>
      </c>
      <c r="J125" s="14" t="n">
        <f aca="false">ROUND(G125*I125,2)</f>
        <v>143.91</v>
      </c>
      <c r="K125" s="14"/>
      <c r="L125" s="14"/>
      <c r="M125" s="14"/>
      <c r="N125" s="14" t="n">
        <f aca="false">ROUND((G125*I125)-K125-L125-M125,2)</f>
        <v>143.91</v>
      </c>
      <c r="O125" s="14"/>
      <c r="P125" s="14" t="n">
        <f aca="false">ROUND(IF(D125=0,IF((N125-E125-O125)&gt;0,(N125-E125-O125),0),IF((D125+N125-O125)&gt;0,(D125+N125-O125),0)),2)</f>
        <v>7832.28</v>
      </c>
      <c r="Q125" s="14" t="n">
        <f aca="false">ROUND(IF(E125=0,IF((D125+N125-O125)&lt;0,ABS(D125+N125-O125),0),IF((N125-E125-O125)&lt;0,ABS(N125-E125-O125),0)),2)</f>
        <v>0</v>
      </c>
    </row>
    <row r="126" customFormat="false" ht="15" hidden="false" customHeight="true" outlineLevel="0" collapsed="false">
      <c r="A126" s="12" t="s">
        <v>374</v>
      </c>
      <c r="B126" s="12" t="str">
        <f aca="false">липень!B126</f>
        <v>Пісоченко М.Г.</v>
      </c>
      <c r="C126" s="12" t="s">
        <v>376</v>
      </c>
      <c r="D126" s="14" t="n">
        <f aca="false">липень!P126</f>
        <v>1633.44</v>
      </c>
      <c r="E126" s="14" t="n">
        <f aca="false">липень!Q126</f>
        <v>0</v>
      </c>
      <c r="F126" s="13" t="n">
        <f aca="false">липень!F126</f>
        <v>0</v>
      </c>
      <c r="G126" s="13" t="n">
        <f aca="false">липень!G126</f>
        <v>49.8</v>
      </c>
      <c r="H126" s="13" t="n">
        <f aca="false">липень!H126</f>
        <v>0</v>
      </c>
      <c r="I126" s="13" t="n">
        <f aca="false">липень!I126</f>
        <v>4.1</v>
      </c>
      <c r="J126" s="14" t="n">
        <f aca="false">ROUND(G126*I126,2)</f>
        <v>204.18</v>
      </c>
      <c r="K126" s="14"/>
      <c r="L126" s="14"/>
      <c r="M126" s="14"/>
      <c r="N126" s="14" t="n">
        <f aca="false">ROUND((G126*I126)-K126-L126-M126,2)</f>
        <v>204.18</v>
      </c>
      <c r="O126" s="14"/>
      <c r="P126" s="14" t="n">
        <f aca="false">ROUND(IF(D126=0,IF((N126-E126-O126)&gt;0,(N126-E126-O126),0),IF((D126+N126-O126)&gt;0,(D126+N126-O126),0)),2)</f>
        <v>1837.62</v>
      </c>
      <c r="Q126" s="14" t="n">
        <f aca="false">ROUND(IF(E126=0,IF((D126+N126-O126)&lt;0,ABS(D126+N126-O126),0),IF((N126-E126-O126)&lt;0,ABS(N126-E126-O126),0)),2)</f>
        <v>0</v>
      </c>
    </row>
    <row r="127" customFormat="false" ht="15" hidden="false" customHeight="true" outlineLevel="0" collapsed="false">
      <c r="A127" s="12" t="s">
        <v>377</v>
      </c>
      <c r="B127" s="12" t="str">
        <f aca="false">липень!B127</f>
        <v>Столяр О.М.</v>
      </c>
      <c r="C127" s="12" t="s">
        <v>379</v>
      </c>
      <c r="D127" s="14" t="n">
        <f aca="false">липень!P127</f>
        <v>4819.14</v>
      </c>
      <c r="E127" s="14" t="n">
        <f aca="false">липень!Q127</f>
        <v>0</v>
      </c>
      <c r="F127" s="13" t="n">
        <f aca="false">липень!F127</f>
        <v>0</v>
      </c>
      <c r="G127" s="13" t="n">
        <f aca="false">липень!G127</f>
        <v>65.3</v>
      </c>
      <c r="H127" s="13" t="n">
        <f aca="false">липень!H127</f>
        <v>0</v>
      </c>
      <c r="I127" s="13" t="n">
        <f aca="false">липень!I127</f>
        <v>4.1</v>
      </c>
      <c r="J127" s="14" t="n">
        <f aca="false">ROUND(G127*I127,2)</f>
        <v>267.73</v>
      </c>
      <c r="K127" s="14"/>
      <c r="L127" s="14"/>
      <c r="M127" s="14"/>
      <c r="N127" s="14" t="n">
        <f aca="false">ROUND((G127*I127)-K127-L127-M127,2)</f>
        <v>267.73</v>
      </c>
      <c r="O127" s="14"/>
      <c r="P127" s="14" t="n">
        <f aca="false">ROUND(IF(D127=0,IF((N127-E127-O127)&gt;0,(N127-E127-O127),0),IF((D127+N127-O127)&gt;0,(D127+N127-O127),0)),2)</f>
        <v>5086.87</v>
      </c>
      <c r="Q127" s="14" t="n">
        <f aca="false">ROUND(IF(E127=0,IF((D127+N127-O127)&lt;0,ABS(D127+N127-O127),0),IF((N127-E127-O127)&lt;0,ABS(N127-E127-O127),0)),2)</f>
        <v>0</v>
      </c>
    </row>
    <row r="128" customFormat="false" ht="15" hidden="false" customHeight="true" outlineLevel="0" collapsed="false">
      <c r="A128" s="12" t="s">
        <v>380</v>
      </c>
      <c r="B128" s="12" t="str">
        <f aca="false">липень!B128</f>
        <v>Рєзніков В.П.</v>
      </c>
      <c r="C128" s="12" t="s">
        <v>382</v>
      </c>
      <c r="D128" s="14" t="n">
        <f aca="false">липень!P128</f>
        <v>1468.69</v>
      </c>
      <c r="E128" s="14" t="n">
        <f aca="false">липень!Q128</f>
        <v>0</v>
      </c>
      <c r="F128" s="13" t="n">
        <f aca="false">липень!F128</f>
        <v>0</v>
      </c>
      <c r="G128" s="13" t="n">
        <f aca="false">липень!G128</f>
        <v>62.44</v>
      </c>
      <c r="H128" s="13" t="n">
        <f aca="false">липень!H128</f>
        <v>0</v>
      </c>
      <c r="I128" s="13" t="n">
        <f aca="false">липень!I128</f>
        <v>4.1</v>
      </c>
      <c r="J128" s="14" t="n">
        <f aca="false">ROUND(G128*I128,2)</f>
        <v>256</v>
      </c>
      <c r="K128" s="14"/>
      <c r="L128" s="14"/>
      <c r="M128" s="14"/>
      <c r="N128" s="14" t="n">
        <f aca="false">ROUND((G128*I128)-K128-L128-M128,2)</f>
        <v>256</v>
      </c>
      <c r="O128" s="14"/>
      <c r="P128" s="14" t="n">
        <f aca="false">ROUND(IF(D128=0,IF((N128-E128-O128)&gt;0,(N128-E128-O128),0),IF((D128+N128-O128)&gt;0,(D128+N128-O128),0)),2)</f>
        <v>1724.69</v>
      </c>
      <c r="Q128" s="14" t="n">
        <f aca="false">ROUND(IF(E128=0,IF((D128+N128-O128)&lt;0,ABS(D128+N128-O128),0),IF((N128-E128-O128)&lt;0,ABS(N128-E128-O128),0)),2)</f>
        <v>0</v>
      </c>
    </row>
    <row r="129" customFormat="false" ht="15" hidden="false" customHeight="true" outlineLevel="0" collapsed="false">
      <c r="A129" s="12" t="s">
        <v>383</v>
      </c>
      <c r="B129" s="12" t="str">
        <f aca="false">липень!B129</f>
        <v>Золотоверха Я.І.</v>
      </c>
      <c r="C129" s="12" t="s">
        <v>385</v>
      </c>
      <c r="D129" s="14" t="n">
        <f aca="false">липень!P129</f>
        <v>1021.72</v>
      </c>
      <c r="E129" s="14" t="n">
        <f aca="false">липень!Q129</f>
        <v>0</v>
      </c>
      <c r="F129" s="13" t="n">
        <f aca="false">липень!F129</f>
        <v>0</v>
      </c>
      <c r="G129" s="13" t="n">
        <f aca="false">липень!G129</f>
        <v>35.6</v>
      </c>
      <c r="H129" s="13" t="n">
        <f aca="false">липень!H129</f>
        <v>0</v>
      </c>
      <c r="I129" s="13" t="n">
        <f aca="false">липень!I129</f>
        <v>4.1</v>
      </c>
      <c r="J129" s="14" t="n">
        <f aca="false">ROUND(G129*I129,2)</f>
        <v>145.96</v>
      </c>
      <c r="K129" s="14"/>
      <c r="L129" s="14"/>
      <c r="M129" s="14"/>
      <c r="N129" s="14" t="n">
        <f aca="false">ROUND((G129*I129)-K129-L129-M129,2)</f>
        <v>145.96</v>
      </c>
      <c r="O129" s="14"/>
      <c r="P129" s="14" t="n">
        <f aca="false">ROUND(IF(D129=0,IF((N129-E129-O129)&gt;0,(N129-E129-O129),0),IF((D129+N129-O129)&gt;0,(D129+N129-O129),0)),2)</f>
        <v>1167.68</v>
      </c>
      <c r="Q129" s="14" t="n">
        <f aca="false">ROUND(IF(E129=0,IF((D129+N129-O129)&lt;0,ABS(D129+N129-O129),0),IF((N129-E129-O129)&lt;0,ABS(N129-E129-O129),0)),2)</f>
        <v>0</v>
      </c>
    </row>
    <row r="130" customFormat="false" ht="15" hidden="false" customHeight="true" outlineLevel="0" collapsed="false">
      <c r="A130" s="12" t="s">
        <v>386</v>
      </c>
      <c r="B130" s="12" t="str">
        <f aca="false">липень!B130</f>
        <v>Бурлаков А.В.</v>
      </c>
      <c r="C130" s="12" t="s">
        <v>388</v>
      </c>
      <c r="D130" s="14" t="n">
        <f aca="false">липень!P130</f>
        <v>1629.93</v>
      </c>
      <c r="E130" s="14" t="n">
        <f aca="false">липень!Q130</f>
        <v>0</v>
      </c>
      <c r="F130" s="13" t="n">
        <f aca="false">липень!F130</f>
        <v>0</v>
      </c>
      <c r="G130" s="13" t="n">
        <f aca="false">липень!G130</f>
        <v>49.7</v>
      </c>
      <c r="H130" s="13" t="n">
        <f aca="false">липень!H130</f>
        <v>0</v>
      </c>
      <c r="I130" s="13" t="n">
        <f aca="false">липень!I130</f>
        <v>4.1</v>
      </c>
      <c r="J130" s="14" t="n">
        <f aca="false">ROUND(G130*I130,2)</f>
        <v>203.77</v>
      </c>
      <c r="K130" s="14"/>
      <c r="L130" s="14"/>
      <c r="M130" s="14"/>
      <c r="N130" s="14" t="n">
        <f aca="false">ROUND((G130*I130)-K130-L130-M130,2)</f>
        <v>203.77</v>
      </c>
      <c r="O130" s="14"/>
      <c r="P130" s="14" t="n">
        <f aca="false">ROUND(IF(D130=0,IF((N130-E130-O130)&gt;0,(N130-E130-O130),0),IF((D130+N130-O130)&gt;0,(D130+N130-O130),0)),2)</f>
        <v>1833.7</v>
      </c>
      <c r="Q130" s="14" t="n">
        <f aca="false">ROUND(IF(E130=0,IF((D130+N130-O130)&lt;0,ABS(D130+N130-O130),0),IF((N130-E130-O130)&lt;0,ABS(N130-E130-O130),0)),2)</f>
        <v>0</v>
      </c>
    </row>
    <row r="131" customFormat="false" ht="15" hidden="false" customHeight="true" outlineLevel="0" collapsed="false">
      <c r="A131" s="12" t="s">
        <v>389</v>
      </c>
      <c r="B131" s="12" t="str">
        <f aca="false">липень!B131</f>
        <v>Сикула О.Ю.</v>
      </c>
      <c r="C131" s="12" t="s">
        <v>391</v>
      </c>
      <c r="D131" s="14" t="n">
        <f aca="false">липень!P131</f>
        <v>5869.84</v>
      </c>
      <c r="E131" s="14" t="n">
        <f aca="false">липень!Q131</f>
        <v>0</v>
      </c>
      <c r="F131" s="13" t="n">
        <f aca="false">липень!F131</f>
        <v>0</v>
      </c>
      <c r="G131" s="13" t="n">
        <f aca="false">липень!G131</f>
        <v>65.15</v>
      </c>
      <c r="H131" s="13" t="n">
        <f aca="false">липень!H131</f>
        <v>0</v>
      </c>
      <c r="I131" s="13" t="n">
        <f aca="false">липень!I131</f>
        <v>4.1</v>
      </c>
      <c r="J131" s="14" t="n">
        <f aca="false">ROUND(G131*I131,2)</f>
        <v>267.12</v>
      </c>
      <c r="K131" s="14"/>
      <c r="L131" s="14"/>
      <c r="M131" s="14"/>
      <c r="N131" s="14" t="n">
        <f aca="false">ROUND((G131*I131)-K131-L131-M131,2)</f>
        <v>267.12</v>
      </c>
      <c r="O131" s="14"/>
      <c r="P131" s="14" t="n">
        <f aca="false">ROUND(IF(D131=0,IF((N131-E131-O131)&gt;0,(N131-E131-O131),0),IF((D131+N131-O131)&gt;0,(D131+N131-O131),0)),2)</f>
        <v>6136.96</v>
      </c>
      <c r="Q131" s="14" t="n">
        <f aca="false">ROUND(IF(E131=0,IF((D131+N131-O131)&lt;0,ABS(D131+N131-O131),0),IF((N131-E131-O131)&lt;0,ABS(N131-E131-O131),0)),2)</f>
        <v>0</v>
      </c>
    </row>
    <row r="132" customFormat="false" ht="15" hidden="false" customHeight="true" outlineLevel="0" collapsed="false">
      <c r="A132" s="12" t="s">
        <v>392</v>
      </c>
      <c r="B132" s="12" t="str">
        <f aca="false">липень!B132</f>
        <v>Арістов О.О.</v>
      </c>
      <c r="C132" s="12" t="s">
        <v>394</v>
      </c>
      <c r="D132" s="14" t="n">
        <f aca="false">липень!P132</f>
        <v>2066.4</v>
      </c>
      <c r="E132" s="14" t="n">
        <f aca="false">липень!Q132</f>
        <v>0</v>
      </c>
      <c r="F132" s="13" t="n">
        <f aca="false">липень!F132</f>
        <v>0</v>
      </c>
      <c r="G132" s="13" t="n">
        <f aca="false">липень!G132</f>
        <v>63</v>
      </c>
      <c r="H132" s="13" t="n">
        <f aca="false">липень!H132</f>
        <v>0</v>
      </c>
      <c r="I132" s="13" t="n">
        <f aca="false">липень!I132</f>
        <v>4.1</v>
      </c>
      <c r="J132" s="14" t="n">
        <f aca="false">ROUND(G132*I132,2)</f>
        <v>258.3</v>
      </c>
      <c r="K132" s="14"/>
      <c r="L132" s="14"/>
      <c r="M132" s="14"/>
      <c r="N132" s="14" t="n">
        <f aca="false">ROUND((G132*I132)-K132-L132-M132,2)</f>
        <v>258.3</v>
      </c>
      <c r="O132" s="14"/>
      <c r="P132" s="14" t="n">
        <f aca="false">ROUND(IF(D132=0,IF((N132-E132-O132)&gt;0,(N132-E132-O132),0),IF((D132+N132-O132)&gt;0,(D132+N132-O132),0)),2)</f>
        <v>2324.7</v>
      </c>
      <c r="Q132" s="14" t="n">
        <f aca="false">ROUND(IF(E132=0,IF((D132+N132-O132)&lt;0,ABS(D132+N132-O132),0),IF((N132-E132-O132)&lt;0,ABS(N132-E132-O132),0)),2)</f>
        <v>0</v>
      </c>
    </row>
    <row r="133" customFormat="false" ht="15" hidden="false" customHeight="true" outlineLevel="0" collapsed="false">
      <c r="A133" s="12" t="s">
        <v>395</v>
      </c>
      <c r="B133" s="12" t="str">
        <f aca="false">липень!B133</f>
        <v>Бондаренко Т.О.</v>
      </c>
      <c r="C133" s="12" t="s">
        <v>397</v>
      </c>
      <c r="D133" s="14" t="n">
        <f aca="false">липень!P133</f>
        <v>995.89</v>
      </c>
      <c r="E133" s="14" t="n">
        <f aca="false">липень!Q133</f>
        <v>0</v>
      </c>
      <c r="F133" s="13" t="n">
        <f aca="false">липень!F133</f>
        <v>0</v>
      </c>
      <c r="G133" s="13" t="n">
        <f aca="false">липень!G133</f>
        <v>34.7</v>
      </c>
      <c r="H133" s="13" t="n">
        <f aca="false">липень!H133</f>
        <v>0</v>
      </c>
      <c r="I133" s="13" t="n">
        <f aca="false">липень!I133</f>
        <v>4.1</v>
      </c>
      <c r="J133" s="14" t="n">
        <f aca="false">ROUND(G133*I133,2)</f>
        <v>142.27</v>
      </c>
      <c r="K133" s="14"/>
      <c r="L133" s="14"/>
      <c r="M133" s="14"/>
      <c r="N133" s="14" t="n">
        <f aca="false">ROUND((G133*I133)-K133-L133-M133,2)</f>
        <v>142.27</v>
      </c>
      <c r="O133" s="14"/>
      <c r="P133" s="14" t="n">
        <f aca="false">ROUND(IF(D133=0,IF((N133-E133-O133)&gt;0,(N133-E133-O133),0),IF((D133+N133-O133)&gt;0,(D133+N133-O133),0)),2)</f>
        <v>1138.16</v>
      </c>
      <c r="Q133" s="14" t="n">
        <f aca="false">ROUND(IF(E133=0,IF((D133+N133-O133)&lt;0,ABS(D133+N133-O133),0),IF((N133-E133-O133)&lt;0,ABS(N133-E133-O133),0)),2)</f>
        <v>0</v>
      </c>
    </row>
    <row r="134" customFormat="false" ht="15" hidden="false" customHeight="true" outlineLevel="0" collapsed="false">
      <c r="A134" s="12" t="s">
        <v>398</v>
      </c>
      <c r="B134" s="12" t="str">
        <f aca="false">липень!B134</f>
        <v>Гайчев П.В.</v>
      </c>
      <c r="C134" s="12" t="s">
        <v>400</v>
      </c>
      <c r="D134" s="14" t="n">
        <f aca="false">липень!P134</f>
        <v>1613.76</v>
      </c>
      <c r="E134" s="14" t="n">
        <f aca="false">липень!Q134</f>
        <v>0</v>
      </c>
      <c r="F134" s="13" t="n">
        <f aca="false">липень!F134</f>
        <v>0</v>
      </c>
      <c r="G134" s="13" t="n">
        <f aca="false">липень!G134</f>
        <v>49.2</v>
      </c>
      <c r="H134" s="13" t="n">
        <f aca="false">липень!H134</f>
        <v>0</v>
      </c>
      <c r="I134" s="13" t="n">
        <f aca="false">липень!I134</f>
        <v>4.1</v>
      </c>
      <c r="J134" s="14" t="n">
        <f aca="false">ROUND(G134*I134,2)</f>
        <v>201.72</v>
      </c>
      <c r="K134" s="14"/>
      <c r="L134" s="14"/>
      <c r="M134" s="14"/>
      <c r="N134" s="14" t="n">
        <f aca="false">ROUND((G134*I134)-K134-L134-M134,2)</f>
        <v>201.72</v>
      </c>
      <c r="O134" s="14"/>
      <c r="P134" s="14" t="n">
        <f aca="false">ROUND(IF(D134=0,IF((N134-E134-O134)&gt;0,(N134-E134-O134),0),IF((D134+N134-O134)&gt;0,(D134+N134-O134),0)),2)</f>
        <v>1815.48</v>
      </c>
      <c r="Q134" s="14" t="n">
        <f aca="false">ROUND(IF(E134=0,IF((D134+N134-O134)&lt;0,ABS(D134+N134-O134),0),IF((N134-E134-O134)&lt;0,ABS(N134-E134-O134),0)),2)</f>
        <v>0</v>
      </c>
    </row>
    <row r="135" customFormat="false" ht="15" hidden="false" customHeight="true" outlineLevel="0" collapsed="false">
      <c r="A135" s="12" t="s">
        <v>401</v>
      </c>
      <c r="B135" s="12" t="str">
        <f aca="false">липень!B135</f>
        <v>Радченко О.С.</v>
      </c>
      <c r="C135" s="12" t="s">
        <v>403</v>
      </c>
      <c r="D135" s="14" t="n">
        <f aca="false">липень!P135</f>
        <v>1869.84</v>
      </c>
      <c r="E135" s="14" t="n">
        <f aca="false">липень!Q135</f>
        <v>0</v>
      </c>
      <c r="F135" s="13" t="n">
        <f aca="false">липень!F135</f>
        <v>0</v>
      </c>
      <c r="G135" s="13" t="n">
        <f aca="false">липень!G135</f>
        <v>65.15</v>
      </c>
      <c r="H135" s="13" t="n">
        <f aca="false">липень!H135</f>
        <v>0</v>
      </c>
      <c r="I135" s="13" t="n">
        <f aca="false">липень!I135</f>
        <v>4.1</v>
      </c>
      <c r="J135" s="14" t="n">
        <f aca="false">ROUND(G135*I135,2)</f>
        <v>267.12</v>
      </c>
      <c r="K135" s="14"/>
      <c r="L135" s="14"/>
      <c r="M135" s="14"/>
      <c r="N135" s="14" t="n">
        <f aca="false">ROUND((G135*I135)-K135-L135-M135,2)</f>
        <v>267.12</v>
      </c>
      <c r="O135" s="14"/>
      <c r="P135" s="14" t="n">
        <f aca="false">ROUND(IF(D135=0,IF((N135-E135-O135)&gt;0,(N135-E135-O135),0),IF((D135+N135-O135)&gt;0,(D135+N135-O135),0)),2)</f>
        <v>2136.96</v>
      </c>
      <c r="Q135" s="14" t="n">
        <f aca="false">ROUND(IF(E135=0,IF((D135+N135-O135)&lt;0,ABS(D135+N135-O135),0),IF((N135-E135-O135)&lt;0,ABS(N135-E135-O135),0)),2)</f>
        <v>0</v>
      </c>
    </row>
    <row r="136" customFormat="false" ht="15" hidden="false" customHeight="true" outlineLevel="0" collapsed="false">
      <c r="A136" s="12" t="s">
        <v>404</v>
      </c>
      <c r="B136" s="12" t="str">
        <f aca="false">липень!B136</f>
        <v>Шилін С.М.</v>
      </c>
      <c r="C136" s="12" t="s">
        <v>406</v>
      </c>
      <c r="D136" s="14" t="n">
        <f aca="false">липень!P136</f>
        <v>3293.32</v>
      </c>
      <c r="E136" s="14" t="n">
        <f aca="false">липень!Q136</f>
        <v>0</v>
      </c>
      <c r="F136" s="13" t="n">
        <f aca="false">липень!F136</f>
        <v>0</v>
      </c>
      <c r="G136" s="13" t="n">
        <f aca="false">липень!G136</f>
        <v>62.3</v>
      </c>
      <c r="H136" s="13" t="n">
        <f aca="false">липень!H136</f>
        <v>0</v>
      </c>
      <c r="I136" s="13" t="n">
        <f aca="false">липень!I136</f>
        <v>4.1</v>
      </c>
      <c r="J136" s="14" t="n">
        <f aca="false">ROUND(G136*I136,2)</f>
        <v>255.43</v>
      </c>
      <c r="K136" s="14"/>
      <c r="L136" s="14"/>
      <c r="M136" s="14"/>
      <c r="N136" s="14" t="n">
        <f aca="false">ROUND((G136*I136)-K136-L136-M136,2)</f>
        <v>255.43</v>
      </c>
      <c r="O136" s="14"/>
      <c r="P136" s="14" t="n">
        <f aca="false">ROUND(IF(D136=0,IF((N136-E136-O136)&gt;0,(N136-E136-O136),0),IF((D136+N136-O136)&gt;0,(D136+N136-O136),0)),2)</f>
        <v>3548.75</v>
      </c>
      <c r="Q136" s="14" t="n">
        <f aca="false">ROUND(IF(E136=0,IF((D136+N136-O136)&lt;0,ABS(D136+N136-O136),0),IF((N136-E136-O136)&lt;0,ABS(N136-E136-O136),0)),2)</f>
        <v>0</v>
      </c>
    </row>
    <row r="137" customFormat="false" ht="15" hidden="false" customHeight="true" outlineLevel="0" collapsed="false">
      <c r="A137" s="12" t="s">
        <v>407</v>
      </c>
      <c r="B137" s="12" t="str">
        <f aca="false">липень!B137</f>
        <v>Корякін Л.М.</v>
      </c>
      <c r="C137" s="12" t="s">
        <v>409</v>
      </c>
      <c r="D137" s="14" t="n">
        <f aca="false">липень!P137</f>
        <v>2536.65</v>
      </c>
      <c r="E137" s="14" t="n">
        <f aca="false">липень!Q137</f>
        <v>0</v>
      </c>
      <c r="F137" s="13" t="n">
        <f aca="false">липень!F137</f>
        <v>0</v>
      </c>
      <c r="G137" s="13" t="n">
        <f aca="false">липень!G137</f>
        <v>35.3</v>
      </c>
      <c r="H137" s="13" t="n">
        <f aca="false">липень!H137</f>
        <v>0</v>
      </c>
      <c r="I137" s="13" t="n">
        <f aca="false">липень!I137</f>
        <v>4.1</v>
      </c>
      <c r="J137" s="14" t="n">
        <f aca="false">ROUND(G137*I137,2)</f>
        <v>144.73</v>
      </c>
      <c r="K137" s="14"/>
      <c r="L137" s="14"/>
      <c r="M137" s="14"/>
      <c r="N137" s="14" t="n">
        <f aca="false">ROUND((G137*I137)-K137-L137-M137,2)</f>
        <v>144.73</v>
      </c>
      <c r="O137" s="14"/>
      <c r="P137" s="14" t="n">
        <f aca="false">ROUND(IF(D137=0,IF((N137-E137-O137)&gt;0,(N137-E137-O137),0),IF((D137+N137-O137)&gt;0,(D137+N137-O137),0)),2)</f>
        <v>2681.38</v>
      </c>
      <c r="Q137" s="14" t="n">
        <f aca="false">ROUND(IF(E137=0,IF((D137+N137-O137)&lt;0,ABS(D137+N137-O137),0),IF((N137-E137-O137)&lt;0,ABS(N137-E137-O137),0)),2)</f>
        <v>0</v>
      </c>
    </row>
    <row r="138" customFormat="false" ht="15" hidden="false" customHeight="true" outlineLevel="0" collapsed="false">
      <c r="A138" s="12" t="s">
        <v>410</v>
      </c>
      <c r="B138" s="12" t="str">
        <f aca="false">липень!B138</f>
        <v>Кривошеєва Л.М.</v>
      </c>
      <c r="C138" s="12" t="s">
        <v>412</v>
      </c>
      <c r="D138" s="14" t="n">
        <f aca="false">липень!P138</f>
        <v>3928.72</v>
      </c>
      <c r="E138" s="14" t="n">
        <f aca="false">липень!Q138</f>
        <v>0</v>
      </c>
      <c r="F138" s="13" t="n">
        <f aca="false">липень!F138</f>
        <v>0</v>
      </c>
      <c r="G138" s="13" t="n">
        <f aca="false">липень!G138</f>
        <v>49.78</v>
      </c>
      <c r="H138" s="13" t="n">
        <f aca="false">липень!H138</f>
        <v>0</v>
      </c>
      <c r="I138" s="13" t="n">
        <f aca="false">липень!I138</f>
        <v>4.1</v>
      </c>
      <c r="J138" s="14" t="n">
        <f aca="false">ROUND(G138*I138,2)</f>
        <v>204.1</v>
      </c>
      <c r="K138" s="14"/>
      <c r="L138" s="14"/>
      <c r="M138" s="14"/>
      <c r="N138" s="14" t="n">
        <f aca="false">ROUND((G138*I138)-K138-L138-M138,2)</f>
        <v>204.1</v>
      </c>
      <c r="O138" s="14"/>
      <c r="P138" s="14" t="n">
        <f aca="false">ROUND(IF(D138=0,IF((N138-E138-O138)&gt;0,(N138-E138-O138),0),IF((D138+N138-O138)&gt;0,(D138+N138-O138),0)),2)</f>
        <v>4132.82</v>
      </c>
      <c r="Q138" s="14" t="n">
        <f aca="false">ROUND(IF(E138=0,IF((D138+N138-O138)&lt;0,ABS(D138+N138-O138),0),IF((N138-E138-O138)&lt;0,ABS(N138-E138-O138),0)),2)</f>
        <v>0</v>
      </c>
    </row>
    <row r="139" customFormat="false" ht="15" hidden="false" customHeight="true" outlineLevel="0" collapsed="false">
      <c r="A139" s="12" t="s">
        <v>413</v>
      </c>
      <c r="B139" s="12" t="str">
        <f aca="false">липень!B139</f>
        <v>Харченко І.С.</v>
      </c>
      <c r="C139" s="12" t="s">
        <v>415</v>
      </c>
      <c r="D139" s="14" t="n">
        <f aca="false">липень!P139</f>
        <v>1615.1</v>
      </c>
      <c r="E139" s="14" t="n">
        <f aca="false">липень!Q139</f>
        <v>0</v>
      </c>
      <c r="F139" s="13" t="n">
        <f aca="false">липень!F139</f>
        <v>0</v>
      </c>
      <c r="G139" s="13" t="n">
        <f aca="false">липень!G139</f>
        <v>65.93</v>
      </c>
      <c r="H139" s="13" t="n">
        <f aca="false">липень!H139</f>
        <v>0</v>
      </c>
      <c r="I139" s="13" t="n">
        <f aca="false">липень!I139</f>
        <v>4.1</v>
      </c>
      <c r="J139" s="14" t="n">
        <f aca="false">ROUND(G139*I139,2)</f>
        <v>270.31</v>
      </c>
      <c r="K139" s="14"/>
      <c r="L139" s="14"/>
      <c r="M139" s="14"/>
      <c r="N139" s="14" t="n">
        <f aca="false">ROUND((G139*I139)-K139-L139-M139,2)</f>
        <v>270.31</v>
      </c>
      <c r="O139" s="14"/>
      <c r="P139" s="14" t="n">
        <f aca="false">ROUND(IF(D139=0,IF((N139-E139-O139)&gt;0,(N139-E139-O139),0),IF((D139+N139-O139)&gt;0,(D139+N139-O139),0)),2)</f>
        <v>1885.41</v>
      </c>
      <c r="Q139" s="14" t="n">
        <f aca="false">ROUND(IF(E139=0,IF((D139+N139-O139)&lt;0,ABS(D139+N139-O139),0),IF((N139-E139-O139)&lt;0,ABS(N139-E139-O139),0)),2)</f>
        <v>0</v>
      </c>
    </row>
    <row r="140" customFormat="false" ht="15" hidden="false" customHeight="true" outlineLevel="0" collapsed="false">
      <c r="A140" s="12" t="s">
        <v>416</v>
      </c>
      <c r="B140" s="12" t="str">
        <f aca="false">липень!B140</f>
        <v>Куриленко І.О.</v>
      </c>
      <c r="C140" s="12" t="s">
        <v>418</v>
      </c>
      <c r="D140" s="14" t="n">
        <f aca="false">липень!P140</f>
        <v>1534.08</v>
      </c>
      <c r="E140" s="14" t="n">
        <f aca="false">липень!Q140</f>
        <v>0</v>
      </c>
      <c r="F140" s="13" t="n">
        <f aca="false">липень!F140</f>
        <v>0</v>
      </c>
      <c r="G140" s="13" t="n">
        <f aca="false">липень!G140</f>
        <v>62.36</v>
      </c>
      <c r="H140" s="13" t="n">
        <f aca="false">липень!H140</f>
        <v>0</v>
      </c>
      <c r="I140" s="13" t="n">
        <f aca="false">липень!I140</f>
        <v>4.1</v>
      </c>
      <c r="J140" s="14" t="n">
        <f aca="false">ROUND(G140*I140,2)</f>
        <v>255.68</v>
      </c>
      <c r="K140" s="14"/>
      <c r="L140" s="14"/>
      <c r="M140" s="14"/>
      <c r="N140" s="14" t="n">
        <f aca="false">ROUND((G140*I140)-K140-L140-M140,2)</f>
        <v>255.68</v>
      </c>
      <c r="O140" s="14"/>
      <c r="P140" s="14" t="n">
        <f aca="false">ROUND(IF(D140=0,IF((N140-E140-O140)&gt;0,(N140-E140-O140),0),IF((D140+N140-O140)&gt;0,(D140+N140-O140),0)),2)</f>
        <v>1789.76</v>
      </c>
      <c r="Q140" s="14" t="n">
        <f aca="false">ROUND(IF(E140=0,IF((D140+N140-O140)&lt;0,ABS(D140+N140-O140),0),IF((N140-E140-O140)&lt;0,ABS(N140-E140-O140),0)),2)</f>
        <v>0</v>
      </c>
    </row>
    <row r="141" customFormat="false" ht="15" hidden="false" customHeight="true" outlineLevel="0" collapsed="false">
      <c r="A141" s="12" t="s">
        <v>419</v>
      </c>
      <c r="B141" s="12" t="str">
        <f aca="false">липень!B141</f>
        <v>Єлсукова В.М.</v>
      </c>
      <c r="C141" s="12" t="s">
        <v>421</v>
      </c>
      <c r="D141" s="14" t="n">
        <f aca="false">липень!P141</f>
        <v>7915.05</v>
      </c>
      <c r="E141" s="14" t="n">
        <f aca="false">липень!Q141</f>
        <v>0</v>
      </c>
      <c r="F141" s="13" t="n">
        <f aca="false">липень!F141</f>
        <v>0</v>
      </c>
      <c r="G141" s="13" t="n">
        <f aca="false">липень!G141</f>
        <v>35.1</v>
      </c>
      <c r="H141" s="13" t="n">
        <f aca="false">липень!H141</f>
        <v>0</v>
      </c>
      <c r="I141" s="13" t="n">
        <f aca="false">липень!I141</f>
        <v>4.1</v>
      </c>
      <c r="J141" s="14" t="n">
        <f aca="false">ROUND(G141*I141,2)</f>
        <v>143.91</v>
      </c>
      <c r="K141" s="14"/>
      <c r="L141" s="14"/>
      <c r="M141" s="14"/>
      <c r="N141" s="14" t="n">
        <f aca="false">ROUND((G141*I141)-K141-L141-M141,2)</f>
        <v>143.91</v>
      </c>
      <c r="O141" s="14"/>
      <c r="P141" s="14" t="n">
        <f aca="false">ROUND(IF(D141=0,IF((N141-E141-O141)&gt;0,(N141-E141-O141),0),IF((D141+N141-O141)&gt;0,(D141+N141-O141),0)),2)</f>
        <v>8058.96</v>
      </c>
      <c r="Q141" s="14" t="n">
        <f aca="false">ROUND(IF(E141=0,IF((D141+N141-O141)&lt;0,ABS(D141+N141-O141),0),IF((N141-E141-O141)&lt;0,ABS(N141-E141-O141),0)),2)</f>
        <v>0</v>
      </c>
    </row>
    <row r="142" customFormat="false" ht="15" hidden="false" customHeight="true" outlineLevel="0" collapsed="false">
      <c r="A142" s="12" t="s">
        <v>422</v>
      </c>
      <c r="B142" s="12" t="str">
        <f aca="false">липень!B142</f>
        <v>Пімонова М.В.</v>
      </c>
      <c r="C142" s="12" t="s">
        <v>424</v>
      </c>
      <c r="D142" s="14" t="n">
        <f aca="false">липень!P142</f>
        <v>9694.32</v>
      </c>
      <c r="E142" s="14" t="n">
        <f aca="false">липень!Q142</f>
        <v>0</v>
      </c>
      <c r="F142" s="13" t="n">
        <f aca="false">липень!F142</f>
        <v>0</v>
      </c>
      <c r="G142" s="13" t="n">
        <f aca="false">липень!G142</f>
        <v>49.47</v>
      </c>
      <c r="H142" s="13" t="n">
        <f aca="false">липень!H142</f>
        <v>0</v>
      </c>
      <c r="I142" s="13" t="n">
        <f aca="false">липень!I142</f>
        <v>4.1</v>
      </c>
      <c r="J142" s="14" t="n">
        <f aca="false">ROUND(G142*I142,2)</f>
        <v>202.83</v>
      </c>
      <c r="K142" s="14"/>
      <c r="L142" s="14"/>
      <c r="M142" s="14"/>
      <c r="N142" s="14" t="n">
        <f aca="false">ROUND((G142*I142)-K142-L142-M142,2)</f>
        <v>202.83</v>
      </c>
      <c r="O142" s="14"/>
      <c r="P142" s="14" t="n">
        <f aca="false">ROUND(IF(D142=0,IF((N142-E142-O142)&gt;0,(N142-E142-O142),0),IF((D142+N142-O142)&gt;0,(D142+N142-O142),0)),2)</f>
        <v>9897.15</v>
      </c>
      <c r="Q142" s="14" t="n">
        <f aca="false">ROUND(IF(E142=0,IF((D142+N142-O142)&lt;0,ABS(D142+N142-O142),0),IF((N142-E142-O142)&lt;0,ABS(N142-E142-O142),0)),2)</f>
        <v>0</v>
      </c>
    </row>
    <row r="143" customFormat="false" ht="15" hidden="false" customHeight="true" outlineLevel="0" collapsed="false">
      <c r="A143" s="12" t="s">
        <v>425</v>
      </c>
      <c r="B143" s="12" t="str">
        <f aca="false">липень!B143</f>
        <v>Осипенко В.В.</v>
      </c>
      <c r="C143" s="12" t="s">
        <v>427</v>
      </c>
      <c r="D143" s="14" t="n">
        <f aca="false">липень!P143</f>
        <v>12649.18</v>
      </c>
      <c r="E143" s="14" t="n">
        <f aca="false">липень!Q143</f>
        <v>0</v>
      </c>
      <c r="F143" s="13" t="n">
        <f aca="false">липень!F143</f>
        <v>0</v>
      </c>
      <c r="G143" s="13" t="n">
        <f aca="false">липень!G143</f>
        <v>65.65</v>
      </c>
      <c r="H143" s="13" t="n">
        <f aca="false">липень!H143</f>
        <v>0</v>
      </c>
      <c r="I143" s="13" t="n">
        <f aca="false">липень!I143</f>
        <v>4.1</v>
      </c>
      <c r="J143" s="14" t="n">
        <f aca="false">ROUND(G143*I143,2)</f>
        <v>269.17</v>
      </c>
      <c r="K143" s="14"/>
      <c r="L143" s="14"/>
      <c r="M143" s="14"/>
      <c r="N143" s="14" t="n">
        <f aca="false">ROUND((G143*I143)-K143-L143-M143,2)</f>
        <v>269.17</v>
      </c>
      <c r="O143" s="14"/>
      <c r="P143" s="14" t="n">
        <f aca="false">ROUND(IF(D143=0,IF((N143-E143-O143)&gt;0,(N143-E143-O143),0),IF((D143+N143-O143)&gt;0,(D143+N143-O143),0)),2)</f>
        <v>12918.35</v>
      </c>
      <c r="Q143" s="14" t="n">
        <f aca="false">ROUND(IF(E143=0,IF((D143+N143-O143)&lt;0,ABS(D143+N143-O143),0),IF((N143-E143-O143)&lt;0,ABS(N143-E143-O143),0)),2)</f>
        <v>0</v>
      </c>
    </row>
    <row r="144" customFormat="false" ht="15" hidden="false" customHeight="true" outlineLevel="0" collapsed="false">
      <c r="A144" s="12" t="s">
        <v>428</v>
      </c>
      <c r="B144" s="12" t="str">
        <f aca="false">липень!B144</f>
        <v>Друзь О.О.</v>
      </c>
      <c r="C144" s="12" t="s">
        <v>430</v>
      </c>
      <c r="D144" s="14" t="n">
        <f aca="false">липень!P144</f>
        <v>12729.82</v>
      </c>
      <c r="E144" s="14" t="n">
        <f aca="false">липень!Q144</f>
        <v>0</v>
      </c>
      <c r="F144" s="13" t="n">
        <f aca="false">липень!F144</f>
        <v>0</v>
      </c>
      <c r="G144" s="13" t="n">
        <f aca="false">липень!G144</f>
        <v>62.1</v>
      </c>
      <c r="H144" s="13" t="n">
        <f aca="false">липень!H144</f>
        <v>0</v>
      </c>
      <c r="I144" s="13" t="n">
        <f aca="false">липень!I144</f>
        <v>4.1</v>
      </c>
      <c r="J144" s="14" t="n">
        <f aca="false">ROUND(G144*I144,2)</f>
        <v>254.61</v>
      </c>
      <c r="K144" s="14"/>
      <c r="L144" s="14"/>
      <c r="M144" s="14"/>
      <c r="N144" s="14" t="n">
        <f aca="false">ROUND((G144*I144)-K144-L144-M144,2)</f>
        <v>254.61</v>
      </c>
      <c r="O144" s="14"/>
      <c r="P144" s="14" t="n">
        <f aca="false">ROUND(IF(D144=0,IF((N144-E144-O144)&gt;0,(N144-E144-O144),0),IF((D144+N144-O144)&gt;0,(D144+N144-O144),0)),2)</f>
        <v>12984.43</v>
      </c>
      <c r="Q144" s="14" t="n">
        <f aca="false">ROUND(IF(E144=0,IF((D144+N144-O144)&lt;0,ABS(D144+N144-O144),0),IF((N144-E144-O144)&lt;0,ABS(N144-E144-O144),0)),2)</f>
        <v>0</v>
      </c>
    </row>
    <row r="145" customFormat="false" ht="15" hidden="false" customHeight="true" outlineLevel="0" collapsed="false">
      <c r="A145" s="12" t="s">
        <v>431</v>
      </c>
      <c r="B145" s="12" t="str">
        <f aca="false">липень!B145</f>
        <v>Вовченко Р.І.</v>
      </c>
      <c r="C145" s="12" t="s">
        <v>433</v>
      </c>
      <c r="D145" s="14" t="n">
        <f aca="false">липень!P145</f>
        <v>4548.96</v>
      </c>
      <c r="E145" s="14" t="n">
        <f aca="false">липень!Q145</f>
        <v>0</v>
      </c>
      <c r="F145" s="13" t="n">
        <f aca="false">липень!F145</f>
        <v>0</v>
      </c>
      <c r="G145" s="13" t="n">
        <f aca="false">липень!G145</f>
        <v>35.2</v>
      </c>
      <c r="H145" s="13" t="n">
        <f aca="false">липень!H145</f>
        <v>0</v>
      </c>
      <c r="I145" s="13" t="n">
        <f aca="false">липень!I145</f>
        <v>4.1</v>
      </c>
      <c r="J145" s="14" t="n">
        <f aca="false">ROUND(G145*I145,2)</f>
        <v>144.32</v>
      </c>
      <c r="K145" s="14"/>
      <c r="L145" s="14"/>
      <c r="M145" s="14"/>
      <c r="N145" s="14" t="n">
        <f aca="false">ROUND((G145*I145)-K145-L145-M145,2)</f>
        <v>144.32</v>
      </c>
      <c r="O145" s="14"/>
      <c r="P145" s="14" t="n">
        <f aca="false">ROUND(IF(D145=0,IF((N145-E145-O145)&gt;0,(N145-E145-O145),0),IF((D145+N145-O145)&gt;0,(D145+N145-O145),0)),2)</f>
        <v>4693.28</v>
      </c>
      <c r="Q145" s="14" t="n">
        <f aca="false">ROUND(IF(E145=0,IF((D145+N145-O145)&lt;0,ABS(D145+N145-O145),0),IF((N145-E145-O145)&lt;0,ABS(N145-E145-O145),0)),2)</f>
        <v>0</v>
      </c>
    </row>
    <row r="146" customFormat="false" ht="15" hidden="false" customHeight="true" outlineLevel="0" collapsed="false">
      <c r="A146" s="12" t="s">
        <v>434</v>
      </c>
      <c r="B146" s="12" t="str">
        <f aca="false">липень!B146</f>
        <v>Плакун Д.В.</v>
      </c>
      <c r="C146" s="12" t="s">
        <v>436</v>
      </c>
      <c r="D146" s="14" t="n">
        <f aca="false">липень!P146</f>
        <v>1841.31</v>
      </c>
      <c r="E146" s="14" t="n">
        <f aca="false">липень!Q146</f>
        <v>0</v>
      </c>
      <c r="F146" s="13" t="n">
        <f aca="false">липень!F146</f>
        <v>0</v>
      </c>
      <c r="G146" s="13" t="n">
        <f aca="false">липень!G146</f>
        <v>49.9</v>
      </c>
      <c r="H146" s="13" t="n">
        <f aca="false">липень!H146</f>
        <v>0</v>
      </c>
      <c r="I146" s="13" t="n">
        <f aca="false">липень!I146</f>
        <v>4.1</v>
      </c>
      <c r="J146" s="14" t="n">
        <f aca="false">ROUND(G146*I146,2)</f>
        <v>204.59</v>
      </c>
      <c r="K146" s="14"/>
      <c r="L146" s="14"/>
      <c r="M146" s="14"/>
      <c r="N146" s="14" t="n">
        <f aca="false">ROUND((G146*I146)-K146-L146-M146,2)</f>
        <v>204.59</v>
      </c>
      <c r="O146" s="14"/>
      <c r="P146" s="14" t="n">
        <f aca="false">ROUND(IF(D146=0,IF((N146-E146-O146)&gt;0,(N146-E146-O146),0),IF((D146+N146-O146)&gt;0,(D146+N146-O146),0)),2)</f>
        <v>2045.9</v>
      </c>
      <c r="Q146" s="14" t="n">
        <f aca="false">ROUND(IF(E146=0,IF((D146+N146-O146)&lt;0,ABS(D146+N146-O146),0),IF((N146-E146-O146)&lt;0,ABS(N146-E146-O146),0)),2)</f>
        <v>0</v>
      </c>
    </row>
    <row r="147" customFormat="false" ht="15" hidden="false" customHeight="true" outlineLevel="0" collapsed="false">
      <c r="A147" s="12" t="s">
        <v>437</v>
      </c>
      <c r="B147" s="12" t="str">
        <f aca="false">липень!B147</f>
        <v>Гаврилова Ю.О.</v>
      </c>
      <c r="C147" s="12" t="s">
        <v>439</v>
      </c>
      <c r="D147" s="14" t="n">
        <f aca="false">липень!P147</f>
        <v>6524.2</v>
      </c>
      <c r="E147" s="14" t="n">
        <f aca="false">липень!Q147</f>
        <v>0</v>
      </c>
      <c r="F147" s="13" t="n">
        <f aca="false">липень!F147</f>
        <v>0</v>
      </c>
      <c r="G147" s="13" t="n">
        <f aca="false">липень!G147</f>
        <v>65.8</v>
      </c>
      <c r="H147" s="13" t="n">
        <f aca="false">липень!H147</f>
        <v>0</v>
      </c>
      <c r="I147" s="13" t="n">
        <f aca="false">липень!I147</f>
        <v>4.1</v>
      </c>
      <c r="J147" s="14" t="n">
        <f aca="false">ROUND(G147*I147,2)</f>
        <v>269.78</v>
      </c>
      <c r="K147" s="14"/>
      <c r="L147" s="14"/>
      <c r="M147" s="14"/>
      <c r="N147" s="14" t="n">
        <f aca="false">ROUND((G147*I147)-K147-L147-M147,2)</f>
        <v>269.78</v>
      </c>
      <c r="O147" s="14"/>
      <c r="P147" s="14" t="n">
        <f aca="false">ROUND(IF(D147=0,IF((N147-E147-O147)&gt;0,(N147-E147-O147),0),IF((D147+N147-O147)&gt;0,(D147+N147-O147),0)),2)</f>
        <v>6793.98</v>
      </c>
      <c r="Q147" s="14" t="n">
        <f aca="false">ROUND(IF(E147=0,IF((D147+N147-O147)&lt;0,ABS(D147+N147-O147),0),IF((N147-E147-O147)&lt;0,ABS(N147-E147-O147),0)),2)</f>
        <v>0</v>
      </c>
    </row>
    <row r="148" customFormat="false" ht="15" hidden="false" customHeight="true" outlineLevel="0" collapsed="false">
      <c r="A148" s="12" t="s">
        <v>440</v>
      </c>
      <c r="B148" s="12" t="str">
        <f aca="false">липень!B148</f>
        <v>Корзун Г.М.</v>
      </c>
      <c r="C148" s="12" t="s">
        <v>442</v>
      </c>
      <c r="D148" s="14" t="n">
        <f aca="false">липень!P148</f>
        <v>3070.68</v>
      </c>
      <c r="E148" s="14" t="n">
        <f aca="false">липень!Q148</f>
        <v>0</v>
      </c>
      <c r="F148" s="13" t="n">
        <f aca="false">липень!F148</f>
        <v>0</v>
      </c>
      <c r="G148" s="13" t="n">
        <f aca="false">липень!G148</f>
        <v>63.2</v>
      </c>
      <c r="H148" s="13" t="n">
        <f aca="false">липень!H148</f>
        <v>0</v>
      </c>
      <c r="I148" s="13" t="n">
        <f aca="false">липень!I148</f>
        <v>4.1</v>
      </c>
      <c r="J148" s="14" t="n">
        <f aca="false">ROUND(G148*I148,2)</f>
        <v>259.12</v>
      </c>
      <c r="K148" s="14"/>
      <c r="L148" s="14"/>
      <c r="M148" s="14"/>
      <c r="N148" s="14" t="n">
        <f aca="false">ROUND((G148*I148)-K148-L148-M148,2)</f>
        <v>259.12</v>
      </c>
      <c r="O148" s="14"/>
      <c r="P148" s="14" t="n">
        <f aca="false">ROUND(IF(D148=0,IF((N148-E148-O148)&gt;0,(N148-E148-O148),0),IF((D148+N148-O148)&gt;0,(D148+N148-O148),0)),2)</f>
        <v>3329.8</v>
      </c>
      <c r="Q148" s="14" t="n">
        <f aca="false">ROUND(IF(E148=0,IF((D148+N148-O148)&lt;0,ABS(D148+N148-O148),0),IF((N148-E148-O148)&lt;0,ABS(N148-E148-O148),0)),2)</f>
        <v>0</v>
      </c>
    </row>
    <row r="149" customFormat="false" ht="15" hidden="false" customHeight="true" outlineLevel="0" collapsed="false">
      <c r="A149" s="12" t="s">
        <v>443</v>
      </c>
      <c r="B149" s="12" t="str">
        <f aca="false">липень!B149</f>
        <v>Бондаренко Л.Л.</v>
      </c>
      <c r="C149" s="12" t="s">
        <v>445</v>
      </c>
      <c r="D149" s="14" t="n">
        <f aca="false">липень!P149</f>
        <v>5007.62</v>
      </c>
      <c r="E149" s="14" t="n">
        <f aca="false">липень!Q149</f>
        <v>0</v>
      </c>
      <c r="F149" s="13" t="n">
        <f aca="false">липень!F149</f>
        <v>0</v>
      </c>
      <c r="G149" s="13" t="n">
        <f aca="false">липень!G149</f>
        <v>34.9</v>
      </c>
      <c r="H149" s="13" t="n">
        <f aca="false">липень!H149</f>
        <v>0</v>
      </c>
      <c r="I149" s="13" t="n">
        <f aca="false">липень!I149</f>
        <v>4.1</v>
      </c>
      <c r="J149" s="14" t="n">
        <f aca="false">ROUND(G149*I149,2)</f>
        <v>143.09</v>
      </c>
      <c r="K149" s="14"/>
      <c r="L149" s="14"/>
      <c r="M149" s="14"/>
      <c r="N149" s="14" t="n">
        <f aca="false">ROUND((G149*I149)-K149-L149-M149,2)</f>
        <v>143.09</v>
      </c>
      <c r="O149" s="14"/>
      <c r="P149" s="14" t="n">
        <f aca="false">ROUND(IF(D149=0,IF((N149-E149-O149)&gt;0,(N149-E149-O149),0),IF((D149+N149-O149)&gt;0,(D149+N149-O149),0)),2)</f>
        <v>5150.71</v>
      </c>
      <c r="Q149" s="14" t="n">
        <f aca="false">ROUND(IF(E149=0,IF((D149+N149-O149)&lt;0,ABS(D149+N149-O149),0),IF((N149-E149-O149)&lt;0,ABS(N149-E149-O149),0)),2)</f>
        <v>0</v>
      </c>
    </row>
    <row r="150" customFormat="false" ht="15" hidden="false" customHeight="true" outlineLevel="0" collapsed="false">
      <c r="A150" s="12" t="s">
        <v>446</v>
      </c>
      <c r="B150" s="12" t="str">
        <f aca="false">липень!B150</f>
        <v>Капелюш Н.А.</v>
      </c>
      <c r="C150" s="12" t="s">
        <v>448</v>
      </c>
      <c r="D150" s="14" t="n">
        <f aca="false">липень!P150</f>
        <v>10951.92</v>
      </c>
      <c r="E150" s="14" t="n">
        <f aca="false">липень!Q150</f>
        <v>0</v>
      </c>
      <c r="F150" s="13" t="n">
        <f aca="false">липень!F150</f>
        <v>0</v>
      </c>
      <c r="G150" s="13" t="n">
        <f aca="false">липень!G150</f>
        <v>50.4</v>
      </c>
      <c r="H150" s="13" t="n">
        <f aca="false">липень!H150</f>
        <v>0</v>
      </c>
      <c r="I150" s="13" t="n">
        <f aca="false">липень!I150</f>
        <v>4.1</v>
      </c>
      <c r="J150" s="14" t="n">
        <f aca="false">ROUND(G150*I150,2)</f>
        <v>206.64</v>
      </c>
      <c r="K150" s="14"/>
      <c r="L150" s="14"/>
      <c r="M150" s="14"/>
      <c r="N150" s="14" t="n">
        <f aca="false">ROUND((G150*I150)-K150-L150-M150,2)</f>
        <v>206.64</v>
      </c>
      <c r="O150" s="14"/>
      <c r="P150" s="14" t="n">
        <f aca="false">ROUND(IF(D150=0,IF((N150-E150-O150)&gt;0,(N150-E150-O150),0),IF((D150+N150-O150)&gt;0,(D150+N150-O150),0)),2)</f>
        <v>11158.56</v>
      </c>
      <c r="Q150" s="14" t="n">
        <f aca="false">ROUND(IF(E150=0,IF((D150+N150-O150)&lt;0,ABS(D150+N150-O150),0),IF((N150-E150-O150)&lt;0,ABS(N150-E150-O150),0)),2)</f>
        <v>0</v>
      </c>
    </row>
    <row r="151" customFormat="false" ht="15" hidden="false" customHeight="true" outlineLevel="0" collapsed="false">
      <c r="A151" s="12" t="s">
        <v>449</v>
      </c>
      <c r="B151" s="12" t="str">
        <f aca="false">липень!B151</f>
        <v>Кістрінь Л.П.</v>
      </c>
      <c r="C151" s="12" t="s">
        <v>451</v>
      </c>
      <c r="D151" s="14" t="n">
        <f aca="false">липень!P151</f>
        <v>14490.01</v>
      </c>
      <c r="E151" s="14" t="n">
        <f aca="false">липень!Q151</f>
        <v>0</v>
      </c>
      <c r="F151" s="13" t="n">
        <f aca="false">липень!F151</f>
        <v>0</v>
      </c>
      <c r="G151" s="13" t="n">
        <f aca="false">липень!G151</f>
        <v>65.2</v>
      </c>
      <c r="H151" s="13" t="n">
        <f aca="false">липень!H151</f>
        <v>0</v>
      </c>
      <c r="I151" s="13" t="n">
        <f aca="false">липень!I151</f>
        <v>4.1</v>
      </c>
      <c r="J151" s="14" t="n">
        <f aca="false">ROUND(G151*I151,2)</f>
        <v>267.32</v>
      </c>
      <c r="K151" s="14"/>
      <c r="L151" s="14"/>
      <c r="M151" s="14"/>
      <c r="N151" s="14" t="n">
        <f aca="false">ROUND((G151*I151)-K151-L151-M151,2)</f>
        <v>267.32</v>
      </c>
      <c r="O151" s="14"/>
      <c r="P151" s="14" t="n">
        <f aca="false">ROUND(IF(D151=0,IF((N151-E151-O151)&gt;0,(N151-E151-O151),0),IF((D151+N151-O151)&gt;0,(D151+N151-O151),0)),2)</f>
        <v>14757.33</v>
      </c>
      <c r="Q151" s="14" t="n">
        <f aca="false">ROUND(IF(E151=0,IF((D151+N151-O151)&lt;0,ABS(D151+N151-O151),0),IF((N151-E151-O151)&lt;0,ABS(N151-E151-O151),0)),2)</f>
        <v>0</v>
      </c>
    </row>
    <row r="152" customFormat="false" ht="15" hidden="false" customHeight="true" outlineLevel="0" collapsed="false">
      <c r="A152" s="12" t="s">
        <v>452</v>
      </c>
      <c r="B152" s="12" t="str">
        <f aca="false">липень!B152</f>
        <v>Козьміна І.В.</v>
      </c>
      <c r="C152" s="12" t="s">
        <v>454</v>
      </c>
      <c r="D152" s="14" t="n">
        <f aca="false">липень!P152</f>
        <v>3706.36</v>
      </c>
      <c r="E152" s="14" t="n">
        <f aca="false">липень!Q152</f>
        <v>0</v>
      </c>
      <c r="F152" s="13" t="n">
        <f aca="false">липень!F152</f>
        <v>0</v>
      </c>
      <c r="G152" s="13" t="n">
        <f aca="false">липень!G152</f>
        <v>64.57</v>
      </c>
      <c r="H152" s="13" t="n">
        <f aca="false">липень!H152</f>
        <v>0</v>
      </c>
      <c r="I152" s="13" t="n">
        <f aca="false">липень!I152</f>
        <v>4.1</v>
      </c>
      <c r="J152" s="14" t="n">
        <f aca="false">ROUND(G152*I152,2)</f>
        <v>264.74</v>
      </c>
      <c r="K152" s="14"/>
      <c r="L152" s="14"/>
      <c r="M152" s="14"/>
      <c r="N152" s="14" t="n">
        <f aca="false">ROUND((G152*I152)-K152-L152-M152,2)</f>
        <v>264.74</v>
      </c>
      <c r="O152" s="14"/>
      <c r="P152" s="14" t="n">
        <f aca="false">ROUND(IF(D152=0,IF((N152-E152-O152)&gt;0,(N152-E152-O152),0),IF((D152+N152-O152)&gt;0,(D152+N152-O152),0)),2)</f>
        <v>3971.1</v>
      </c>
      <c r="Q152" s="14" t="n">
        <f aca="false">ROUND(IF(E152=0,IF((D152+N152-O152)&lt;0,ABS(D152+N152-O152),0),IF((N152-E152-O152)&lt;0,ABS(N152-E152-O152),0)),2)</f>
        <v>0</v>
      </c>
    </row>
    <row r="153" customFormat="false" ht="15" hidden="false" customHeight="true" outlineLevel="0" collapsed="false">
      <c r="A153" s="12" t="s">
        <v>455</v>
      </c>
      <c r="B153" s="12" t="str">
        <f aca="false">липень!B153</f>
        <v>Чала С.С.</v>
      </c>
      <c r="C153" s="12" t="s">
        <v>457</v>
      </c>
      <c r="D153" s="14" t="n">
        <f aca="false">липень!P153</f>
        <v>12437.9</v>
      </c>
      <c r="E153" s="14" t="n">
        <f aca="false">липень!Q153</f>
        <v>0</v>
      </c>
      <c r="F153" s="13" t="n">
        <f aca="false">липень!F153</f>
        <v>0</v>
      </c>
      <c r="G153" s="13" t="n">
        <f aca="false">липень!G153</f>
        <v>48.7</v>
      </c>
      <c r="H153" s="13" t="n">
        <f aca="false">липень!H153</f>
        <v>0</v>
      </c>
      <c r="I153" s="13" t="n">
        <f aca="false">липень!I153</f>
        <v>4.1</v>
      </c>
      <c r="J153" s="14" t="n">
        <f aca="false">ROUND(G153*I153,2)</f>
        <v>199.67</v>
      </c>
      <c r="K153" s="14"/>
      <c r="L153" s="14"/>
      <c r="M153" s="14"/>
      <c r="N153" s="14" t="n">
        <f aca="false">ROUND((G153*I153)-K153-L153-M153,2)</f>
        <v>199.67</v>
      </c>
      <c r="O153" s="14"/>
      <c r="P153" s="14" t="n">
        <f aca="false">ROUND(IF(D153=0,IF((N153-E153-O153)&gt;0,(N153-E153-O153),0),IF((D153+N153-O153)&gt;0,(D153+N153-O153),0)),2)</f>
        <v>12637.57</v>
      </c>
      <c r="Q153" s="14" t="n">
        <f aca="false">ROUND(IF(E153=0,IF((D153+N153-O153)&lt;0,ABS(D153+N153-O153),0),IF((N153-E153-O153)&lt;0,ABS(N153-E153-O153),0)),2)</f>
        <v>0</v>
      </c>
    </row>
    <row r="154" customFormat="false" ht="15" hidden="false" customHeight="true" outlineLevel="0" collapsed="false">
      <c r="A154" s="12" t="s">
        <v>458</v>
      </c>
      <c r="B154" s="12" t="str">
        <f aca="false">липень!B154</f>
        <v>Свєтайлова І.М.</v>
      </c>
      <c r="C154" s="12" t="s">
        <v>460</v>
      </c>
      <c r="D154" s="14" t="n">
        <f aca="false">липень!P154</f>
        <v>1956.14</v>
      </c>
      <c r="E154" s="14" t="n">
        <f aca="false">липень!Q154</f>
        <v>0</v>
      </c>
      <c r="F154" s="13" t="n">
        <f aca="false">липень!F154</f>
        <v>0</v>
      </c>
      <c r="G154" s="13" t="n">
        <f aca="false">липень!G154</f>
        <v>35.1</v>
      </c>
      <c r="H154" s="13" t="n">
        <f aca="false">липень!H154</f>
        <v>0</v>
      </c>
      <c r="I154" s="13" t="n">
        <f aca="false">липень!I154</f>
        <v>4.1</v>
      </c>
      <c r="J154" s="14" t="n">
        <f aca="false">ROUND(G154*I154,2)</f>
        <v>143.91</v>
      </c>
      <c r="K154" s="14"/>
      <c r="L154" s="14"/>
      <c r="M154" s="14"/>
      <c r="N154" s="14" t="n">
        <f aca="false">ROUND((G154*I154)-K154-L154-M154,2)</f>
        <v>143.91</v>
      </c>
      <c r="O154" s="14"/>
      <c r="P154" s="14" t="n">
        <f aca="false">ROUND(IF(D154=0,IF((N154-E154-O154)&gt;0,(N154-E154-O154),0),IF((D154+N154-O154)&gt;0,(D154+N154-O154),0)),2)</f>
        <v>2100.05</v>
      </c>
      <c r="Q154" s="14" t="n">
        <f aca="false">ROUND(IF(E154=0,IF((D154+N154-O154)&lt;0,ABS(D154+N154-O154),0),IF((N154-E154-O154)&lt;0,ABS(N154-E154-O154),0)),2)</f>
        <v>0</v>
      </c>
    </row>
    <row r="155" customFormat="false" ht="15" hidden="false" customHeight="true" outlineLevel="0" collapsed="false">
      <c r="A155" s="12" t="s">
        <v>461</v>
      </c>
      <c r="B155" s="12" t="str">
        <f aca="false">липень!B155</f>
        <v>Неделько Д.І.</v>
      </c>
      <c r="C155" s="12" t="s">
        <v>463</v>
      </c>
      <c r="D155" s="14" t="n">
        <f aca="false">липень!P155</f>
        <v>8126.68</v>
      </c>
      <c r="E155" s="14" t="n">
        <f aca="false">липень!Q155</f>
        <v>0</v>
      </c>
      <c r="F155" s="13" t="n">
        <f aca="false">липень!F155</f>
        <v>0</v>
      </c>
      <c r="G155" s="13" t="n">
        <f aca="false">липень!G155</f>
        <v>53.57</v>
      </c>
      <c r="H155" s="13" t="n">
        <f aca="false">липень!H155</f>
        <v>0</v>
      </c>
      <c r="I155" s="13" t="n">
        <f aca="false">липень!I155</f>
        <v>4.1</v>
      </c>
      <c r="J155" s="14" t="n">
        <f aca="false">ROUND(G155*I155,2)</f>
        <v>219.64</v>
      </c>
      <c r="K155" s="14"/>
      <c r="L155" s="14"/>
      <c r="M155" s="14"/>
      <c r="N155" s="14" t="n">
        <f aca="false">ROUND((G155*I155)-K155-L155-M155,2)</f>
        <v>219.64</v>
      </c>
      <c r="O155" s="14"/>
      <c r="P155" s="14" t="n">
        <f aca="false">ROUND(IF(D155=0,IF((N155-E155-O155)&gt;0,(N155-E155-O155),0),IF((D155+N155-O155)&gt;0,(D155+N155-O155),0)),2)</f>
        <v>8346.32</v>
      </c>
      <c r="Q155" s="14" t="n">
        <f aca="false">ROUND(IF(E155=0,IF((D155+N155-O155)&lt;0,ABS(D155+N155-O155),0),IF((N155-E155-O155)&lt;0,ABS(N155-E155-O155),0)),2)</f>
        <v>0</v>
      </c>
    </row>
    <row r="156" customFormat="false" ht="15" hidden="false" customHeight="true" outlineLevel="0" collapsed="false">
      <c r="A156" s="12" t="s">
        <v>464</v>
      </c>
      <c r="B156" s="12" t="str">
        <f aca="false">липень!B156</f>
        <v>Самойленко Л.К.</v>
      </c>
      <c r="C156" s="12" t="s">
        <v>466</v>
      </c>
      <c r="D156" s="14" t="n">
        <f aca="false">липень!P156</f>
        <v>0</v>
      </c>
      <c r="E156" s="14" t="n">
        <f aca="false">липень!Q156</f>
        <v>472.79</v>
      </c>
      <c r="F156" s="13" t="n">
        <f aca="false">липень!F156</f>
        <v>0</v>
      </c>
      <c r="G156" s="13" t="n">
        <f aca="false">липень!G156</f>
        <v>65.7</v>
      </c>
      <c r="H156" s="13" t="n">
        <f aca="false">липень!H156</f>
        <v>0</v>
      </c>
      <c r="I156" s="13" t="n">
        <f aca="false">липень!I156</f>
        <v>4.1</v>
      </c>
      <c r="J156" s="14" t="n">
        <f aca="false">ROUND(G156*I156,2)</f>
        <v>269.37</v>
      </c>
      <c r="K156" s="14"/>
      <c r="L156" s="14"/>
      <c r="M156" s="14"/>
      <c r="N156" s="14" t="n">
        <f aca="false">ROUND((G156*I156)-K156-L156-M156,2)</f>
        <v>269.37</v>
      </c>
      <c r="O156" s="14"/>
      <c r="P156" s="14" t="n">
        <f aca="false">ROUND(IF(D156=0,IF((N156-E156-O156)&gt;0,(N156-E156-O156),0),IF((D156+N156-O156)&gt;0,(D156+N156-O156),0)),2)</f>
        <v>0</v>
      </c>
      <c r="Q156" s="14" t="n">
        <f aca="false">ROUND(IF(E156=0,IF((D156+N156-O156)&lt;0,ABS(D156+N156-O156),0),IF((N156-E156-O156)&lt;0,ABS(N156-E156-O156),0)),2)</f>
        <v>203.42</v>
      </c>
    </row>
    <row r="157" customFormat="false" ht="15" hidden="false" customHeight="true" outlineLevel="0" collapsed="false">
      <c r="A157" s="12" t="s">
        <v>467</v>
      </c>
      <c r="B157" s="12" t="str">
        <f aca="false">липень!B157</f>
        <v>Павлов Ю.В.</v>
      </c>
      <c r="C157" s="12" t="s">
        <v>469</v>
      </c>
      <c r="D157" s="14" t="n">
        <f aca="false">липень!P157</f>
        <v>3854.08</v>
      </c>
      <c r="E157" s="14" t="n">
        <f aca="false">липень!Q157</f>
        <v>0</v>
      </c>
      <c r="F157" s="13" t="n">
        <f aca="false">липень!F157</f>
        <v>0</v>
      </c>
      <c r="G157" s="13" t="n">
        <f aca="false">липень!G157</f>
        <v>49.78</v>
      </c>
      <c r="H157" s="13" t="n">
        <f aca="false">липень!H157</f>
        <v>0</v>
      </c>
      <c r="I157" s="13" t="n">
        <f aca="false">липень!I157</f>
        <v>4.1</v>
      </c>
      <c r="J157" s="14" t="n">
        <f aca="false">ROUND(G157*I157,2)</f>
        <v>204.1</v>
      </c>
      <c r="K157" s="14"/>
      <c r="L157" s="14"/>
      <c r="M157" s="14"/>
      <c r="N157" s="14" t="n">
        <f aca="false">ROUND((G157*I157)-K157-L157-M157,2)</f>
        <v>204.1</v>
      </c>
      <c r="O157" s="14"/>
      <c r="P157" s="14" t="n">
        <f aca="false">ROUND(IF(D157=0,IF((N157-E157-O157)&gt;0,(N157-E157-O157),0),IF((D157+N157-O157)&gt;0,(D157+N157-O157),0)),2)</f>
        <v>4058.18</v>
      </c>
      <c r="Q157" s="14" t="n">
        <f aca="false">ROUND(IF(E157=0,IF((D157+N157-O157)&lt;0,ABS(D157+N157-O157),0),IF((N157-E157-O157)&lt;0,ABS(N157-E157-O157),0)),2)</f>
        <v>0</v>
      </c>
    </row>
    <row r="158" customFormat="false" ht="15" hidden="false" customHeight="true" outlineLevel="0" collapsed="false">
      <c r="A158" s="12" t="s">
        <v>470</v>
      </c>
      <c r="B158" s="12" t="str">
        <f aca="false">липень!B158</f>
        <v>Коваленко Т.М.</v>
      </c>
      <c r="C158" s="12" t="s">
        <v>472</v>
      </c>
      <c r="D158" s="14" t="n">
        <f aca="false">липень!P158</f>
        <v>1291.5</v>
      </c>
      <c r="E158" s="14" t="n">
        <f aca="false">липень!Q158</f>
        <v>0</v>
      </c>
      <c r="F158" s="13" t="n">
        <f aca="false">липень!F158</f>
        <v>0</v>
      </c>
      <c r="G158" s="13" t="n">
        <f aca="false">липень!G158</f>
        <v>35</v>
      </c>
      <c r="H158" s="13" t="n">
        <f aca="false">липень!H158</f>
        <v>0</v>
      </c>
      <c r="I158" s="13" t="n">
        <f aca="false">липень!I158</f>
        <v>4.1</v>
      </c>
      <c r="J158" s="14" t="n">
        <f aca="false">ROUND(G158*I158,2)</f>
        <v>143.5</v>
      </c>
      <c r="K158" s="14"/>
      <c r="L158" s="14"/>
      <c r="M158" s="14"/>
      <c r="N158" s="14" t="n">
        <f aca="false">ROUND((G158*I158)-K158-L158-M158,2)</f>
        <v>143.5</v>
      </c>
      <c r="O158" s="14"/>
      <c r="P158" s="14" t="n">
        <f aca="false">ROUND(IF(D158=0,IF((N158-E158-O158)&gt;0,(N158-E158-O158),0),IF((D158+N158-O158)&gt;0,(D158+N158-O158),0)),2)</f>
        <v>1435</v>
      </c>
      <c r="Q158" s="14" t="n">
        <f aca="false">ROUND(IF(E158=0,IF((D158+N158-O158)&lt;0,ABS(D158+N158-O158),0),IF((N158-E158-O158)&lt;0,ABS(N158-E158-O158),0)),2)</f>
        <v>0</v>
      </c>
    </row>
    <row r="159" customFormat="false" ht="15" hidden="false" customHeight="true" outlineLevel="0" collapsed="false">
      <c r="A159" s="12" t="s">
        <v>473</v>
      </c>
      <c r="B159" s="12" t="str">
        <f aca="false">липень!B159</f>
        <v>Рощенко Л.Б.</v>
      </c>
      <c r="C159" s="12" t="s">
        <v>475</v>
      </c>
      <c r="D159" s="14" t="n">
        <f aca="false">липень!P159</f>
        <v>11676.68</v>
      </c>
      <c r="E159" s="14" t="n">
        <f aca="false">липень!Q159</f>
        <v>0</v>
      </c>
      <c r="F159" s="13" t="n">
        <f aca="false">липень!F159</f>
        <v>0</v>
      </c>
      <c r="G159" s="13" t="n">
        <f aca="false">липень!G159</f>
        <v>62.08</v>
      </c>
      <c r="H159" s="13" t="n">
        <f aca="false">липень!H159</f>
        <v>0</v>
      </c>
      <c r="I159" s="13" t="n">
        <f aca="false">липень!I159</f>
        <v>4.1</v>
      </c>
      <c r="J159" s="14" t="n">
        <f aca="false">ROUND(G159*I159,2)</f>
        <v>254.53</v>
      </c>
      <c r="K159" s="14"/>
      <c r="L159" s="14"/>
      <c r="M159" s="14"/>
      <c r="N159" s="14" t="n">
        <f aca="false">ROUND((G159*I159)-K159-L159-M159,2)</f>
        <v>254.53</v>
      </c>
      <c r="O159" s="14"/>
      <c r="P159" s="14" t="n">
        <f aca="false">ROUND(IF(D159=0,IF((N159-E159-O159)&gt;0,(N159-E159-O159),0),IF((D159+N159-O159)&gt;0,(D159+N159-O159),0)),2)</f>
        <v>11931.21</v>
      </c>
      <c r="Q159" s="14" t="n">
        <f aca="false">ROUND(IF(E159=0,IF((D159+N159-O159)&lt;0,ABS(D159+N159-O159),0),IF((N159-E159-O159)&lt;0,ABS(N159-E159-O159),0)),2)</f>
        <v>0</v>
      </c>
    </row>
    <row r="160" customFormat="false" ht="15" hidden="false" customHeight="true" outlineLevel="0" collapsed="false">
      <c r="A160" s="12" t="s">
        <v>476</v>
      </c>
      <c r="B160" s="12" t="str">
        <f aca="false">липень!B160</f>
        <v>Галушко С.Т.</v>
      </c>
      <c r="C160" s="12" t="s">
        <v>478</v>
      </c>
      <c r="D160" s="14" t="n">
        <f aca="false">липень!P160</f>
        <v>1620.18</v>
      </c>
      <c r="E160" s="14" t="n">
        <f aca="false">липень!Q160</f>
        <v>0</v>
      </c>
      <c r="F160" s="13" t="n">
        <f aca="false">липень!F160</f>
        <v>0</v>
      </c>
      <c r="G160" s="13" t="n">
        <f aca="false">липень!G160</f>
        <v>65.86</v>
      </c>
      <c r="H160" s="13" t="n">
        <f aca="false">липень!H160</f>
        <v>0</v>
      </c>
      <c r="I160" s="13" t="n">
        <f aca="false">липень!I160</f>
        <v>4.1</v>
      </c>
      <c r="J160" s="14" t="n">
        <f aca="false">ROUND(G160*I160,2)</f>
        <v>270.03</v>
      </c>
      <c r="K160" s="14"/>
      <c r="L160" s="14"/>
      <c r="M160" s="14"/>
      <c r="N160" s="14" t="n">
        <f aca="false">ROUND((G160*I160)-K160-L160-M160,2)</f>
        <v>270.03</v>
      </c>
      <c r="O160" s="14"/>
      <c r="P160" s="14" t="n">
        <f aca="false">ROUND(IF(D160=0,IF((N160-E160-O160)&gt;0,(N160-E160-O160),0),IF((D160+N160-O160)&gt;0,(D160+N160-O160),0)),2)</f>
        <v>1890.21</v>
      </c>
      <c r="Q160" s="14" t="n">
        <f aca="false">ROUND(IF(E160=0,IF((D160+N160-O160)&lt;0,ABS(D160+N160-O160),0),IF((N160-E160-O160)&lt;0,ABS(N160-E160-O160),0)),2)</f>
        <v>0</v>
      </c>
    </row>
    <row r="161" customFormat="false" ht="15" hidden="false" customHeight="true" outlineLevel="0" collapsed="false">
      <c r="A161" s="12" t="s">
        <v>479</v>
      </c>
      <c r="B161" s="12" t="str">
        <f aca="false">липень!B161</f>
        <v>Наумова Л.Я.</v>
      </c>
      <c r="C161" s="12" t="s">
        <v>481</v>
      </c>
      <c r="D161" s="14" t="n">
        <f aca="false">липень!P161</f>
        <v>1396</v>
      </c>
      <c r="E161" s="14" t="n">
        <f aca="false">липень!Q161</f>
        <v>0</v>
      </c>
      <c r="F161" s="13" t="n">
        <f aca="false">липень!F161</f>
        <v>0</v>
      </c>
      <c r="G161" s="13" t="n">
        <f aca="false">липень!G161</f>
        <v>49.95</v>
      </c>
      <c r="H161" s="13" t="n">
        <f aca="false">липень!H161</f>
        <v>0</v>
      </c>
      <c r="I161" s="13" t="n">
        <f aca="false">липень!I161</f>
        <v>4.1</v>
      </c>
      <c r="J161" s="14" t="n">
        <f aca="false">ROUND(G161*I161,2)</f>
        <v>204.8</v>
      </c>
      <c r="K161" s="14"/>
      <c r="L161" s="14"/>
      <c r="M161" s="14"/>
      <c r="N161" s="14" t="n">
        <f aca="false">ROUND((G161*I161)-K161-L161-M161,2)</f>
        <v>204.8</v>
      </c>
      <c r="O161" s="14"/>
      <c r="P161" s="14" t="n">
        <f aca="false">ROUND(IF(D161=0,IF((N161-E161-O161)&gt;0,(N161-E161-O161),0),IF((D161+N161-O161)&gt;0,(D161+N161-O161),0)),2)</f>
        <v>1600.8</v>
      </c>
      <c r="Q161" s="14" t="n">
        <f aca="false">ROUND(IF(E161=0,IF((D161+N161-O161)&lt;0,ABS(D161+N161-O161),0),IF((N161-E161-O161)&lt;0,ABS(N161-E161-O161),0)),2)</f>
        <v>0</v>
      </c>
    </row>
    <row r="162" customFormat="false" ht="15" hidden="false" customHeight="true" outlineLevel="0" collapsed="false">
      <c r="A162" s="12" t="s">
        <v>482</v>
      </c>
      <c r="B162" s="12" t="str">
        <f aca="false">липень!B162</f>
        <v>Грєк В.С.</v>
      </c>
      <c r="C162" s="12" t="s">
        <v>484</v>
      </c>
      <c r="D162" s="14" t="n">
        <f aca="false">липень!P162</f>
        <v>0</v>
      </c>
      <c r="E162" s="14" t="n">
        <f aca="false">липень!Q162</f>
        <v>427.97</v>
      </c>
      <c r="F162" s="13" t="n">
        <f aca="false">липень!F162</f>
        <v>0</v>
      </c>
      <c r="G162" s="13" t="n">
        <f aca="false">липень!G162</f>
        <v>33.9</v>
      </c>
      <c r="H162" s="13" t="n">
        <f aca="false">липень!H162</f>
        <v>0</v>
      </c>
      <c r="I162" s="13" t="n">
        <f aca="false">липень!I162</f>
        <v>4.1</v>
      </c>
      <c r="J162" s="14" t="n">
        <f aca="false">ROUND(G162*I162,2)</f>
        <v>138.99</v>
      </c>
      <c r="K162" s="14"/>
      <c r="L162" s="14"/>
      <c r="M162" s="14"/>
      <c r="N162" s="14" t="n">
        <f aca="false">ROUND((G162*I162)-K162-L162-M162,2)</f>
        <v>138.99</v>
      </c>
      <c r="O162" s="14"/>
      <c r="P162" s="14" t="n">
        <f aca="false">ROUND(IF(D162=0,IF((N162-E162-O162)&gt;0,(N162-E162-O162),0),IF((D162+N162-O162)&gt;0,(D162+N162-O162),0)),2)</f>
        <v>0</v>
      </c>
      <c r="Q162" s="14" t="n">
        <f aca="false">ROUND(IF(E162=0,IF((D162+N162-O162)&lt;0,ABS(D162+N162-O162),0),IF((N162-E162-O162)&lt;0,ABS(N162-E162-O162),0)),2)</f>
        <v>288.98</v>
      </c>
    </row>
    <row r="163" customFormat="false" ht="15" hidden="false" customHeight="true" outlineLevel="0" collapsed="false">
      <c r="A163" s="12" t="s">
        <v>485</v>
      </c>
      <c r="B163" s="12" t="str">
        <f aca="false">липень!B163</f>
        <v>Пермінов О.А.</v>
      </c>
      <c r="C163" s="12" t="s">
        <v>487</v>
      </c>
      <c r="D163" s="14" t="n">
        <f aca="false">липень!P163</f>
        <v>2660.92</v>
      </c>
      <c r="E163" s="14" t="n">
        <f aca="false">липень!Q163</f>
        <v>0</v>
      </c>
      <c r="F163" s="13" t="n">
        <f aca="false">липень!F163</f>
        <v>0</v>
      </c>
      <c r="G163" s="13" t="n">
        <f aca="false">липень!G163</f>
        <v>62.43</v>
      </c>
      <c r="H163" s="13" t="n">
        <f aca="false">липень!H163</f>
        <v>0</v>
      </c>
      <c r="I163" s="13" t="n">
        <f aca="false">липень!I163</f>
        <v>4.1</v>
      </c>
      <c r="J163" s="14" t="n">
        <f aca="false">ROUND(G163*I163,2)</f>
        <v>255.96</v>
      </c>
      <c r="K163" s="14"/>
      <c r="L163" s="14"/>
      <c r="M163" s="14"/>
      <c r="N163" s="14" t="n">
        <f aca="false">ROUND((G163*I163)-K163-L163-M163,2)</f>
        <v>255.96</v>
      </c>
      <c r="O163" s="14"/>
      <c r="P163" s="14" t="n">
        <f aca="false">ROUND(IF(D163=0,IF((N163-E163-O163)&gt;0,(N163-E163-O163),0),IF((D163+N163-O163)&gt;0,(D163+N163-O163),0)),2)</f>
        <v>2916.88</v>
      </c>
      <c r="Q163" s="14" t="n">
        <f aca="false">ROUND(IF(E163=0,IF((D163+N163-O163)&lt;0,ABS(D163+N163-O163),0),IF((N163-E163-O163)&lt;0,ABS(N163-E163-O163),0)),2)</f>
        <v>0</v>
      </c>
    </row>
    <row r="164" customFormat="false" ht="15" hidden="false" customHeight="true" outlineLevel="0" collapsed="false">
      <c r="A164" s="12" t="s">
        <v>488</v>
      </c>
      <c r="B164" s="12" t="str">
        <f aca="false">липень!B164</f>
        <v>Рябчук Л.П.</v>
      </c>
      <c r="C164" s="12" t="s">
        <v>490</v>
      </c>
      <c r="D164" s="14" t="n">
        <f aca="false">липень!P164</f>
        <v>8825.44</v>
      </c>
      <c r="E164" s="14" t="n">
        <f aca="false">липень!Q164</f>
        <v>0</v>
      </c>
      <c r="F164" s="13" t="n">
        <f aca="false">липень!F164</f>
        <v>0</v>
      </c>
      <c r="G164" s="13" t="n">
        <f aca="false">липень!G164</f>
        <v>64.8</v>
      </c>
      <c r="H164" s="13" t="n">
        <f aca="false">липень!H164</f>
        <v>0</v>
      </c>
      <c r="I164" s="13" t="n">
        <f aca="false">липень!I164</f>
        <v>4.1</v>
      </c>
      <c r="J164" s="14" t="n">
        <f aca="false">ROUND(G164*I164,2)</f>
        <v>265.68</v>
      </c>
      <c r="K164" s="14"/>
      <c r="L164" s="14"/>
      <c r="M164" s="14"/>
      <c r="N164" s="14" t="n">
        <f aca="false">ROUND((G164*I164)-K164-L164-M164,2)</f>
        <v>265.68</v>
      </c>
      <c r="O164" s="14"/>
      <c r="P164" s="14" t="n">
        <f aca="false">ROUND(IF(D164=0,IF((N164-E164-O164)&gt;0,(N164-E164-O164),0),IF((D164+N164-O164)&gt;0,(D164+N164-O164),0)),2)</f>
        <v>9091.12</v>
      </c>
      <c r="Q164" s="14" t="n">
        <f aca="false">ROUND(IF(E164=0,IF((D164+N164-O164)&lt;0,ABS(D164+N164-O164),0),IF((N164-E164-O164)&lt;0,ABS(N164-E164-O164),0)),2)</f>
        <v>0</v>
      </c>
    </row>
    <row r="165" customFormat="false" ht="15" hidden="false" customHeight="true" outlineLevel="0" collapsed="false">
      <c r="A165" s="12" t="s">
        <v>491</v>
      </c>
      <c r="B165" s="12" t="str">
        <f aca="false">липень!B165</f>
        <v>Копасова Л.Б.</v>
      </c>
      <c r="C165" s="12" t="s">
        <v>493</v>
      </c>
      <c r="D165" s="14" t="n">
        <f aca="false">липень!P165</f>
        <v>1417.78</v>
      </c>
      <c r="E165" s="14" t="n">
        <f aca="false">липень!Q165</f>
        <v>0</v>
      </c>
      <c r="F165" s="13" t="n">
        <f aca="false">липень!F165</f>
        <v>0</v>
      </c>
      <c r="G165" s="13" t="n">
        <f aca="false">липень!G165</f>
        <v>49.4</v>
      </c>
      <c r="H165" s="13" t="n">
        <f aca="false">липень!H165</f>
        <v>0</v>
      </c>
      <c r="I165" s="13" t="n">
        <f aca="false">липень!I165</f>
        <v>4.1</v>
      </c>
      <c r="J165" s="14" t="n">
        <f aca="false">ROUND(G165*I165,2)</f>
        <v>202.54</v>
      </c>
      <c r="K165" s="14"/>
      <c r="L165" s="14"/>
      <c r="M165" s="14"/>
      <c r="N165" s="14" t="n">
        <f aca="false">ROUND((G165*I165)-K165-L165-M165,2)</f>
        <v>202.54</v>
      </c>
      <c r="O165" s="14"/>
      <c r="P165" s="14" t="n">
        <f aca="false">ROUND(IF(D165=0,IF((N165-E165-O165)&gt;0,(N165-E165-O165),0),IF((D165+N165-O165)&gt;0,(D165+N165-O165),0)),2)</f>
        <v>1620.32</v>
      </c>
      <c r="Q165" s="14" t="n">
        <f aca="false">ROUND(IF(E165=0,IF((D165+N165-O165)&lt;0,ABS(D165+N165-O165),0),IF((N165-E165-O165)&lt;0,ABS(N165-E165-O165),0)),2)</f>
        <v>0</v>
      </c>
    </row>
    <row r="166" customFormat="false" ht="15" hidden="false" customHeight="true" outlineLevel="0" collapsed="false">
      <c r="A166" s="12" t="s">
        <v>494</v>
      </c>
      <c r="B166" s="12" t="str">
        <f aca="false">липень!B166</f>
        <v>Киричинська Г.Я.</v>
      </c>
      <c r="C166" s="12" t="s">
        <v>496</v>
      </c>
      <c r="D166" s="14" t="n">
        <f aca="false">липень!P166</f>
        <v>4632.52</v>
      </c>
      <c r="E166" s="14" t="n">
        <f aca="false">липень!Q166</f>
        <v>0</v>
      </c>
      <c r="F166" s="13" t="n">
        <f aca="false">липень!F166</f>
        <v>0</v>
      </c>
      <c r="G166" s="13" t="n">
        <f aca="false">липень!G166</f>
        <v>35.1</v>
      </c>
      <c r="H166" s="13" t="n">
        <f aca="false">липень!H166</f>
        <v>0</v>
      </c>
      <c r="I166" s="13" t="n">
        <f aca="false">липень!I166</f>
        <v>4.1</v>
      </c>
      <c r="J166" s="14" t="n">
        <f aca="false">ROUND(G166*I166,2)</f>
        <v>143.91</v>
      </c>
      <c r="K166" s="14"/>
      <c r="L166" s="14"/>
      <c r="M166" s="14"/>
      <c r="N166" s="14" t="n">
        <f aca="false">ROUND((G166*I166)-K166-L166-M166,2)</f>
        <v>143.91</v>
      </c>
      <c r="O166" s="14"/>
      <c r="P166" s="14" t="n">
        <f aca="false">ROUND(IF(D166=0,IF((N166-E166-O166)&gt;0,(N166-E166-O166),0),IF((D166+N166-O166)&gt;0,(D166+N166-O166),0)),2)</f>
        <v>4776.43</v>
      </c>
      <c r="Q166" s="14" t="n">
        <f aca="false">ROUND(IF(E166=0,IF((D166+N166-O166)&lt;0,ABS(D166+N166-O166),0),IF((N166-E166-O166)&lt;0,ABS(N166-E166-O166),0)),2)</f>
        <v>0</v>
      </c>
    </row>
    <row r="167" customFormat="false" ht="15" hidden="false" customHeight="true" outlineLevel="0" collapsed="false">
      <c r="A167" s="12" t="s">
        <v>497</v>
      </c>
      <c r="B167" s="12" t="str">
        <f aca="false">липень!B167</f>
        <v>Бутрій К.В.</v>
      </c>
      <c r="C167" s="12" t="s">
        <v>499</v>
      </c>
      <c r="D167" s="14" t="n">
        <f aca="false">липень!P167</f>
        <v>2881.76</v>
      </c>
      <c r="E167" s="14" t="n">
        <f aca="false">липень!Q167</f>
        <v>0</v>
      </c>
      <c r="F167" s="13" t="n">
        <f aca="false">липень!F167</f>
        <v>0</v>
      </c>
      <c r="G167" s="13" t="n">
        <f aca="false">липень!G167</f>
        <v>62.4</v>
      </c>
      <c r="H167" s="13" t="n">
        <f aca="false">липень!H167</f>
        <v>0</v>
      </c>
      <c r="I167" s="13" t="n">
        <f aca="false">липень!I167</f>
        <v>4.1</v>
      </c>
      <c r="J167" s="14" t="n">
        <f aca="false">ROUND(G167*I167,2)</f>
        <v>255.84</v>
      </c>
      <c r="K167" s="14"/>
      <c r="L167" s="14"/>
      <c r="M167" s="14"/>
      <c r="N167" s="14" t="n">
        <f aca="false">ROUND((G167*I167)-K167-L167-M167,2)</f>
        <v>255.84</v>
      </c>
      <c r="O167" s="14"/>
      <c r="P167" s="14" t="n">
        <f aca="false">ROUND(IF(D167=0,IF((N167-E167-O167)&gt;0,(N167-E167-O167),0),IF((D167+N167-O167)&gt;0,(D167+N167-O167),0)),2)</f>
        <v>3137.6</v>
      </c>
      <c r="Q167" s="14" t="n">
        <f aca="false">ROUND(IF(E167=0,IF((D167+N167-O167)&lt;0,ABS(D167+N167-O167),0),IF((N167-E167-O167)&lt;0,ABS(N167-E167-O167),0)),2)</f>
        <v>0</v>
      </c>
    </row>
    <row r="168" customFormat="false" ht="15" hidden="false" customHeight="true" outlineLevel="0" collapsed="false">
      <c r="A168" s="12" t="s">
        <v>500</v>
      </c>
      <c r="B168" s="12" t="str">
        <f aca="false">липень!B168</f>
        <v>Кузьома Г.І.</v>
      </c>
      <c r="C168" s="12" t="s">
        <v>502</v>
      </c>
      <c r="D168" s="14" t="n">
        <f aca="false">липень!P168</f>
        <v>1879.85</v>
      </c>
      <c r="E168" s="14" t="n">
        <f aca="false">липень!Q168</f>
        <v>0</v>
      </c>
      <c r="F168" s="13" t="n">
        <f aca="false">липень!F168</f>
        <v>0</v>
      </c>
      <c r="G168" s="13" t="n">
        <f aca="false">липень!G168</f>
        <v>65.5</v>
      </c>
      <c r="H168" s="13" t="n">
        <f aca="false">липень!H168</f>
        <v>0</v>
      </c>
      <c r="I168" s="13" t="n">
        <f aca="false">липень!I168</f>
        <v>4.1</v>
      </c>
      <c r="J168" s="14" t="n">
        <f aca="false">ROUND(G168*I168,2)</f>
        <v>268.55</v>
      </c>
      <c r="K168" s="14"/>
      <c r="L168" s="14"/>
      <c r="M168" s="14"/>
      <c r="N168" s="14" t="n">
        <f aca="false">ROUND((G168*I168)-K168-L168-M168,2)</f>
        <v>268.55</v>
      </c>
      <c r="O168" s="14"/>
      <c r="P168" s="14" t="n">
        <f aca="false">ROUND(IF(D168=0,IF((N168-E168-O168)&gt;0,(N168-E168-O168),0),IF((D168+N168-O168)&gt;0,(D168+N168-O168),0)),2)</f>
        <v>2148.4</v>
      </c>
      <c r="Q168" s="14" t="n">
        <f aca="false">ROUND(IF(E168=0,IF((D168+N168-O168)&lt;0,ABS(D168+N168-O168),0),IF((N168-E168-O168)&lt;0,ABS(N168-E168-O168),0)),2)</f>
        <v>0</v>
      </c>
    </row>
    <row r="169" customFormat="false" ht="15" hidden="false" customHeight="true" outlineLevel="0" collapsed="false">
      <c r="A169" s="12" t="s">
        <v>503</v>
      </c>
      <c r="B169" s="12" t="str">
        <f aca="false">липень!B169</f>
        <v>Павленко В.М.</v>
      </c>
      <c r="C169" s="12" t="s">
        <v>505</v>
      </c>
      <c r="D169" s="14" t="n">
        <f aca="false">липень!P169</f>
        <v>1638</v>
      </c>
      <c r="E169" s="14" t="n">
        <f aca="false">липень!Q169</f>
        <v>0</v>
      </c>
      <c r="F169" s="13" t="n">
        <f aca="false">липень!F169</f>
        <v>0</v>
      </c>
      <c r="G169" s="13" t="n">
        <f aca="false">липень!G169</f>
        <v>49.94</v>
      </c>
      <c r="H169" s="13" t="n">
        <f aca="false">липень!H169</f>
        <v>0</v>
      </c>
      <c r="I169" s="13" t="n">
        <f aca="false">липень!I169</f>
        <v>4.1</v>
      </c>
      <c r="J169" s="14" t="n">
        <f aca="false">ROUND(G169*I169,2)</f>
        <v>204.75</v>
      </c>
      <c r="K169" s="14"/>
      <c r="L169" s="14"/>
      <c r="M169" s="14"/>
      <c r="N169" s="14" t="n">
        <f aca="false">ROUND((G169*I169)-K169-L169-M169,2)</f>
        <v>204.75</v>
      </c>
      <c r="O169" s="14"/>
      <c r="P169" s="14" t="n">
        <f aca="false">ROUND(IF(D169=0,IF((N169-E169-O169)&gt;0,(N169-E169-O169),0),IF((D169+N169-O169)&gt;0,(D169+N169-O169),0)),2)</f>
        <v>1842.75</v>
      </c>
      <c r="Q169" s="14" t="n">
        <f aca="false">ROUND(IF(E169=0,IF((D169+N169-O169)&lt;0,ABS(D169+N169-O169),0),IF((N169-E169-O169)&lt;0,ABS(N169-E169-O169),0)),2)</f>
        <v>0</v>
      </c>
    </row>
    <row r="170" customFormat="false" ht="15" hidden="false" customHeight="true" outlineLevel="0" collapsed="false">
      <c r="A170" s="12" t="s">
        <v>506</v>
      </c>
      <c r="B170" s="12" t="str">
        <f aca="false">липень!B170</f>
        <v>Качуровська С.А.</v>
      </c>
      <c r="C170" s="12" t="s">
        <v>508</v>
      </c>
      <c r="D170" s="14" t="n">
        <f aca="false">липень!P170</f>
        <v>1004.5</v>
      </c>
      <c r="E170" s="14" t="n">
        <f aca="false">липень!Q170</f>
        <v>0</v>
      </c>
      <c r="F170" s="13" t="n">
        <f aca="false">липень!F170</f>
        <v>0</v>
      </c>
      <c r="G170" s="13" t="n">
        <f aca="false">липень!G170</f>
        <v>35</v>
      </c>
      <c r="H170" s="13" t="n">
        <f aca="false">липень!H170</f>
        <v>0</v>
      </c>
      <c r="I170" s="13" t="n">
        <f aca="false">липень!I170</f>
        <v>4.1</v>
      </c>
      <c r="J170" s="14" t="n">
        <f aca="false">ROUND(G170*I170,2)</f>
        <v>143.5</v>
      </c>
      <c r="K170" s="14"/>
      <c r="L170" s="14"/>
      <c r="M170" s="14"/>
      <c r="N170" s="14" t="n">
        <f aca="false">ROUND((G170*I170)-K170-L170-M170,2)</f>
        <v>143.5</v>
      </c>
      <c r="O170" s="14"/>
      <c r="P170" s="14" t="n">
        <f aca="false">ROUND(IF(D170=0,IF((N170-E170-O170)&gt;0,(N170-E170-O170),0),IF((D170+N170-O170)&gt;0,(D170+N170-O170),0)),2)</f>
        <v>1148</v>
      </c>
      <c r="Q170" s="14" t="n">
        <f aca="false">ROUND(IF(E170=0,IF((D170+N170-O170)&lt;0,ABS(D170+N170-O170),0),IF((N170-E170-O170)&lt;0,ABS(N170-E170-O170),0)),2)</f>
        <v>0</v>
      </c>
    </row>
    <row r="171" customFormat="false" ht="15" hidden="false" customHeight="true" outlineLevel="0" collapsed="false">
      <c r="A171" s="12" t="s">
        <v>509</v>
      </c>
      <c r="B171" s="12" t="str">
        <f aca="false">липень!B171</f>
        <v>Білецький Б.Г.</v>
      </c>
      <c r="C171" s="12" t="s">
        <v>511</v>
      </c>
      <c r="D171" s="14" t="n">
        <f aca="false">липень!P171</f>
        <v>1789.76</v>
      </c>
      <c r="E171" s="14" t="n">
        <f aca="false">липень!Q171</f>
        <v>0</v>
      </c>
      <c r="F171" s="13" t="n">
        <f aca="false">липень!F171</f>
        <v>0</v>
      </c>
      <c r="G171" s="13" t="n">
        <f aca="false">липень!G171</f>
        <v>62.36</v>
      </c>
      <c r="H171" s="13" t="n">
        <f aca="false">липень!H171</f>
        <v>0</v>
      </c>
      <c r="I171" s="13" t="n">
        <f aca="false">липень!I171</f>
        <v>4.1</v>
      </c>
      <c r="J171" s="14" t="n">
        <f aca="false">ROUND(G171*I171,2)</f>
        <v>255.68</v>
      </c>
      <c r="K171" s="14"/>
      <c r="L171" s="14"/>
      <c r="M171" s="14"/>
      <c r="N171" s="14" t="n">
        <f aca="false">ROUND((G171*I171)-K171-L171-M171,2)</f>
        <v>255.68</v>
      </c>
      <c r="O171" s="14"/>
      <c r="P171" s="14" t="n">
        <f aca="false">ROUND(IF(D171=0,IF((N171-E171-O171)&gt;0,(N171-E171-O171),0),IF((D171+N171-O171)&gt;0,(D171+N171-O171),0)),2)</f>
        <v>2045.44</v>
      </c>
      <c r="Q171" s="14" t="n">
        <f aca="false">ROUND(IF(E171=0,IF((D171+N171-O171)&lt;0,ABS(D171+N171-O171),0),IF((N171-E171-O171)&lt;0,ABS(N171-E171-O171),0)),2)</f>
        <v>0</v>
      </c>
    </row>
    <row r="172" customFormat="false" ht="15" hidden="false" customHeight="true" outlineLevel="0" collapsed="false">
      <c r="A172" s="12" t="s">
        <v>512</v>
      </c>
      <c r="B172" s="12" t="str">
        <f aca="false">липень!B172</f>
        <v>Кузнєцова В.В.</v>
      </c>
      <c r="C172" s="12" t="s">
        <v>514</v>
      </c>
      <c r="D172" s="14" t="n">
        <f aca="false">липень!P172</f>
        <v>9686.96</v>
      </c>
      <c r="E172" s="14" t="n">
        <f aca="false">липень!Q172</f>
        <v>0</v>
      </c>
      <c r="F172" s="13" t="n">
        <f aca="false">липень!F172</f>
        <v>0</v>
      </c>
      <c r="G172" s="13" t="n">
        <f aca="false">липень!G172</f>
        <v>65.63</v>
      </c>
      <c r="H172" s="13" t="n">
        <f aca="false">липень!H172</f>
        <v>0</v>
      </c>
      <c r="I172" s="13" t="n">
        <f aca="false">липень!I172</f>
        <v>4.1</v>
      </c>
      <c r="J172" s="14" t="n">
        <f aca="false">ROUND(G172*I172,2)</f>
        <v>269.08</v>
      </c>
      <c r="K172" s="14"/>
      <c r="L172" s="14"/>
      <c r="M172" s="14"/>
      <c r="N172" s="14" t="n">
        <f aca="false">ROUND((G172*I172)-K172-L172-M172,2)</f>
        <v>269.08</v>
      </c>
      <c r="O172" s="14"/>
      <c r="P172" s="14" t="n">
        <f aca="false">ROUND(IF(D172=0,IF((N172-E172-O172)&gt;0,(N172-E172-O172),0),IF((D172+N172-O172)&gt;0,(D172+N172-O172),0)),2)</f>
        <v>9956.04</v>
      </c>
      <c r="Q172" s="14" t="n">
        <f aca="false">ROUND(IF(E172=0,IF((D172+N172-O172)&lt;0,ABS(D172+N172-O172),0),IF((N172-E172-O172)&lt;0,ABS(N172-E172-O172),0)),2)</f>
        <v>0</v>
      </c>
    </row>
    <row r="173" customFormat="false" ht="15" hidden="false" customHeight="true" outlineLevel="0" collapsed="false">
      <c r="A173" s="12" t="s">
        <v>515</v>
      </c>
      <c r="B173" s="12" t="str">
        <f aca="false">липень!B173</f>
        <v>Сидоренко Б.Й.</v>
      </c>
      <c r="C173" s="12" t="s">
        <v>517</v>
      </c>
      <c r="D173" s="14" t="n">
        <f aca="false">липень!P173</f>
        <v>17607.41</v>
      </c>
      <c r="E173" s="14" t="n">
        <f aca="false">липень!Q173</f>
        <v>0</v>
      </c>
      <c r="F173" s="13" t="n">
        <f aca="false">липень!F173</f>
        <v>0</v>
      </c>
      <c r="G173" s="13" t="n">
        <f aca="false">липень!G173</f>
        <v>49.8</v>
      </c>
      <c r="H173" s="13" t="n">
        <f aca="false">липень!H173</f>
        <v>0</v>
      </c>
      <c r="I173" s="13" t="n">
        <f aca="false">липень!I173</f>
        <v>4.1</v>
      </c>
      <c r="J173" s="14" t="n">
        <f aca="false">ROUND(G173*I173,2)</f>
        <v>204.18</v>
      </c>
      <c r="K173" s="14"/>
      <c r="L173" s="14"/>
      <c r="M173" s="14"/>
      <c r="N173" s="14" t="n">
        <f aca="false">ROUND((G173*I173)-K173-L173-M173,2)</f>
        <v>204.18</v>
      </c>
      <c r="O173" s="14"/>
      <c r="P173" s="14" t="n">
        <f aca="false">ROUND(IF(D173=0,IF((N173-E173-O173)&gt;0,(N173-E173-O173),0),IF((D173+N173-O173)&gt;0,(D173+N173-O173),0)),2)</f>
        <v>17811.59</v>
      </c>
      <c r="Q173" s="14" t="n">
        <f aca="false">ROUND(IF(E173=0,IF((D173+N173-O173)&lt;0,ABS(D173+N173-O173),0),IF((N173-E173-O173)&lt;0,ABS(N173-E173-O173),0)),2)</f>
        <v>0</v>
      </c>
    </row>
    <row r="174" customFormat="false" ht="15" hidden="false" customHeight="true" outlineLevel="0" collapsed="false">
      <c r="A174" s="12" t="s">
        <v>518</v>
      </c>
      <c r="B174" s="12" t="str">
        <f aca="false">липень!B174</f>
        <v>Кузнєцова О.А.</v>
      </c>
      <c r="C174" s="12" t="s">
        <v>520</v>
      </c>
      <c r="D174" s="14" t="n">
        <f aca="false">липень!P174</f>
        <v>5022.5</v>
      </c>
      <c r="E174" s="14" t="n">
        <f aca="false">липень!Q174</f>
        <v>0</v>
      </c>
      <c r="F174" s="13" t="n">
        <f aca="false">липень!F174</f>
        <v>0</v>
      </c>
      <c r="G174" s="13" t="n">
        <f aca="false">липень!G174</f>
        <v>35</v>
      </c>
      <c r="H174" s="13" t="n">
        <f aca="false">липень!H174</f>
        <v>0</v>
      </c>
      <c r="I174" s="13" t="n">
        <f aca="false">липень!I174</f>
        <v>4.1</v>
      </c>
      <c r="J174" s="14" t="n">
        <f aca="false">ROUND(G174*I174,2)</f>
        <v>143.5</v>
      </c>
      <c r="K174" s="14"/>
      <c r="L174" s="14"/>
      <c r="M174" s="14"/>
      <c r="N174" s="14" t="n">
        <f aca="false">ROUND((G174*I174)-K174-L174-M174,2)</f>
        <v>143.5</v>
      </c>
      <c r="O174" s="14"/>
      <c r="P174" s="14" t="n">
        <f aca="false">ROUND(IF(D174=0,IF((N174-E174-O174)&gt;0,(N174-E174-O174),0),IF((D174+N174-O174)&gt;0,(D174+N174-O174),0)),2)</f>
        <v>5166</v>
      </c>
      <c r="Q174" s="14" t="n">
        <f aca="false">ROUND(IF(E174=0,IF((D174+N174-O174)&lt;0,ABS(D174+N174-O174),0),IF((N174-E174-O174)&lt;0,ABS(N174-E174-O174),0)),2)</f>
        <v>0</v>
      </c>
    </row>
    <row r="175" customFormat="false" ht="15" hidden="false" customHeight="true" outlineLevel="0" collapsed="false">
      <c r="A175" s="12" t="s">
        <v>521</v>
      </c>
      <c r="B175" s="12" t="str">
        <f aca="false">липень!B175</f>
        <v>Васильєва О.Г.</v>
      </c>
      <c r="C175" s="12" t="s">
        <v>523</v>
      </c>
      <c r="D175" s="14" t="n">
        <f aca="false">липень!P175</f>
        <v>3872.49</v>
      </c>
      <c r="E175" s="14" t="n">
        <f aca="false">липень!Q175</f>
        <v>0</v>
      </c>
      <c r="F175" s="13" t="n">
        <f aca="false">липень!F175</f>
        <v>0</v>
      </c>
      <c r="G175" s="13" t="n">
        <f aca="false">липень!G175</f>
        <v>61.7</v>
      </c>
      <c r="H175" s="13" t="n">
        <f aca="false">липень!H175</f>
        <v>0</v>
      </c>
      <c r="I175" s="13" t="n">
        <f aca="false">липень!I175</f>
        <v>4.1</v>
      </c>
      <c r="J175" s="14" t="n">
        <f aca="false">ROUND(G175*I175,2)</f>
        <v>252.97</v>
      </c>
      <c r="K175" s="14"/>
      <c r="L175" s="14"/>
      <c r="M175" s="14"/>
      <c r="N175" s="14" t="n">
        <f aca="false">ROUND((G175*I175)-K175-L175-M175,2)</f>
        <v>252.97</v>
      </c>
      <c r="O175" s="14"/>
      <c r="P175" s="14" t="n">
        <f aca="false">ROUND(IF(D175=0,IF((N175-E175-O175)&gt;0,(N175-E175-O175),0),IF((D175+N175-O175)&gt;0,(D175+N175-O175),0)),2)</f>
        <v>4125.46</v>
      </c>
      <c r="Q175" s="14" t="n">
        <f aca="false">ROUND(IF(E175=0,IF((D175+N175-O175)&lt;0,ABS(D175+N175-O175),0),IF((N175-E175-O175)&lt;0,ABS(N175-E175-O175),0)),2)</f>
        <v>0</v>
      </c>
    </row>
    <row r="176" customFormat="false" ht="15" hidden="false" customHeight="true" outlineLevel="0" collapsed="false">
      <c r="A176" s="12" t="s">
        <v>524</v>
      </c>
      <c r="B176" s="12" t="str">
        <f aca="false">липень!B176</f>
        <v>Кудінова Л.М.</v>
      </c>
      <c r="C176" s="12" t="s">
        <v>526</v>
      </c>
      <c r="D176" s="14" t="n">
        <f aca="false">липень!P176</f>
        <v>2151.04</v>
      </c>
      <c r="E176" s="14" t="n">
        <f aca="false">липень!Q176</f>
        <v>0</v>
      </c>
      <c r="F176" s="13" t="n">
        <f aca="false">липень!F176</f>
        <v>0</v>
      </c>
      <c r="G176" s="13" t="n">
        <f aca="false">липень!G176</f>
        <v>65.58</v>
      </c>
      <c r="H176" s="13" t="n">
        <f aca="false">липень!H176</f>
        <v>0</v>
      </c>
      <c r="I176" s="13" t="n">
        <f aca="false">липень!I176</f>
        <v>4.1</v>
      </c>
      <c r="J176" s="14" t="n">
        <f aca="false">ROUND(G176*I176,2)</f>
        <v>268.88</v>
      </c>
      <c r="K176" s="14"/>
      <c r="L176" s="14"/>
      <c r="M176" s="14"/>
      <c r="N176" s="14" t="n">
        <f aca="false">ROUND((G176*I176)-K176-L176-M176,2)</f>
        <v>268.88</v>
      </c>
      <c r="O176" s="14"/>
      <c r="P176" s="14" t="n">
        <f aca="false">ROUND(IF(D176=0,IF((N176-E176-O176)&gt;0,(N176-E176-O176),0),IF((D176+N176-O176)&gt;0,(D176+N176-O176),0)),2)</f>
        <v>2419.92</v>
      </c>
      <c r="Q176" s="14" t="n">
        <f aca="false">ROUND(IF(E176=0,IF((D176+N176-O176)&lt;0,ABS(D176+N176-O176),0),IF((N176-E176-O176)&lt;0,ABS(N176-E176-O176),0)),2)</f>
        <v>0</v>
      </c>
    </row>
    <row r="177" customFormat="false" ht="15" hidden="false" customHeight="true" outlineLevel="0" collapsed="false">
      <c r="A177" s="12" t="s">
        <v>527</v>
      </c>
      <c r="B177" s="12" t="str">
        <f aca="false">липень!B177</f>
        <v>Спільний І.В.</v>
      </c>
      <c r="C177" s="12" t="s">
        <v>529</v>
      </c>
      <c r="D177" s="14" t="n">
        <f aca="false">липень!P177</f>
        <v>1420.65</v>
      </c>
      <c r="E177" s="14" t="n">
        <f aca="false">липень!Q177</f>
        <v>0</v>
      </c>
      <c r="F177" s="13" t="n">
        <f aca="false">липень!F177</f>
        <v>0</v>
      </c>
      <c r="G177" s="13" t="n">
        <f aca="false">липень!G177</f>
        <v>49.5</v>
      </c>
      <c r="H177" s="13" t="n">
        <f aca="false">липень!H177</f>
        <v>0</v>
      </c>
      <c r="I177" s="13" t="n">
        <f aca="false">липень!I177</f>
        <v>4.1</v>
      </c>
      <c r="J177" s="14" t="n">
        <f aca="false">ROUND(G177*I177,2)</f>
        <v>202.95</v>
      </c>
      <c r="K177" s="14"/>
      <c r="L177" s="14"/>
      <c r="M177" s="14"/>
      <c r="N177" s="14" t="n">
        <f aca="false">ROUND((G177*I177)-K177-L177-M177,2)</f>
        <v>202.95</v>
      </c>
      <c r="O177" s="14"/>
      <c r="P177" s="14" t="n">
        <f aca="false">ROUND(IF(D177=0,IF((N177-E177-O177)&gt;0,(N177-E177-O177),0),IF((D177+N177-O177)&gt;0,(D177+N177-O177),0)),2)</f>
        <v>1623.6</v>
      </c>
      <c r="Q177" s="14" t="n">
        <f aca="false">ROUND(IF(E177=0,IF((D177+N177-O177)&lt;0,ABS(D177+N177-O177),0),IF((N177-E177-O177)&lt;0,ABS(N177-E177-O177),0)),2)</f>
        <v>0</v>
      </c>
    </row>
    <row r="178" customFormat="false" ht="15" hidden="false" customHeight="true" outlineLevel="0" collapsed="false">
      <c r="A178" s="12" t="s">
        <v>530</v>
      </c>
      <c r="B178" s="12" t="str">
        <f aca="false">липень!B178</f>
        <v>Кружаліна Т.А.</v>
      </c>
      <c r="C178" s="12" t="s">
        <v>532</v>
      </c>
      <c r="D178" s="14" t="n">
        <f aca="false">липень!P178</f>
        <v>1007.37</v>
      </c>
      <c r="E178" s="14" t="n">
        <f aca="false">липень!Q178</f>
        <v>0</v>
      </c>
      <c r="F178" s="13" t="n">
        <f aca="false">липень!F178</f>
        <v>0</v>
      </c>
      <c r="G178" s="13" t="n">
        <f aca="false">липень!G178</f>
        <v>35.1</v>
      </c>
      <c r="H178" s="13" t="n">
        <f aca="false">липень!H178</f>
        <v>0</v>
      </c>
      <c r="I178" s="13" t="n">
        <f aca="false">липень!I178</f>
        <v>4.1</v>
      </c>
      <c r="J178" s="14" t="n">
        <f aca="false">ROUND(G178*I178,2)</f>
        <v>143.91</v>
      </c>
      <c r="K178" s="14"/>
      <c r="L178" s="14"/>
      <c r="M178" s="14"/>
      <c r="N178" s="14" t="n">
        <f aca="false">ROUND((G178*I178)-K178-L178-M178,2)</f>
        <v>143.91</v>
      </c>
      <c r="O178" s="14"/>
      <c r="P178" s="14" t="n">
        <f aca="false">ROUND(IF(D178=0,IF((N178-E178-O178)&gt;0,(N178-E178-O178),0),IF((D178+N178-O178)&gt;0,(D178+N178-O178),0)),2)</f>
        <v>1151.28</v>
      </c>
      <c r="Q178" s="14" t="n">
        <f aca="false">ROUND(IF(E178=0,IF((D178+N178-O178)&lt;0,ABS(D178+N178-O178),0),IF((N178-E178-O178)&lt;0,ABS(N178-E178-O178),0)),2)</f>
        <v>0</v>
      </c>
    </row>
    <row r="179" customFormat="false" ht="15" hidden="false" customHeight="true" outlineLevel="0" collapsed="false">
      <c r="A179" s="12" t="s">
        <v>533</v>
      </c>
      <c r="B179" s="12" t="str">
        <f aca="false">липень!B179</f>
        <v>Григоренко Н.Е.</v>
      </c>
      <c r="C179" s="12" t="s">
        <v>535</v>
      </c>
      <c r="D179" s="14" t="n">
        <f aca="false">липень!P179</f>
        <v>1805.51</v>
      </c>
      <c r="E179" s="14" t="n">
        <f aca="false">липень!Q179</f>
        <v>0</v>
      </c>
      <c r="F179" s="13" t="n">
        <f aca="false">липень!F179</f>
        <v>0</v>
      </c>
      <c r="G179" s="13" t="n">
        <f aca="false">липень!G179</f>
        <v>62.91</v>
      </c>
      <c r="H179" s="13" t="n">
        <f aca="false">липень!H179</f>
        <v>0</v>
      </c>
      <c r="I179" s="13" t="n">
        <f aca="false">липень!I179</f>
        <v>4.1</v>
      </c>
      <c r="J179" s="14" t="n">
        <f aca="false">ROUND(G179*I179,2)</f>
        <v>257.93</v>
      </c>
      <c r="K179" s="14"/>
      <c r="L179" s="14"/>
      <c r="M179" s="14"/>
      <c r="N179" s="14" t="n">
        <f aca="false">ROUND((G179*I179)-K179-L179-M179,2)</f>
        <v>257.93</v>
      </c>
      <c r="O179" s="14"/>
      <c r="P179" s="14" t="n">
        <f aca="false">ROUND(IF(D179=0,IF((N179-E179-O179)&gt;0,(N179-E179-O179),0),IF((D179+N179-O179)&gt;0,(D179+N179-O179),0)),2)</f>
        <v>2063.44</v>
      </c>
      <c r="Q179" s="14" t="n">
        <f aca="false">ROUND(IF(E179=0,IF((D179+N179-O179)&lt;0,ABS(D179+N179-O179),0),IF((N179-E179-O179)&lt;0,ABS(N179-E179-O179),0)),2)</f>
        <v>0</v>
      </c>
    </row>
    <row r="180" customFormat="false" ht="15" hidden="false" customHeight="true" outlineLevel="0" collapsed="false">
      <c r="A180" s="12" t="s">
        <v>536</v>
      </c>
      <c r="B180" s="12" t="str">
        <f aca="false">липень!B180</f>
        <v>Бондарчук В.В.</v>
      </c>
      <c r="C180" s="12" t="s">
        <v>538</v>
      </c>
      <c r="D180" s="14" t="n">
        <f aca="false">липень!P180</f>
        <v>1895.04</v>
      </c>
      <c r="E180" s="14" t="n">
        <f aca="false">липень!Q180</f>
        <v>0</v>
      </c>
      <c r="F180" s="13" t="n">
        <f aca="false">липень!F180</f>
        <v>0</v>
      </c>
      <c r="G180" s="13" t="n">
        <f aca="false">липень!G180</f>
        <v>66.03</v>
      </c>
      <c r="H180" s="13" t="n">
        <f aca="false">липень!H180</f>
        <v>0</v>
      </c>
      <c r="I180" s="13" t="n">
        <f aca="false">липень!I180</f>
        <v>4.1</v>
      </c>
      <c r="J180" s="14" t="n">
        <f aca="false">ROUND(G180*I180,2)</f>
        <v>270.72</v>
      </c>
      <c r="K180" s="14"/>
      <c r="L180" s="14"/>
      <c r="M180" s="14"/>
      <c r="N180" s="14" t="n">
        <f aca="false">ROUND((G180*I180)-K180-L180-M180,2)</f>
        <v>270.72</v>
      </c>
      <c r="O180" s="14"/>
      <c r="P180" s="14" t="n">
        <f aca="false">ROUND(IF(D180=0,IF((N180-E180-O180)&gt;0,(N180-E180-O180),0),IF((D180+N180-O180)&gt;0,(D180+N180-O180),0)),2)</f>
        <v>2165.76</v>
      </c>
      <c r="Q180" s="14" t="n">
        <f aca="false">ROUND(IF(E180=0,IF((D180+N180-O180)&lt;0,ABS(D180+N180-O180),0),IF((N180-E180-O180)&lt;0,ABS(N180-E180-O180),0)),2)</f>
        <v>0</v>
      </c>
    </row>
    <row r="181" customFormat="false" ht="15" hidden="false" customHeight="true" outlineLevel="0" collapsed="false">
      <c r="A181" s="12" t="s">
        <v>539</v>
      </c>
      <c r="B181" s="12" t="str">
        <f aca="false">липень!B181</f>
        <v>Рябініна Н.І.</v>
      </c>
      <c r="C181" s="12" t="s">
        <v>541</v>
      </c>
      <c r="D181" s="14" t="n">
        <f aca="false">липень!P181</f>
        <v>1266.09</v>
      </c>
      <c r="E181" s="14" t="n">
        <f aca="false">липень!Q181</f>
        <v>0</v>
      </c>
      <c r="F181" s="13" t="n">
        <f aca="false">липень!F181</f>
        <v>0</v>
      </c>
      <c r="G181" s="13" t="n">
        <f aca="false">липень!G181</f>
        <v>49.9</v>
      </c>
      <c r="H181" s="13" t="n">
        <f aca="false">липень!H181</f>
        <v>0</v>
      </c>
      <c r="I181" s="13" t="n">
        <f aca="false">липень!I181</f>
        <v>4.1</v>
      </c>
      <c r="J181" s="14" t="n">
        <f aca="false">ROUND(G181*I181,2)</f>
        <v>204.59</v>
      </c>
      <c r="K181" s="14"/>
      <c r="L181" s="14"/>
      <c r="M181" s="14"/>
      <c r="N181" s="14" t="n">
        <f aca="false">ROUND((G181*I181)-K181-L181-M181,2)</f>
        <v>204.59</v>
      </c>
      <c r="O181" s="14"/>
      <c r="P181" s="14" t="n">
        <f aca="false">ROUND(IF(D181=0,IF((N181-E181-O181)&gt;0,(N181-E181-O181),0),IF((D181+N181-O181)&gt;0,(D181+N181-O181),0)),2)</f>
        <v>1470.68</v>
      </c>
      <c r="Q181" s="14" t="n">
        <f aca="false">ROUND(IF(E181=0,IF((D181+N181-O181)&lt;0,ABS(D181+N181-O181),0),IF((N181-E181-O181)&lt;0,ABS(N181-E181-O181),0)),2)</f>
        <v>0</v>
      </c>
    </row>
    <row r="182" customFormat="false" ht="15" hidden="false" customHeight="true" outlineLevel="0" collapsed="false">
      <c r="A182" s="12" t="s">
        <v>542</v>
      </c>
      <c r="B182" s="12" t="str">
        <f aca="false">липень!B182</f>
        <v>Шапіро В.І.</v>
      </c>
      <c r="C182" s="12" t="s">
        <v>544</v>
      </c>
      <c r="D182" s="14" t="n">
        <f aca="false">липень!P182</f>
        <v>1002.19</v>
      </c>
      <c r="E182" s="14" t="n">
        <f aca="false">липень!Q182</f>
        <v>0</v>
      </c>
      <c r="F182" s="13" t="n">
        <f aca="false">липень!F182</f>
        <v>0</v>
      </c>
      <c r="G182" s="13" t="n">
        <f aca="false">липень!G182</f>
        <v>34.92</v>
      </c>
      <c r="H182" s="13" t="n">
        <f aca="false">липень!H182</f>
        <v>0</v>
      </c>
      <c r="I182" s="13" t="n">
        <f aca="false">липень!I182</f>
        <v>4.1</v>
      </c>
      <c r="J182" s="14" t="n">
        <f aca="false">ROUND(G182*I182,2)</f>
        <v>143.17</v>
      </c>
      <c r="K182" s="14"/>
      <c r="L182" s="14"/>
      <c r="M182" s="14"/>
      <c r="N182" s="14" t="n">
        <f aca="false">ROUND((G182*I182)-K182-L182-M182,2)</f>
        <v>143.17</v>
      </c>
      <c r="O182" s="14"/>
      <c r="P182" s="14" t="n">
        <f aca="false">ROUND(IF(D182=0,IF((N182-E182-O182)&gt;0,(N182-E182-O182),0),IF((D182+N182-O182)&gt;0,(D182+N182-O182),0)),2)</f>
        <v>1145.36</v>
      </c>
      <c r="Q182" s="14" t="n">
        <f aca="false">ROUND(IF(E182=0,IF((D182+N182-O182)&lt;0,ABS(D182+N182-O182),0),IF((N182-E182-O182)&lt;0,ABS(N182-E182-O182),0)),2)</f>
        <v>0</v>
      </c>
    </row>
    <row r="183" customFormat="false" ht="15" hidden="false" customHeight="true" outlineLevel="0" collapsed="false">
      <c r="A183" s="12" t="s">
        <v>545</v>
      </c>
      <c r="B183" s="12" t="str">
        <f aca="false">липень!B183</f>
        <v>Крамаренко О.О.</v>
      </c>
      <c r="C183" s="12" t="s">
        <v>547</v>
      </c>
      <c r="D183" s="14" t="n">
        <f aca="false">липень!P183</f>
        <v>1776.81</v>
      </c>
      <c r="E183" s="14" t="n">
        <f aca="false">липень!Q183</f>
        <v>0</v>
      </c>
      <c r="F183" s="13" t="n">
        <f aca="false">липень!F183</f>
        <v>0</v>
      </c>
      <c r="G183" s="13" t="n">
        <f aca="false">липень!G183</f>
        <v>61.91</v>
      </c>
      <c r="H183" s="13" t="n">
        <f aca="false">липень!H183</f>
        <v>0</v>
      </c>
      <c r="I183" s="13" t="n">
        <f aca="false">липень!I183</f>
        <v>4.1</v>
      </c>
      <c r="J183" s="14" t="n">
        <f aca="false">ROUND(G183*I183,2)</f>
        <v>253.83</v>
      </c>
      <c r="K183" s="14"/>
      <c r="L183" s="14"/>
      <c r="M183" s="14"/>
      <c r="N183" s="14" t="n">
        <f aca="false">ROUND((G183*I183)-K183-L183-M183,2)</f>
        <v>253.83</v>
      </c>
      <c r="O183" s="14"/>
      <c r="P183" s="14" t="n">
        <f aca="false">ROUND(IF(D183=0,IF((N183-E183-O183)&gt;0,(N183-E183-O183),0),IF((D183+N183-O183)&gt;0,(D183+N183-O183),0)),2)</f>
        <v>2030.64</v>
      </c>
      <c r="Q183" s="14" t="n">
        <f aca="false">ROUND(IF(E183=0,IF((D183+N183-O183)&lt;0,ABS(D183+N183-O183),0),IF((N183-E183-O183)&lt;0,ABS(N183-E183-O183),0)),2)</f>
        <v>0</v>
      </c>
    </row>
    <row r="184" customFormat="false" ht="15" hidden="false" customHeight="true" outlineLevel="0" collapsed="false">
      <c r="A184" s="12" t="s">
        <v>548</v>
      </c>
      <c r="B184" s="12" t="str">
        <f aca="false">липень!B184</f>
        <v>Свиридов В.Ф.</v>
      </c>
      <c r="C184" s="12" t="s">
        <v>550</v>
      </c>
      <c r="D184" s="14" t="n">
        <f aca="false">липень!P184</f>
        <v>13943.95</v>
      </c>
      <c r="E184" s="14" t="n">
        <f aca="false">липень!Q184</f>
        <v>0</v>
      </c>
      <c r="F184" s="13" t="n">
        <f aca="false">липень!F184</f>
        <v>0</v>
      </c>
      <c r="G184" s="13" t="n">
        <f aca="false">липень!G184</f>
        <v>65.15</v>
      </c>
      <c r="H184" s="13" t="n">
        <f aca="false">липень!H184</f>
        <v>0</v>
      </c>
      <c r="I184" s="13" t="n">
        <f aca="false">липень!I184</f>
        <v>4.1</v>
      </c>
      <c r="J184" s="14" t="n">
        <f aca="false">ROUND(G184*I184,2)</f>
        <v>267.12</v>
      </c>
      <c r="K184" s="14"/>
      <c r="L184" s="14"/>
      <c r="M184" s="14"/>
      <c r="N184" s="14" t="n">
        <f aca="false">ROUND((G184*I184)-K184-L184-M184,2)</f>
        <v>267.12</v>
      </c>
      <c r="O184" s="14"/>
      <c r="P184" s="14" t="n">
        <f aca="false">ROUND(IF(D184=0,IF((N184-E184-O184)&gt;0,(N184-E184-O184),0),IF((D184+N184-O184)&gt;0,(D184+N184-O184),0)),2)</f>
        <v>14211.07</v>
      </c>
      <c r="Q184" s="14" t="n">
        <f aca="false">ROUND(IF(E184=0,IF((D184+N184-O184)&lt;0,ABS(D184+N184-O184),0),IF((N184-E184-O184)&lt;0,ABS(N184-E184-O184),0)),2)</f>
        <v>0</v>
      </c>
    </row>
    <row r="185" customFormat="false" ht="15" hidden="false" customHeight="true" outlineLevel="0" collapsed="false">
      <c r="A185" s="12" t="s">
        <v>551</v>
      </c>
      <c r="B185" s="12" t="str">
        <f aca="false">липень!B185</f>
        <v>Домацький В.А.</v>
      </c>
      <c r="C185" s="12" t="s">
        <v>553</v>
      </c>
      <c r="D185" s="14" t="n">
        <f aca="false">липень!P185</f>
        <v>1435</v>
      </c>
      <c r="E185" s="14" t="n">
        <f aca="false">липень!Q185</f>
        <v>0</v>
      </c>
      <c r="F185" s="13" t="n">
        <f aca="false">липень!F185</f>
        <v>0</v>
      </c>
      <c r="G185" s="13" t="n">
        <f aca="false">липень!G185</f>
        <v>50</v>
      </c>
      <c r="H185" s="13" t="n">
        <f aca="false">липень!H185</f>
        <v>0</v>
      </c>
      <c r="I185" s="13" t="n">
        <f aca="false">липень!I185</f>
        <v>4.1</v>
      </c>
      <c r="J185" s="14" t="n">
        <f aca="false">ROUND(G185*I185,2)</f>
        <v>205</v>
      </c>
      <c r="K185" s="14"/>
      <c r="L185" s="14"/>
      <c r="M185" s="14"/>
      <c r="N185" s="14" t="n">
        <f aca="false">ROUND((G185*I185)-K185-L185-M185,2)</f>
        <v>205</v>
      </c>
      <c r="O185" s="14"/>
      <c r="P185" s="14" t="n">
        <f aca="false">ROUND(IF(D185=0,IF((N185-E185-O185)&gt;0,(N185-E185-O185),0),IF((D185+N185-O185)&gt;0,(D185+N185-O185),0)),2)</f>
        <v>1640</v>
      </c>
      <c r="Q185" s="14" t="n">
        <f aca="false">ROUND(IF(E185=0,IF((D185+N185-O185)&lt;0,ABS(D185+N185-O185),0),IF((N185-E185-O185)&lt;0,ABS(N185-E185-O185),0)),2)</f>
        <v>0</v>
      </c>
    </row>
    <row r="186" customFormat="false" ht="15" hidden="false" customHeight="true" outlineLevel="0" collapsed="false">
      <c r="A186" s="12" t="s">
        <v>554</v>
      </c>
      <c r="B186" s="12" t="str">
        <f aca="false">липень!B186</f>
        <v>Шаповалова І.А.</v>
      </c>
      <c r="C186" s="12" t="s">
        <v>556</v>
      </c>
      <c r="D186" s="14" t="n">
        <f aca="false">липень!P186</f>
        <v>7194.78</v>
      </c>
      <c r="E186" s="14" t="n">
        <f aca="false">липень!Q186</f>
        <v>0</v>
      </c>
      <c r="F186" s="13" t="n">
        <f aca="false">липень!F186</f>
        <v>0</v>
      </c>
      <c r="G186" s="13" t="n">
        <f aca="false">липень!G186</f>
        <v>35.1</v>
      </c>
      <c r="H186" s="13" t="n">
        <f aca="false">липень!H186</f>
        <v>0</v>
      </c>
      <c r="I186" s="13" t="n">
        <f aca="false">липень!I186</f>
        <v>4.1</v>
      </c>
      <c r="J186" s="14" t="n">
        <f aca="false">ROUND(G186*I186,2)</f>
        <v>143.91</v>
      </c>
      <c r="K186" s="14"/>
      <c r="L186" s="14"/>
      <c r="M186" s="14"/>
      <c r="N186" s="14" t="n">
        <f aca="false">ROUND((G186*I186)-K186-L186-M186,2)</f>
        <v>143.91</v>
      </c>
      <c r="O186" s="14"/>
      <c r="P186" s="14" t="n">
        <f aca="false">ROUND(IF(D186=0,IF((N186-E186-O186)&gt;0,(N186-E186-O186),0),IF((D186+N186-O186)&gt;0,(D186+N186-O186),0)),2)</f>
        <v>7338.69</v>
      </c>
      <c r="Q186" s="14" t="n">
        <f aca="false">ROUND(IF(E186=0,IF((D186+N186-O186)&lt;0,ABS(D186+N186-O186),0),IF((N186-E186-O186)&lt;0,ABS(N186-E186-O186),0)),2)</f>
        <v>0</v>
      </c>
    </row>
    <row r="187" customFormat="false" ht="15" hidden="false" customHeight="true" outlineLevel="0" collapsed="false">
      <c r="A187" s="12" t="s">
        <v>557</v>
      </c>
      <c r="B187" s="12" t="str">
        <f aca="false">липень!B187</f>
        <v>Кононенко О.В.</v>
      </c>
      <c r="C187" s="12" t="s">
        <v>559</v>
      </c>
      <c r="D187" s="14" t="n">
        <f aca="false">липень!P187</f>
        <v>3272.88</v>
      </c>
      <c r="E187" s="14" t="n">
        <f aca="false">липень!Q187</f>
        <v>0</v>
      </c>
      <c r="F187" s="13" t="n">
        <f aca="false">липень!F187</f>
        <v>0</v>
      </c>
      <c r="G187" s="13" t="n">
        <f aca="false">липень!G187</f>
        <v>61.8</v>
      </c>
      <c r="H187" s="13" t="n">
        <f aca="false">липень!H187</f>
        <v>0</v>
      </c>
      <c r="I187" s="13" t="n">
        <f aca="false">липень!I187</f>
        <v>4.1</v>
      </c>
      <c r="J187" s="14" t="n">
        <f aca="false">ROUND(G187*I187,2)</f>
        <v>253.38</v>
      </c>
      <c r="K187" s="14"/>
      <c r="L187" s="14"/>
      <c r="M187" s="14"/>
      <c r="N187" s="14" t="n">
        <f aca="false">ROUND((G187*I187)-K187-L187-M187,2)</f>
        <v>253.38</v>
      </c>
      <c r="O187" s="14"/>
      <c r="P187" s="14" t="n">
        <f aca="false">ROUND(IF(D187=0,IF((N187-E187-O187)&gt;0,(N187-E187-O187),0),IF((D187+N187-O187)&gt;0,(D187+N187-O187),0)),2)</f>
        <v>3526.26</v>
      </c>
      <c r="Q187" s="14" t="n">
        <f aca="false">ROUND(IF(E187=0,IF((D187+N187-O187)&lt;0,ABS(D187+N187-O187),0),IF((N187-E187-O187)&lt;0,ABS(N187-E187-O187),0)),2)</f>
        <v>0</v>
      </c>
    </row>
    <row r="188" customFormat="false" ht="15" hidden="false" customHeight="true" outlineLevel="0" collapsed="false">
      <c r="A188" s="12" t="s">
        <v>560</v>
      </c>
      <c r="B188" s="12" t="str">
        <f aca="false">липень!B188</f>
        <v>Овчаренко Т.І.</v>
      </c>
      <c r="C188" s="12" t="s">
        <v>562</v>
      </c>
      <c r="D188" s="14" t="n">
        <f aca="false">липень!P188</f>
        <v>2039.45</v>
      </c>
      <c r="E188" s="14" t="n">
        <f aca="false">липень!Q188</f>
        <v>0</v>
      </c>
      <c r="F188" s="13" t="n">
        <f aca="false">липень!F188</f>
        <v>0</v>
      </c>
      <c r="G188" s="13" t="n">
        <f aca="false">липень!G188</f>
        <v>71.06</v>
      </c>
      <c r="H188" s="13" t="n">
        <f aca="false">липень!H188</f>
        <v>0</v>
      </c>
      <c r="I188" s="13" t="n">
        <f aca="false">липень!I188</f>
        <v>4.1</v>
      </c>
      <c r="J188" s="14" t="n">
        <f aca="false">ROUND(G188*I188,2)</f>
        <v>291.35</v>
      </c>
      <c r="K188" s="14"/>
      <c r="L188" s="14"/>
      <c r="M188" s="14"/>
      <c r="N188" s="14" t="n">
        <f aca="false">ROUND((G188*I188)-K188-L188-M188,2)</f>
        <v>291.35</v>
      </c>
      <c r="O188" s="14"/>
      <c r="P188" s="14" t="n">
        <f aca="false">ROUND(IF(D188=0,IF((N188-E188-O188)&gt;0,(N188-E188-O188),0),IF((D188+N188-O188)&gt;0,(D188+N188-O188),0)),2)</f>
        <v>2330.8</v>
      </c>
      <c r="Q188" s="14" t="n">
        <f aca="false">ROUND(IF(E188=0,IF((D188+N188-O188)&lt;0,ABS(D188+N188-O188),0),IF((N188-E188-O188)&lt;0,ABS(N188-E188-O188),0)),2)</f>
        <v>0</v>
      </c>
    </row>
    <row r="189" customFormat="false" ht="15" hidden="false" customHeight="true" outlineLevel="0" collapsed="false">
      <c r="A189" s="12" t="s">
        <v>563</v>
      </c>
      <c r="B189" s="12" t="str">
        <f aca="false">липень!B189</f>
        <v>Попукайло О.Г.</v>
      </c>
      <c r="C189" s="12" t="s">
        <v>565</v>
      </c>
      <c r="D189" s="14" t="n">
        <f aca="false">липень!P189</f>
        <v>6165.36</v>
      </c>
      <c r="E189" s="14" t="n">
        <f aca="false">липень!Q189</f>
        <v>0</v>
      </c>
      <c r="F189" s="13" t="n">
        <f aca="false">липень!F189</f>
        <v>0</v>
      </c>
      <c r="G189" s="13" t="n">
        <f aca="false">липень!G189</f>
        <v>49.15</v>
      </c>
      <c r="H189" s="13" t="n">
        <f aca="false">липень!H189</f>
        <v>0</v>
      </c>
      <c r="I189" s="13" t="n">
        <f aca="false">липень!I189</f>
        <v>4.1</v>
      </c>
      <c r="J189" s="14" t="n">
        <f aca="false">ROUND(G189*I189,2)</f>
        <v>201.52</v>
      </c>
      <c r="K189" s="14"/>
      <c r="L189" s="14"/>
      <c r="M189" s="14"/>
      <c r="N189" s="14" t="n">
        <f aca="false">ROUND((G189*I189)-K189-L189-M189,2)</f>
        <v>201.52</v>
      </c>
      <c r="O189" s="14"/>
      <c r="P189" s="14" t="n">
        <f aca="false">ROUND(IF(D189=0,IF((N189-E189-O189)&gt;0,(N189-E189-O189),0),IF((D189+N189-O189)&gt;0,(D189+N189-O189),0)),2)</f>
        <v>6366.88</v>
      </c>
      <c r="Q189" s="14" t="n">
        <f aca="false">ROUND(IF(E189=0,IF((D189+N189-O189)&lt;0,ABS(D189+N189-O189),0),IF((N189-E189-O189)&lt;0,ABS(N189-E189-O189),0)),2)</f>
        <v>0</v>
      </c>
    </row>
    <row r="190" customFormat="false" ht="15" hidden="false" customHeight="true" outlineLevel="0" collapsed="false">
      <c r="A190" s="12" t="s">
        <v>566</v>
      </c>
      <c r="B190" s="12" t="str">
        <f aca="false">липень!B190</f>
        <v>Онищенко А.В.</v>
      </c>
      <c r="C190" s="12" t="s">
        <v>568</v>
      </c>
      <c r="D190" s="14" t="n">
        <f aca="false">липень!P190</f>
        <v>7713.03</v>
      </c>
      <c r="E190" s="14" t="n">
        <f aca="false">липень!Q190</f>
        <v>0</v>
      </c>
      <c r="F190" s="13" t="n">
        <f aca="false">липень!F190</f>
        <v>0</v>
      </c>
      <c r="G190" s="13" t="n">
        <f aca="false">липень!G190</f>
        <v>53.72</v>
      </c>
      <c r="H190" s="13" t="n">
        <f aca="false">липень!H190</f>
        <v>0</v>
      </c>
      <c r="I190" s="13" t="n">
        <f aca="false">липень!I190</f>
        <v>4.1</v>
      </c>
      <c r="J190" s="14" t="n">
        <f aca="false">ROUND(G190*I190,2)</f>
        <v>220.25</v>
      </c>
      <c r="K190" s="14"/>
      <c r="L190" s="14"/>
      <c r="M190" s="14"/>
      <c r="N190" s="14" t="n">
        <f aca="false">ROUND((G190*I190)-K190-L190-M190,2)</f>
        <v>220.25</v>
      </c>
      <c r="O190" s="14"/>
      <c r="P190" s="14" t="n">
        <f aca="false">ROUND(IF(D190=0,IF((N190-E190-O190)&gt;0,(N190-E190-O190),0),IF((D190+N190-O190)&gt;0,(D190+N190-O190),0)),2)</f>
        <v>7933.28</v>
      </c>
      <c r="Q190" s="14" t="n">
        <f aca="false">ROUND(IF(E190=0,IF((D190+N190-O190)&lt;0,ABS(D190+N190-O190),0),IF((N190-E190-O190)&lt;0,ABS(N190-E190-O190),0)),2)</f>
        <v>0</v>
      </c>
    </row>
    <row r="191" customFormat="false" ht="15" hidden="false" customHeight="true" outlineLevel="0" collapsed="false">
      <c r="A191" s="12" t="s">
        <v>569</v>
      </c>
      <c r="B191" s="12" t="str">
        <f aca="false">липень!B191</f>
        <v>Соколова О.О.</v>
      </c>
      <c r="C191" s="12" t="s">
        <v>571</v>
      </c>
      <c r="D191" s="14" t="n">
        <f aca="false">липень!P191</f>
        <v>2262.24</v>
      </c>
      <c r="E191" s="14" t="n">
        <f aca="false">липень!Q191</f>
        <v>0</v>
      </c>
      <c r="F191" s="13" t="n">
        <f aca="false">липень!F191</f>
        <v>0</v>
      </c>
      <c r="G191" s="13" t="n">
        <f aca="false">липень!G191</f>
        <v>68.97</v>
      </c>
      <c r="H191" s="13" t="n">
        <f aca="false">липень!H191</f>
        <v>0</v>
      </c>
      <c r="I191" s="13" t="n">
        <f aca="false">липень!I191</f>
        <v>4.1</v>
      </c>
      <c r="J191" s="14" t="n">
        <f aca="false">ROUND(G191*I191,2)</f>
        <v>282.78</v>
      </c>
      <c r="K191" s="14"/>
      <c r="L191" s="14"/>
      <c r="M191" s="14"/>
      <c r="N191" s="14" t="n">
        <f aca="false">ROUND((G191*I191)-K191-L191-M191,2)</f>
        <v>282.78</v>
      </c>
      <c r="O191" s="14"/>
      <c r="P191" s="14" t="n">
        <f aca="false">ROUND(IF(D191=0,IF((N191-E191-O191)&gt;0,(N191-E191-O191),0),IF((D191+N191-O191)&gt;0,(D191+N191-O191),0)),2)</f>
        <v>2545.02</v>
      </c>
      <c r="Q191" s="14" t="n">
        <f aca="false">ROUND(IF(E191=0,IF((D191+N191-O191)&lt;0,ABS(D191+N191-O191),0),IF((N191-E191-O191)&lt;0,ABS(N191-E191-O191),0)),2)</f>
        <v>0</v>
      </c>
    </row>
    <row r="192" customFormat="false" ht="15" hidden="false" customHeight="true" outlineLevel="0" collapsed="false">
      <c r="A192" s="12" t="s">
        <v>572</v>
      </c>
      <c r="B192" s="12" t="str">
        <f aca="false">липень!B192</f>
        <v>Ільіна В.П.</v>
      </c>
      <c r="C192" s="12" t="s">
        <v>574</v>
      </c>
      <c r="D192" s="14" t="n">
        <f aca="false">липень!P192</f>
        <v>9453.16</v>
      </c>
      <c r="E192" s="14" t="n">
        <f aca="false">липень!Q192</f>
        <v>0</v>
      </c>
      <c r="F192" s="13" t="n">
        <f aca="false">липень!F192</f>
        <v>0</v>
      </c>
      <c r="G192" s="13" t="n">
        <f aca="false">липень!G192</f>
        <v>49.86</v>
      </c>
      <c r="H192" s="13" t="n">
        <f aca="false">липень!H192</f>
        <v>0</v>
      </c>
      <c r="I192" s="13" t="n">
        <f aca="false">липень!I192</f>
        <v>4.1</v>
      </c>
      <c r="J192" s="14" t="n">
        <f aca="false">ROUND(G192*I192,2)</f>
        <v>204.43</v>
      </c>
      <c r="K192" s="14"/>
      <c r="L192" s="14"/>
      <c r="M192" s="14"/>
      <c r="N192" s="14" t="n">
        <f aca="false">ROUND((G192*I192)-K192-L192-M192,2)</f>
        <v>204.43</v>
      </c>
      <c r="O192" s="14"/>
      <c r="P192" s="14" t="n">
        <f aca="false">ROUND(IF(D192=0,IF((N192-E192-O192)&gt;0,(N192-E192-O192),0),IF((D192+N192-O192)&gt;0,(D192+N192-O192),0)),2)</f>
        <v>9657.59</v>
      </c>
      <c r="Q192" s="14" t="n">
        <f aca="false">ROUND(IF(E192=0,IF((D192+N192-O192)&lt;0,ABS(D192+N192-O192),0),IF((N192-E192-O192)&lt;0,ABS(N192-E192-O192),0)),2)</f>
        <v>0</v>
      </c>
    </row>
    <row r="193" customFormat="false" ht="15" hidden="false" customHeight="true" outlineLevel="0" collapsed="false">
      <c r="A193" s="12" t="s">
        <v>575</v>
      </c>
      <c r="B193" s="12" t="str">
        <f aca="false">липень!B193</f>
        <v>Чешок Г.К.</v>
      </c>
      <c r="C193" s="12" t="s">
        <v>577</v>
      </c>
      <c r="D193" s="14" t="n">
        <f aca="false">липень!P193</f>
        <v>13633.16</v>
      </c>
      <c r="E193" s="14" t="n">
        <f aca="false">липень!Q193</f>
        <v>0</v>
      </c>
      <c r="F193" s="13" t="n">
        <f aca="false">липень!F193</f>
        <v>0</v>
      </c>
      <c r="G193" s="13" t="n">
        <f aca="false">липень!G193</f>
        <v>60.86</v>
      </c>
      <c r="H193" s="13" t="n">
        <f aca="false">липень!H193</f>
        <v>0</v>
      </c>
      <c r="I193" s="13" t="n">
        <f aca="false">липень!I193</f>
        <v>4.1</v>
      </c>
      <c r="J193" s="14" t="n">
        <f aca="false">ROUND(G193*I193,2)</f>
        <v>249.53</v>
      </c>
      <c r="K193" s="14"/>
      <c r="L193" s="14"/>
      <c r="M193" s="14"/>
      <c r="N193" s="14" t="n">
        <f aca="false">ROUND((G193*I193)-K193-L193-M193,2)</f>
        <v>249.53</v>
      </c>
      <c r="O193" s="14"/>
      <c r="P193" s="14" t="n">
        <f aca="false">ROUND(IF(D193=0,IF((N193-E193-O193)&gt;0,(N193-E193-O193),0),IF((D193+N193-O193)&gt;0,(D193+N193-O193),0)),2)</f>
        <v>13882.69</v>
      </c>
      <c r="Q193" s="14" t="n">
        <f aca="false">ROUND(IF(E193=0,IF((D193+N193-O193)&lt;0,ABS(D193+N193-O193),0),IF((N193-E193-O193)&lt;0,ABS(N193-E193-O193),0)),2)</f>
        <v>0</v>
      </c>
    </row>
    <row r="194" customFormat="false" ht="15" hidden="false" customHeight="true" outlineLevel="0" collapsed="false">
      <c r="A194" s="12" t="s">
        <v>578</v>
      </c>
      <c r="B194" s="12" t="str">
        <f aca="false">липень!B194</f>
        <v>Бердников В.А.</v>
      </c>
      <c r="C194" s="12" t="s">
        <v>580</v>
      </c>
      <c r="D194" s="14" t="n">
        <f aca="false">липень!P194</f>
        <v>10287.87</v>
      </c>
      <c r="E194" s="14" t="n">
        <f aca="false">липень!Q194</f>
        <v>0</v>
      </c>
      <c r="F194" s="13" t="n">
        <f aca="false">липень!F194</f>
        <v>0</v>
      </c>
      <c r="G194" s="13" t="n">
        <f aca="false">липень!G194</f>
        <v>66.75</v>
      </c>
      <c r="H194" s="13" t="n">
        <f aca="false">липень!H194</f>
        <v>0</v>
      </c>
      <c r="I194" s="13" t="n">
        <f aca="false">липень!I194</f>
        <v>4.1</v>
      </c>
      <c r="J194" s="14" t="n">
        <f aca="false">ROUND(G194*I194,2)</f>
        <v>273.68</v>
      </c>
      <c r="K194" s="14"/>
      <c r="L194" s="14"/>
      <c r="M194" s="14"/>
      <c r="N194" s="14" t="n">
        <f aca="false">ROUND((G194*I194)-K194-L194-M194,2)</f>
        <v>273.68</v>
      </c>
      <c r="O194" s="14"/>
      <c r="P194" s="14" t="n">
        <f aca="false">ROUND(IF(D194=0,IF((N194-E194-O194)&gt;0,(N194-E194-O194),0),IF((D194+N194-O194)&gt;0,(D194+N194-O194),0)),2)</f>
        <v>10561.55</v>
      </c>
      <c r="Q194" s="14" t="n">
        <f aca="false">ROUND(IF(E194=0,IF((D194+N194-O194)&lt;0,ABS(D194+N194-O194),0),IF((N194-E194-O194)&lt;0,ABS(N194-E194-O194),0)),2)</f>
        <v>0</v>
      </c>
    </row>
    <row r="195" customFormat="false" ht="15" hidden="false" customHeight="true" outlineLevel="0" collapsed="false">
      <c r="A195" s="12" t="s">
        <v>581</v>
      </c>
      <c r="B195" s="12" t="str">
        <f aca="false">липень!B195</f>
        <v>Щербак Н.В.</v>
      </c>
      <c r="C195" s="12" t="s">
        <v>583</v>
      </c>
      <c r="D195" s="14" t="n">
        <f aca="false">липень!P195</f>
        <v>15157.61</v>
      </c>
      <c r="E195" s="14" t="n">
        <f aca="false">липень!Q195</f>
        <v>0</v>
      </c>
      <c r="F195" s="13" t="n">
        <f aca="false">липень!F195</f>
        <v>0</v>
      </c>
      <c r="G195" s="13" t="n">
        <f aca="false">липень!G195</f>
        <v>72.49</v>
      </c>
      <c r="H195" s="13" t="n">
        <f aca="false">липень!H195</f>
        <v>0</v>
      </c>
      <c r="I195" s="13" t="n">
        <f aca="false">липень!I195</f>
        <v>4.1</v>
      </c>
      <c r="J195" s="14" t="n">
        <f aca="false">ROUND(G195*I195,2)</f>
        <v>297.21</v>
      </c>
      <c r="K195" s="14"/>
      <c r="L195" s="14"/>
      <c r="M195" s="14"/>
      <c r="N195" s="14" t="n">
        <f aca="false">ROUND((G195*I195)-K195-L195-M195,2)</f>
        <v>297.21</v>
      </c>
      <c r="O195" s="14"/>
      <c r="P195" s="14" t="n">
        <f aca="false">ROUND(IF(D195=0,IF((N195-E195-O195)&gt;0,(N195-E195-O195),0),IF((D195+N195-O195)&gt;0,(D195+N195-O195),0)),2)</f>
        <v>15454.82</v>
      </c>
      <c r="Q195" s="14" t="n">
        <f aca="false">ROUND(IF(E195=0,IF((D195+N195-O195)&lt;0,ABS(D195+N195-O195),0),IF((N195-E195-O195)&lt;0,ABS(N195-E195-O195),0)),2)</f>
        <v>0</v>
      </c>
    </row>
    <row r="196" customFormat="false" ht="15" hidden="false" customHeight="true" outlineLevel="0" collapsed="false">
      <c r="A196" s="12" t="s">
        <v>584</v>
      </c>
      <c r="B196" s="12" t="str">
        <f aca="false">липень!B196</f>
        <v>Рожков Ю.М.</v>
      </c>
      <c r="C196" s="12" t="s">
        <v>586</v>
      </c>
      <c r="D196" s="14" t="n">
        <f aca="false">липень!P196</f>
        <v>1371.44</v>
      </c>
      <c r="E196" s="14" t="n">
        <f aca="false">липень!Q196</f>
        <v>0</v>
      </c>
      <c r="F196" s="13" t="n">
        <f aca="false">липень!F196</f>
        <v>0</v>
      </c>
      <c r="G196" s="13" t="n">
        <f aca="false">липень!G196</f>
        <v>49.8</v>
      </c>
      <c r="H196" s="13" t="n">
        <f aca="false">липень!H196</f>
        <v>0</v>
      </c>
      <c r="I196" s="13" t="n">
        <f aca="false">липень!I196</f>
        <v>4.1</v>
      </c>
      <c r="J196" s="14" t="n">
        <f aca="false">ROUND(G196*I196,2)</f>
        <v>204.18</v>
      </c>
      <c r="K196" s="14"/>
      <c r="L196" s="14"/>
      <c r="M196" s="14"/>
      <c r="N196" s="14" t="n">
        <f aca="false">ROUND((G196*I196)-K196-L196-M196,2)</f>
        <v>204.18</v>
      </c>
      <c r="O196" s="14"/>
      <c r="P196" s="14" t="n">
        <f aca="false">ROUND(IF(D196=0,IF((N196-E196-O196)&gt;0,(N196-E196-O196),0),IF((D196+N196-O196)&gt;0,(D196+N196-O196),0)),2)</f>
        <v>1575.62</v>
      </c>
      <c r="Q196" s="14" t="n">
        <f aca="false">ROUND(IF(E196=0,IF((D196+N196-O196)&lt;0,ABS(D196+N196-O196),0),IF((N196-E196-O196)&lt;0,ABS(N196-E196-O196),0)),2)</f>
        <v>0</v>
      </c>
    </row>
    <row r="197" customFormat="false" ht="15" hidden="false" customHeight="true" outlineLevel="0" collapsed="false">
      <c r="A197" s="12" t="s">
        <v>587</v>
      </c>
      <c r="B197" s="12" t="str">
        <f aca="false">липень!B197</f>
        <v>Кобець В.В.</v>
      </c>
      <c r="C197" s="12" t="s">
        <v>589</v>
      </c>
      <c r="D197" s="14" t="n">
        <f aca="false">липень!P197</f>
        <v>9029.03</v>
      </c>
      <c r="E197" s="14" t="n">
        <f aca="false">липень!Q197</f>
        <v>0</v>
      </c>
      <c r="F197" s="13" t="n">
        <f aca="false">липень!F197</f>
        <v>0</v>
      </c>
      <c r="G197" s="13" t="n">
        <f aca="false">липень!G197</f>
        <v>62.36</v>
      </c>
      <c r="H197" s="13" t="n">
        <f aca="false">липень!H197</f>
        <v>0</v>
      </c>
      <c r="I197" s="13" t="n">
        <f aca="false">липень!I197</f>
        <v>4.1</v>
      </c>
      <c r="J197" s="14" t="n">
        <f aca="false">ROUND(G197*I197,2)</f>
        <v>255.68</v>
      </c>
      <c r="K197" s="14"/>
      <c r="L197" s="14"/>
      <c r="M197" s="14"/>
      <c r="N197" s="14" t="n">
        <f aca="false">ROUND((G197*I197)-K197-L197-M197,2)</f>
        <v>255.68</v>
      </c>
      <c r="O197" s="14"/>
      <c r="P197" s="14" t="n">
        <f aca="false">ROUND(IF(D197=0,IF((N197-E197-O197)&gt;0,(N197-E197-O197),0),IF((D197+N197-O197)&gt;0,(D197+N197-O197),0)),2)</f>
        <v>9284.71</v>
      </c>
      <c r="Q197" s="14" t="n">
        <f aca="false">ROUND(IF(E197=0,IF((D197+N197-O197)&lt;0,ABS(D197+N197-O197),0),IF((N197-E197-O197)&lt;0,ABS(N197-E197-O197),0)),2)</f>
        <v>0</v>
      </c>
    </row>
    <row r="198" customFormat="false" ht="15" hidden="false" customHeight="true" outlineLevel="0" collapsed="false">
      <c r="A198" s="12" t="s">
        <v>590</v>
      </c>
      <c r="B198" s="12" t="str">
        <f aca="false">липень!B198</f>
        <v>Щерба Л.О.</v>
      </c>
      <c r="C198" s="12" t="s">
        <v>592</v>
      </c>
      <c r="D198" s="14" t="n">
        <f aca="false">липень!P198</f>
        <v>1965.95</v>
      </c>
      <c r="E198" s="14" t="n">
        <f aca="false">липень!Q198</f>
        <v>0</v>
      </c>
      <c r="F198" s="13" t="n">
        <f aca="false">липень!F198</f>
        <v>0</v>
      </c>
      <c r="G198" s="13" t="n">
        <f aca="false">липень!G198</f>
        <v>68.5</v>
      </c>
      <c r="H198" s="13" t="n">
        <f aca="false">липень!H198</f>
        <v>0</v>
      </c>
      <c r="I198" s="13" t="n">
        <f aca="false">липень!I198</f>
        <v>4.1</v>
      </c>
      <c r="J198" s="14" t="n">
        <f aca="false">ROUND(G198*I198,2)</f>
        <v>280.85</v>
      </c>
      <c r="K198" s="14"/>
      <c r="L198" s="14"/>
      <c r="M198" s="14"/>
      <c r="N198" s="14" t="n">
        <f aca="false">ROUND((G198*I198)-K198-L198-M198,2)</f>
        <v>280.85</v>
      </c>
      <c r="O198" s="14"/>
      <c r="P198" s="14" t="n">
        <f aca="false">ROUND(IF(D198=0,IF((N198-E198-O198)&gt;0,(N198-E198-O198),0),IF((D198+N198-O198)&gt;0,(D198+N198-O198),0)),2)</f>
        <v>2246.8</v>
      </c>
      <c r="Q198" s="14" t="n">
        <f aca="false">ROUND(IF(E198=0,IF((D198+N198-O198)&lt;0,ABS(D198+N198-O198),0),IF((N198-E198-O198)&lt;0,ABS(N198-E198-O198),0)),2)</f>
        <v>0</v>
      </c>
    </row>
    <row r="199" customFormat="false" ht="15" hidden="false" customHeight="true" outlineLevel="0" collapsed="false">
      <c r="A199" s="12" t="s">
        <v>593</v>
      </c>
      <c r="B199" s="12" t="str">
        <f aca="false">липень!B199</f>
        <v>Сапунова І.В.</v>
      </c>
      <c r="C199" s="12" t="s">
        <v>595</v>
      </c>
      <c r="D199" s="14" t="n">
        <f aca="false">липень!P199</f>
        <v>13033.36</v>
      </c>
      <c r="E199" s="14" t="n">
        <f aca="false">липень!Q199</f>
        <v>0</v>
      </c>
      <c r="F199" s="13" t="n">
        <f aca="false">липень!F199</f>
        <v>0</v>
      </c>
      <c r="G199" s="13" t="n">
        <f aca="false">липень!G199</f>
        <v>70.42</v>
      </c>
      <c r="H199" s="13" t="n">
        <f aca="false">липень!H199</f>
        <v>0</v>
      </c>
      <c r="I199" s="13" t="n">
        <f aca="false">липень!I199</f>
        <v>4.1</v>
      </c>
      <c r="J199" s="14" t="n">
        <f aca="false">ROUND(G199*I199,2)</f>
        <v>288.72</v>
      </c>
      <c r="K199" s="14"/>
      <c r="L199" s="14"/>
      <c r="M199" s="14"/>
      <c r="N199" s="14" t="n">
        <f aca="false">ROUND((G199*I199)-K199-L199-M199,2)</f>
        <v>288.72</v>
      </c>
      <c r="O199" s="14"/>
      <c r="P199" s="14" t="n">
        <f aca="false">ROUND(IF(D199=0,IF((N199-E199-O199)&gt;0,(N199-E199-O199),0),IF((D199+N199-O199)&gt;0,(D199+N199-O199),0)),2)</f>
        <v>13322.08</v>
      </c>
      <c r="Q199" s="14" t="n">
        <f aca="false">ROUND(IF(E199=0,IF((D199+N199-O199)&lt;0,ABS(D199+N199-O199),0),IF((N199-E199-O199)&lt;0,ABS(N199-E199-O199),0)),2)</f>
        <v>0</v>
      </c>
    </row>
    <row r="200" customFormat="false" ht="15" hidden="false" customHeight="true" outlineLevel="0" collapsed="false">
      <c r="A200" s="12" t="s">
        <v>596</v>
      </c>
      <c r="B200" s="12" t="str">
        <f aca="false">липень!B200</f>
        <v>Саввідіс В.О.</v>
      </c>
      <c r="C200" s="12" t="s">
        <v>598</v>
      </c>
      <c r="D200" s="14" t="n">
        <f aca="false">липень!P200</f>
        <v>11505.13</v>
      </c>
      <c r="E200" s="14" t="n">
        <f aca="false">липень!Q200</f>
        <v>0</v>
      </c>
      <c r="F200" s="13" t="n">
        <f aca="false">липень!F200</f>
        <v>0</v>
      </c>
      <c r="G200" s="13" t="n">
        <f aca="false">липень!G200</f>
        <v>49.7</v>
      </c>
      <c r="H200" s="13" t="n">
        <f aca="false">липень!H200</f>
        <v>0</v>
      </c>
      <c r="I200" s="13" t="n">
        <f aca="false">липень!I200</f>
        <v>4.1</v>
      </c>
      <c r="J200" s="14" t="n">
        <f aca="false">ROUND(G200*I200,2)</f>
        <v>203.77</v>
      </c>
      <c r="K200" s="14"/>
      <c r="L200" s="14"/>
      <c r="M200" s="14"/>
      <c r="N200" s="14" t="n">
        <f aca="false">ROUND((G200*I200)-K200-L200-M200,2)</f>
        <v>203.77</v>
      </c>
      <c r="O200" s="14"/>
      <c r="P200" s="14" t="n">
        <f aca="false">ROUND(IF(D200=0,IF((N200-E200-O200)&gt;0,(N200-E200-O200),0),IF((D200+N200-O200)&gt;0,(D200+N200-O200),0)),2)</f>
        <v>11708.9</v>
      </c>
      <c r="Q200" s="14" t="n">
        <f aca="false">ROUND(IF(E200=0,IF((D200+N200-O200)&lt;0,ABS(D200+N200-O200),0),IF((N200-E200-O200)&lt;0,ABS(N200-E200-O200),0)),2)</f>
        <v>0</v>
      </c>
    </row>
    <row r="201" customFormat="false" ht="15" hidden="false" customHeight="true" outlineLevel="0" collapsed="false">
      <c r="A201" s="12" t="s">
        <v>599</v>
      </c>
      <c r="B201" s="12" t="str">
        <f aca="false">липень!B201</f>
        <v>Кашина Г.І.</v>
      </c>
      <c r="C201" s="12" t="s">
        <v>601</v>
      </c>
      <c r="D201" s="14" t="n">
        <f aca="false">липень!P201</f>
        <v>13859.64</v>
      </c>
      <c r="E201" s="14" t="n">
        <f aca="false">липень!Q201</f>
        <v>0</v>
      </c>
      <c r="F201" s="13" t="n">
        <f aca="false">липень!F201</f>
        <v>0</v>
      </c>
      <c r="G201" s="13" t="n">
        <f aca="false">липень!G201</f>
        <v>62.6</v>
      </c>
      <c r="H201" s="13" t="n">
        <f aca="false">липень!H201</f>
        <v>0</v>
      </c>
      <c r="I201" s="13" t="n">
        <f aca="false">липень!I201</f>
        <v>4.1</v>
      </c>
      <c r="J201" s="14" t="n">
        <f aca="false">ROUND(G201*I201,2)</f>
        <v>256.66</v>
      </c>
      <c r="K201" s="14"/>
      <c r="L201" s="14"/>
      <c r="M201" s="14"/>
      <c r="N201" s="14" t="n">
        <f aca="false">ROUND((G201*I201)-K201-L201-M201,2)</f>
        <v>256.66</v>
      </c>
      <c r="O201" s="14"/>
      <c r="P201" s="14" t="n">
        <f aca="false">ROUND(IF(D201=0,IF((N201-E201-O201)&gt;0,(N201-E201-O201),0),IF((D201+N201-O201)&gt;0,(D201+N201-O201),0)),2)</f>
        <v>14116.3</v>
      </c>
      <c r="Q201" s="14" t="n">
        <f aca="false">ROUND(IF(E201=0,IF((D201+N201-O201)&lt;0,ABS(D201+N201-O201),0),IF((N201-E201-O201)&lt;0,ABS(N201-E201-O201),0)),2)</f>
        <v>0</v>
      </c>
    </row>
    <row r="202" customFormat="false" ht="15" hidden="false" customHeight="true" outlineLevel="0" collapsed="false">
      <c r="A202" s="12" t="s">
        <v>602</v>
      </c>
      <c r="B202" s="12" t="str">
        <f aca="false">липень!B202</f>
        <v>Фадеєва Є.А.</v>
      </c>
      <c r="C202" s="12" t="s">
        <v>604</v>
      </c>
      <c r="D202" s="14" t="n">
        <f aca="false">липень!P202</f>
        <v>2020.48</v>
      </c>
      <c r="E202" s="14" t="n">
        <f aca="false">липень!Q202</f>
        <v>0</v>
      </c>
      <c r="F202" s="13" t="n">
        <f aca="false">липень!F202</f>
        <v>0</v>
      </c>
      <c r="G202" s="13" t="n">
        <f aca="false">липень!G202</f>
        <v>70.4</v>
      </c>
      <c r="H202" s="13" t="n">
        <f aca="false">липень!H202</f>
        <v>0</v>
      </c>
      <c r="I202" s="13" t="n">
        <f aca="false">липень!I202</f>
        <v>4.1</v>
      </c>
      <c r="J202" s="14" t="n">
        <f aca="false">ROUND(G202*I202,2)</f>
        <v>288.64</v>
      </c>
      <c r="K202" s="14"/>
      <c r="L202" s="14"/>
      <c r="M202" s="14"/>
      <c r="N202" s="14" t="n">
        <f aca="false">ROUND((G202*I202)-K202-L202-M202,2)</f>
        <v>288.64</v>
      </c>
      <c r="O202" s="14"/>
      <c r="P202" s="14" t="n">
        <f aca="false">ROUND(IF(D202=0,IF((N202-E202-O202)&gt;0,(N202-E202-O202),0),IF((D202+N202-O202)&gt;0,(D202+N202-O202),0)),2)</f>
        <v>2309.12</v>
      </c>
      <c r="Q202" s="14" t="n">
        <f aca="false">ROUND(IF(E202=0,IF((D202+N202-O202)&lt;0,ABS(D202+N202-O202),0),IF((N202-E202-O202)&lt;0,ABS(N202-E202-O202),0)),2)</f>
        <v>0</v>
      </c>
    </row>
    <row r="203" customFormat="false" ht="15" hidden="false" customHeight="true" outlineLevel="0" collapsed="false">
      <c r="A203" s="12" t="s">
        <v>605</v>
      </c>
      <c r="B203" s="12" t="str">
        <f aca="false">липень!B203</f>
        <v>Бойко О.А.</v>
      </c>
      <c r="C203" s="12" t="s">
        <v>607</v>
      </c>
      <c r="D203" s="14" t="n">
        <f aca="false">липень!P203</f>
        <v>2014.74</v>
      </c>
      <c r="E203" s="14" t="n">
        <f aca="false">липень!Q203</f>
        <v>0</v>
      </c>
      <c r="F203" s="13" t="n">
        <f aca="false">липень!F203</f>
        <v>0</v>
      </c>
      <c r="G203" s="13" t="n">
        <f aca="false">липень!G203</f>
        <v>70.2</v>
      </c>
      <c r="H203" s="13" t="n">
        <f aca="false">липень!H203</f>
        <v>0</v>
      </c>
      <c r="I203" s="13" t="n">
        <f aca="false">липень!I203</f>
        <v>4.1</v>
      </c>
      <c r="J203" s="14" t="n">
        <f aca="false">ROUND(G203*I203,2)</f>
        <v>287.82</v>
      </c>
      <c r="K203" s="14"/>
      <c r="L203" s="14"/>
      <c r="M203" s="14"/>
      <c r="N203" s="14" t="n">
        <f aca="false">ROUND((G203*I203)-K203-L203-M203,2)</f>
        <v>287.82</v>
      </c>
      <c r="O203" s="14"/>
      <c r="P203" s="14" t="n">
        <f aca="false">ROUND(IF(D203=0,IF((N203-E203-O203)&gt;0,(N203-E203-O203),0),IF((D203+N203-O203)&gt;0,(D203+N203-O203),0)),2)</f>
        <v>2302.56</v>
      </c>
      <c r="Q203" s="14" t="n">
        <f aca="false">ROUND(IF(E203=0,IF((D203+N203-O203)&lt;0,ABS(D203+N203-O203),0),IF((N203-E203-O203)&lt;0,ABS(N203-E203-O203),0)),2)</f>
        <v>0</v>
      </c>
    </row>
    <row r="204" customFormat="false" ht="15" hidden="false" customHeight="true" outlineLevel="0" collapsed="false">
      <c r="A204" s="12" t="s">
        <v>608</v>
      </c>
      <c r="B204" s="12" t="str">
        <f aca="false">липень!B204</f>
        <v>Дудник І.А.</v>
      </c>
      <c r="C204" s="12" t="s">
        <v>610</v>
      </c>
      <c r="D204" s="14" t="n">
        <f aca="false">липень!P204</f>
        <v>10493.52</v>
      </c>
      <c r="E204" s="14" t="n">
        <f aca="false">липень!Q204</f>
        <v>0</v>
      </c>
      <c r="F204" s="13" t="n">
        <f aca="false">липень!F204</f>
        <v>0</v>
      </c>
      <c r="G204" s="13" t="n">
        <f aca="false">липень!G204</f>
        <v>49.94</v>
      </c>
      <c r="H204" s="13" t="n">
        <f aca="false">липень!H204</f>
        <v>0</v>
      </c>
      <c r="I204" s="13" t="n">
        <f aca="false">липень!I204</f>
        <v>4.1</v>
      </c>
      <c r="J204" s="14" t="n">
        <f aca="false">ROUND(G204*I204,2)</f>
        <v>204.75</v>
      </c>
      <c r="K204" s="14"/>
      <c r="L204" s="14"/>
      <c r="M204" s="14"/>
      <c r="N204" s="14" t="n">
        <f aca="false">ROUND((G204*I204)-K204-L204-M204,2)</f>
        <v>204.75</v>
      </c>
      <c r="O204" s="14"/>
      <c r="P204" s="14" t="n">
        <f aca="false">ROUND(IF(D204=0,IF((N204-E204-O204)&gt;0,(N204-E204-O204),0),IF((D204+N204-O204)&gt;0,(D204+N204-O204),0)),2)</f>
        <v>10698.27</v>
      </c>
      <c r="Q204" s="14" t="n">
        <f aca="false">ROUND(IF(E204=0,IF((D204+N204-O204)&lt;0,ABS(D204+N204-O204),0),IF((N204-E204-O204)&lt;0,ABS(N204-E204-O204),0)),2)</f>
        <v>0</v>
      </c>
    </row>
    <row r="205" customFormat="false" ht="15" hidden="false" customHeight="true" outlineLevel="0" collapsed="false">
      <c r="A205" s="12" t="s">
        <v>611</v>
      </c>
      <c r="B205" s="12" t="str">
        <f aca="false">липень!B205</f>
        <v>Лебедєва Т.В.</v>
      </c>
      <c r="C205" s="12" t="s">
        <v>613</v>
      </c>
      <c r="D205" s="14" t="n">
        <f aca="false">липень!P205</f>
        <v>11745.21</v>
      </c>
      <c r="E205" s="14" t="n">
        <f aca="false">липень!Q205</f>
        <v>0</v>
      </c>
      <c r="F205" s="13" t="n">
        <f aca="false">липень!F205</f>
        <v>0</v>
      </c>
      <c r="G205" s="13" t="n">
        <f aca="false">липень!G205</f>
        <v>62.3</v>
      </c>
      <c r="H205" s="13" t="n">
        <f aca="false">липень!H205</f>
        <v>0</v>
      </c>
      <c r="I205" s="13" t="n">
        <f aca="false">липень!I205</f>
        <v>4.1</v>
      </c>
      <c r="J205" s="14" t="n">
        <f aca="false">ROUND(G205*I205,2)</f>
        <v>255.43</v>
      </c>
      <c r="K205" s="14"/>
      <c r="L205" s="14"/>
      <c r="M205" s="14"/>
      <c r="N205" s="14" t="n">
        <f aca="false">ROUND((G205*I205)-K205-L205-M205,2)</f>
        <v>255.43</v>
      </c>
      <c r="O205" s="14"/>
      <c r="P205" s="14" t="n">
        <f aca="false">ROUND(IF(D205=0,IF((N205-E205-O205)&gt;0,(N205-E205-O205),0),IF((D205+N205-O205)&gt;0,(D205+N205-O205),0)),2)</f>
        <v>12000.64</v>
      </c>
      <c r="Q205" s="14" t="n">
        <f aca="false">ROUND(IF(E205=0,IF((D205+N205-O205)&lt;0,ABS(D205+N205-O205),0),IF((N205-E205-O205)&lt;0,ABS(N205-E205-O205),0)),2)</f>
        <v>0</v>
      </c>
    </row>
    <row r="206" customFormat="false" ht="15" hidden="false" customHeight="true" outlineLevel="0" collapsed="false">
      <c r="A206" s="12" t="s">
        <v>614</v>
      </c>
      <c r="B206" s="12" t="str">
        <f aca="false">липень!B206</f>
        <v>Криницький Л.С.</v>
      </c>
      <c r="C206" s="12" t="s">
        <v>616</v>
      </c>
      <c r="D206" s="14" t="n">
        <f aca="false">липень!P206</f>
        <v>1663.2</v>
      </c>
      <c r="E206" s="14" t="n">
        <f aca="false">липень!Q206</f>
        <v>0</v>
      </c>
      <c r="F206" s="13" t="n">
        <f aca="false">липень!F206</f>
        <v>0</v>
      </c>
      <c r="G206" s="13" t="n">
        <f aca="false">липень!G206</f>
        <v>67.61</v>
      </c>
      <c r="H206" s="13" t="n">
        <f aca="false">липень!H206</f>
        <v>0</v>
      </c>
      <c r="I206" s="13" t="n">
        <f aca="false">липень!I206</f>
        <v>4.1</v>
      </c>
      <c r="J206" s="14" t="n">
        <f aca="false">ROUND(G206*I206,2)</f>
        <v>277.2</v>
      </c>
      <c r="K206" s="14"/>
      <c r="L206" s="14"/>
      <c r="M206" s="14"/>
      <c r="N206" s="14" t="n">
        <f aca="false">ROUND((G206*I206)-K206-L206-M206,2)</f>
        <v>277.2</v>
      </c>
      <c r="O206" s="14"/>
      <c r="P206" s="14" t="n">
        <f aca="false">ROUND(IF(D206=0,IF((N206-E206-O206)&gt;0,(N206-E206-O206),0),IF((D206+N206-O206)&gt;0,(D206+N206-O206),0)),2)</f>
        <v>1940.4</v>
      </c>
      <c r="Q206" s="14" t="n">
        <f aca="false">ROUND(IF(E206=0,IF((D206+N206-O206)&lt;0,ABS(D206+N206-O206),0),IF((N206-E206-O206)&lt;0,ABS(N206-E206-O206),0)),2)</f>
        <v>0</v>
      </c>
    </row>
    <row r="207" customFormat="false" ht="15" hidden="false" customHeight="true" outlineLevel="0" collapsed="false">
      <c r="A207" s="12" t="s">
        <v>617</v>
      </c>
      <c r="B207" s="12" t="str">
        <f aca="false">липень!B207</f>
        <v>Сафонов В.В.</v>
      </c>
      <c r="C207" s="12" t="s">
        <v>619</v>
      </c>
      <c r="D207" s="14" t="n">
        <f aca="false">липень!P207</f>
        <v>14325.82</v>
      </c>
      <c r="E207" s="14" t="n">
        <f aca="false">липень!Q207</f>
        <v>0</v>
      </c>
      <c r="F207" s="13" t="n">
        <f aca="false">липень!F207</f>
        <v>0</v>
      </c>
      <c r="G207" s="13" t="n">
        <f aca="false">липень!G207</f>
        <v>70.38</v>
      </c>
      <c r="H207" s="13" t="n">
        <f aca="false">липень!H207</f>
        <v>0</v>
      </c>
      <c r="I207" s="13" t="n">
        <f aca="false">липень!I207</f>
        <v>4.1</v>
      </c>
      <c r="J207" s="14" t="n">
        <f aca="false">ROUND(G207*I207,2)</f>
        <v>288.56</v>
      </c>
      <c r="K207" s="14"/>
      <c r="L207" s="14"/>
      <c r="M207" s="14"/>
      <c r="N207" s="14" t="n">
        <f aca="false">ROUND((G207*I207)-K207-L207-M207,2)</f>
        <v>288.56</v>
      </c>
      <c r="O207" s="14"/>
      <c r="P207" s="14" t="n">
        <f aca="false">ROUND(IF(D207=0,IF((N207-E207-O207)&gt;0,(N207-E207-O207),0),IF((D207+N207-O207)&gt;0,(D207+N207-O207),0)),2)</f>
        <v>14614.38</v>
      </c>
      <c r="Q207" s="14" t="n">
        <f aca="false">ROUND(IF(E207=0,IF((D207+N207-O207)&lt;0,ABS(D207+N207-O207),0),IF((N207-E207-O207)&lt;0,ABS(N207-E207-O207),0)),2)</f>
        <v>0</v>
      </c>
    </row>
    <row r="208" customFormat="false" ht="15" hidden="false" customHeight="true" outlineLevel="0" collapsed="false">
      <c r="A208" s="12" t="s">
        <v>620</v>
      </c>
      <c r="B208" s="12" t="str">
        <f aca="false">липень!B208</f>
        <v>Мільковська Р.Г.</v>
      </c>
      <c r="C208" s="12" t="s">
        <v>622</v>
      </c>
      <c r="D208" s="14" t="n">
        <f aca="false">липень!P208</f>
        <v>10263.47</v>
      </c>
      <c r="E208" s="14" t="n">
        <f aca="false">липень!Q208</f>
        <v>0</v>
      </c>
      <c r="F208" s="13" t="n">
        <f aca="false">липень!F208</f>
        <v>0</v>
      </c>
      <c r="G208" s="13" t="n">
        <f aca="false">липень!G208</f>
        <v>49.88</v>
      </c>
      <c r="H208" s="13" t="n">
        <f aca="false">липень!H208</f>
        <v>0</v>
      </c>
      <c r="I208" s="13" t="n">
        <f aca="false">липень!I208</f>
        <v>4.1</v>
      </c>
      <c r="J208" s="14" t="n">
        <f aca="false">ROUND(G208*I208,2)</f>
        <v>204.51</v>
      </c>
      <c r="K208" s="14"/>
      <c r="L208" s="14"/>
      <c r="M208" s="14"/>
      <c r="N208" s="14" t="n">
        <f aca="false">ROUND((G208*I208)-K208-L208-M208,2)</f>
        <v>204.51</v>
      </c>
      <c r="O208" s="14"/>
      <c r="P208" s="14" t="n">
        <f aca="false">ROUND(IF(D208=0,IF((N208-E208-O208)&gt;0,(N208-E208-O208),0),IF((D208+N208-O208)&gt;0,(D208+N208-O208),0)),2)</f>
        <v>10467.98</v>
      </c>
      <c r="Q208" s="14" t="n">
        <f aca="false">ROUND(IF(E208=0,IF((D208+N208-O208)&lt;0,ABS(D208+N208-O208),0),IF((N208-E208-O208)&lt;0,ABS(N208-E208-O208),0)),2)</f>
        <v>0</v>
      </c>
    </row>
    <row r="209" customFormat="false" ht="15" hidden="false" customHeight="true" outlineLevel="0" collapsed="false">
      <c r="A209" s="12" t="s">
        <v>623</v>
      </c>
      <c r="B209" s="12" t="str">
        <f aca="false">липень!B209</f>
        <v>Заранкін С.М.</v>
      </c>
      <c r="C209" s="12" t="s">
        <v>625</v>
      </c>
      <c r="D209" s="14" t="n">
        <f aca="false">липень!P209</f>
        <v>11903.28</v>
      </c>
      <c r="E209" s="14" t="n">
        <f aca="false">липень!Q209</f>
        <v>0</v>
      </c>
      <c r="F209" s="13" t="n">
        <f aca="false">липень!F209</f>
        <v>0</v>
      </c>
      <c r="G209" s="13" t="n">
        <f aca="false">липень!G209</f>
        <v>62.02</v>
      </c>
      <c r="H209" s="13" t="n">
        <f aca="false">липень!H209</f>
        <v>0</v>
      </c>
      <c r="I209" s="13" t="n">
        <f aca="false">липень!I209</f>
        <v>4.1</v>
      </c>
      <c r="J209" s="14" t="n">
        <f aca="false">ROUND(G209*I209,2)</f>
        <v>254.28</v>
      </c>
      <c r="K209" s="14"/>
      <c r="L209" s="14"/>
      <c r="M209" s="14"/>
      <c r="N209" s="14" t="n">
        <f aca="false">ROUND((G209*I209)-K209-L209-M209,2)</f>
        <v>254.28</v>
      </c>
      <c r="O209" s="14"/>
      <c r="P209" s="14" t="n">
        <f aca="false">ROUND(IF(D209=0,IF((N209-E209-O209)&gt;0,(N209-E209-O209),0),IF((D209+N209-O209)&gt;0,(D209+N209-O209),0)),2)</f>
        <v>12157.56</v>
      </c>
      <c r="Q209" s="14" t="n">
        <f aca="false">ROUND(IF(E209=0,IF((D209+N209-O209)&lt;0,ABS(D209+N209-O209),0),IF((N209-E209-O209)&lt;0,ABS(N209-E209-O209),0)),2)</f>
        <v>0</v>
      </c>
    </row>
    <row r="210" customFormat="false" ht="15" hidden="false" customHeight="true" outlineLevel="0" collapsed="false">
      <c r="A210" s="12" t="s">
        <v>626</v>
      </c>
      <c r="B210" s="12" t="str">
        <f aca="false">липень!B210</f>
        <v>Сіянко О.М.</v>
      </c>
      <c r="C210" s="12" t="s">
        <v>628</v>
      </c>
      <c r="D210" s="14" t="n">
        <f aca="false">липень!P210</f>
        <v>5066.04</v>
      </c>
      <c r="E210" s="14" t="n">
        <f aca="false">липень!Q210</f>
        <v>0</v>
      </c>
      <c r="F210" s="13" t="n">
        <f aca="false">липень!F210</f>
        <v>0</v>
      </c>
      <c r="G210" s="13" t="n">
        <f aca="false">липень!G210</f>
        <v>67.6</v>
      </c>
      <c r="H210" s="13" t="n">
        <f aca="false">липень!H210</f>
        <v>0</v>
      </c>
      <c r="I210" s="13" t="n">
        <f aca="false">липень!I210</f>
        <v>4.1</v>
      </c>
      <c r="J210" s="14" t="n">
        <f aca="false">ROUND(G210*I210,2)</f>
        <v>277.16</v>
      </c>
      <c r="K210" s="14"/>
      <c r="L210" s="14"/>
      <c r="M210" s="14"/>
      <c r="N210" s="14" t="n">
        <f aca="false">ROUND((G210*I210)-K210-L210-M210,2)</f>
        <v>277.16</v>
      </c>
      <c r="O210" s="14"/>
      <c r="P210" s="14" t="n">
        <f aca="false">ROUND(IF(D210=0,IF((N210-E210-O210)&gt;0,(N210-E210-O210),0),IF((D210+N210-O210)&gt;0,(D210+N210-O210),0)),2)</f>
        <v>5343.2</v>
      </c>
      <c r="Q210" s="14" t="n">
        <f aca="false">ROUND(IF(E210=0,IF((D210+N210-O210)&lt;0,ABS(D210+N210-O210),0),IF((N210-E210-O210)&lt;0,ABS(N210-E210-O210),0)),2)</f>
        <v>0</v>
      </c>
    </row>
    <row r="211" customFormat="false" ht="15" hidden="false" customHeight="true" outlineLevel="0" collapsed="false">
      <c r="A211" s="12" t="s">
        <v>629</v>
      </c>
      <c r="B211" s="12" t="str">
        <f aca="false">липень!B211</f>
        <v>Осипов В.В.</v>
      </c>
      <c r="C211" s="12" t="s">
        <v>631</v>
      </c>
      <c r="D211" s="14" t="n">
        <f aca="false">липень!P211</f>
        <v>11879.6</v>
      </c>
      <c r="E211" s="14" t="n">
        <f aca="false">липень!Q211</f>
        <v>0</v>
      </c>
      <c r="F211" s="13" t="n">
        <f aca="false">липень!F211</f>
        <v>0</v>
      </c>
      <c r="G211" s="13" t="n">
        <f aca="false">липень!G211</f>
        <v>70.42</v>
      </c>
      <c r="H211" s="13" t="n">
        <f aca="false">липень!H211</f>
        <v>0</v>
      </c>
      <c r="I211" s="13" t="n">
        <f aca="false">липень!I211</f>
        <v>4.1</v>
      </c>
      <c r="J211" s="14" t="n">
        <f aca="false">ROUND(G211*I211,2)</f>
        <v>288.72</v>
      </c>
      <c r="K211" s="14"/>
      <c r="L211" s="14"/>
      <c r="M211" s="14"/>
      <c r="N211" s="14" t="n">
        <f aca="false">ROUND((G211*I211)-K211-L211-M211,2)</f>
        <v>288.72</v>
      </c>
      <c r="O211" s="14"/>
      <c r="P211" s="14" t="n">
        <f aca="false">ROUND(IF(D211=0,IF((N211-E211-O211)&gt;0,(N211-E211-O211),0),IF((D211+N211-O211)&gt;0,(D211+N211-O211),0)),2)</f>
        <v>12168.32</v>
      </c>
      <c r="Q211" s="14" t="n">
        <f aca="false">ROUND(IF(E211=0,IF((D211+N211-O211)&lt;0,ABS(D211+N211-O211),0),IF((N211-E211-O211)&lt;0,ABS(N211-E211-O211),0)),2)</f>
        <v>0</v>
      </c>
    </row>
    <row r="212" customFormat="false" ht="15" hidden="false" customHeight="true" outlineLevel="0" collapsed="false">
      <c r="A212" s="12" t="s">
        <v>632</v>
      </c>
      <c r="B212" s="12" t="str">
        <f aca="false">липень!B212</f>
        <v>Перепьолкін А.Л.</v>
      </c>
      <c r="C212" s="12" t="s">
        <v>634</v>
      </c>
      <c r="D212" s="14" t="n">
        <f aca="false">липень!P212</f>
        <v>1429.26</v>
      </c>
      <c r="E212" s="14" t="n">
        <f aca="false">липень!Q212</f>
        <v>0</v>
      </c>
      <c r="F212" s="13" t="n">
        <f aca="false">липень!F212</f>
        <v>0</v>
      </c>
      <c r="G212" s="13" t="n">
        <f aca="false">липень!G212</f>
        <v>49.8</v>
      </c>
      <c r="H212" s="13" t="n">
        <f aca="false">липень!H212</f>
        <v>0</v>
      </c>
      <c r="I212" s="13" t="n">
        <f aca="false">липень!I212</f>
        <v>4.1</v>
      </c>
      <c r="J212" s="14" t="n">
        <f aca="false">ROUND(G212*I212,2)</f>
        <v>204.18</v>
      </c>
      <c r="K212" s="14"/>
      <c r="L212" s="14"/>
      <c r="M212" s="14"/>
      <c r="N212" s="14" t="n">
        <f aca="false">ROUND((G212*I212)-K212-L212-M212,2)</f>
        <v>204.18</v>
      </c>
      <c r="O212" s="14"/>
      <c r="P212" s="14" t="n">
        <f aca="false">ROUND(IF(D212=0,IF((N212-E212-O212)&gt;0,(N212-E212-O212),0),IF((D212+N212-O212)&gt;0,(D212+N212-O212),0)),2)</f>
        <v>1633.44</v>
      </c>
      <c r="Q212" s="14" t="n">
        <f aca="false">ROUND(IF(E212=0,IF((D212+N212-O212)&lt;0,ABS(D212+N212-O212),0),IF((N212-E212-O212)&lt;0,ABS(N212-E212-O212),0)),2)</f>
        <v>0</v>
      </c>
    </row>
    <row r="213" customFormat="false" ht="15" hidden="false" customHeight="true" outlineLevel="0" collapsed="false">
      <c r="A213" s="12" t="s">
        <v>635</v>
      </c>
      <c r="B213" s="12" t="str">
        <f aca="false">липень!B213</f>
        <v>Синегрибова В.В.</v>
      </c>
      <c r="C213" s="12" t="s">
        <v>637</v>
      </c>
      <c r="D213" s="14" t="n">
        <f aca="false">липень!P213</f>
        <v>3029.61</v>
      </c>
      <c r="E213" s="14" t="n">
        <f aca="false">липень!Q213</f>
        <v>0</v>
      </c>
      <c r="F213" s="13" t="n">
        <f aca="false">липень!F213</f>
        <v>0</v>
      </c>
      <c r="G213" s="13" t="n">
        <f aca="false">липень!G213</f>
        <v>62.7</v>
      </c>
      <c r="H213" s="13" t="n">
        <f aca="false">липень!H213</f>
        <v>0</v>
      </c>
      <c r="I213" s="13" t="n">
        <f aca="false">липень!I213</f>
        <v>4.1</v>
      </c>
      <c r="J213" s="14" t="n">
        <f aca="false">ROUND(G213*I213,2)</f>
        <v>257.07</v>
      </c>
      <c r="K213" s="14"/>
      <c r="L213" s="14"/>
      <c r="M213" s="14"/>
      <c r="N213" s="14" t="n">
        <f aca="false">ROUND((G213*I213)-K213-L213-M213,2)</f>
        <v>257.07</v>
      </c>
      <c r="O213" s="14"/>
      <c r="P213" s="14" t="n">
        <f aca="false">ROUND(IF(D213=0,IF((N213-E213-O213)&gt;0,(N213-E213-O213),0),IF((D213+N213-O213)&gt;0,(D213+N213-O213),0)),2)</f>
        <v>3286.68</v>
      </c>
      <c r="Q213" s="14" t="n">
        <f aca="false">ROUND(IF(E213=0,IF((D213+N213-O213)&lt;0,ABS(D213+N213-O213),0),IF((N213-E213-O213)&lt;0,ABS(N213-E213-O213),0)),2)</f>
        <v>0</v>
      </c>
    </row>
    <row r="214" customFormat="false" ht="15" hidden="false" customHeight="true" outlineLevel="0" collapsed="false">
      <c r="A214" s="12" t="s">
        <v>638</v>
      </c>
      <c r="B214" s="12" t="str">
        <f aca="false">липень!B214</f>
        <v>Юдін М.В.</v>
      </c>
      <c r="C214" s="12" t="s">
        <v>640</v>
      </c>
      <c r="D214" s="14" t="n">
        <f aca="false">липень!P214</f>
        <v>1951.6</v>
      </c>
      <c r="E214" s="14" t="n">
        <f aca="false">липень!Q214</f>
        <v>0</v>
      </c>
      <c r="F214" s="13" t="n">
        <f aca="false">липень!F214</f>
        <v>0</v>
      </c>
      <c r="G214" s="13" t="n">
        <f aca="false">липень!G214</f>
        <v>68</v>
      </c>
      <c r="H214" s="13" t="n">
        <f aca="false">липень!H214</f>
        <v>0</v>
      </c>
      <c r="I214" s="13" t="n">
        <f aca="false">липень!I214</f>
        <v>4.1</v>
      </c>
      <c r="J214" s="14" t="n">
        <f aca="false">ROUND(G214*I214,2)</f>
        <v>278.8</v>
      </c>
      <c r="K214" s="14"/>
      <c r="L214" s="14"/>
      <c r="M214" s="14"/>
      <c r="N214" s="14" t="n">
        <f aca="false">ROUND((G214*I214)-K214-L214-M214,2)</f>
        <v>278.8</v>
      </c>
      <c r="O214" s="14"/>
      <c r="P214" s="14" t="n">
        <f aca="false">ROUND(IF(D214=0,IF((N214-E214-O214)&gt;0,(N214-E214-O214),0),IF((D214+N214-O214)&gt;0,(D214+N214-O214),0)),2)</f>
        <v>2230.4</v>
      </c>
      <c r="Q214" s="14" t="n">
        <f aca="false">ROUND(IF(E214=0,IF((D214+N214-O214)&lt;0,ABS(D214+N214-O214),0),IF((N214-E214-O214)&lt;0,ABS(N214-E214-O214),0)),2)</f>
        <v>0</v>
      </c>
    </row>
    <row r="215" customFormat="false" ht="15" hidden="false" customHeight="true" outlineLevel="0" collapsed="false">
      <c r="A215" s="12" t="s">
        <v>641</v>
      </c>
      <c r="B215" s="12" t="str">
        <f aca="false">липень!B215</f>
        <v>Сергєєва Н.О.</v>
      </c>
      <c r="C215" s="12" t="s">
        <v>643</v>
      </c>
      <c r="D215" s="14" t="n">
        <f aca="false">липень!P215</f>
        <v>2055.09</v>
      </c>
      <c r="E215" s="14" t="n">
        <f aca="false">липень!Q215</f>
        <v>0</v>
      </c>
      <c r="F215" s="13" t="n">
        <f aca="false">липень!F215</f>
        <v>0</v>
      </c>
      <c r="G215" s="13" t="n">
        <f aca="false">липень!G215</f>
        <v>72.1</v>
      </c>
      <c r="H215" s="13" t="n">
        <f aca="false">липень!H215</f>
        <v>0</v>
      </c>
      <c r="I215" s="13" t="n">
        <f aca="false">липень!I215</f>
        <v>4.1</v>
      </c>
      <c r="J215" s="14" t="n">
        <f aca="false">ROUND(G215*I215,2)</f>
        <v>295.61</v>
      </c>
      <c r="K215" s="14"/>
      <c r="L215" s="14"/>
      <c r="M215" s="14"/>
      <c r="N215" s="14" t="n">
        <f aca="false">ROUND((G215*I215)-K215-L215-M215,2)</f>
        <v>295.61</v>
      </c>
      <c r="O215" s="14"/>
      <c r="P215" s="14" t="n">
        <f aca="false">ROUND(IF(D215=0,IF((N215-E215-O215)&gt;0,(N215-E215-O215),0),IF((D215+N215-O215)&gt;0,(D215+N215-O215),0)),2)</f>
        <v>2350.7</v>
      </c>
      <c r="Q215" s="14" t="n">
        <f aca="false">ROUND(IF(E215=0,IF((D215+N215-O215)&lt;0,ABS(D215+N215-O215),0),IF((N215-E215-O215)&lt;0,ABS(N215-E215-O215),0)),2)</f>
        <v>0</v>
      </c>
    </row>
    <row r="216" customFormat="false" ht="15" hidden="false" customHeight="true" outlineLevel="0" collapsed="false">
      <c r="A216" s="12" t="s">
        <v>644</v>
      </c>
      <c r="B216" s="12" t="str">
        <f aca="false">липень!B216</f>
        <v>Рева І.П.</v>
      </c>
      <c r="C216" s="12" t="s">
        <v>646</v>
      </c>
      <c r="D216" s="14" t="n">
        <f aca="false">липень!P216</f>
        <v>1426.95</v>
      </c>
      <c r="E216" s="14" t="n">
        <f aca="false">липень!Q216</f>
        <v>0</v>
      </c>
      <c r="F216" s="13" t="n">
        <f aca="false">липень!F216</f>
        <v>0</v>
      </c>
      <c r="G216" s="13" t="n">
        <f aca="false">липень!G216</f>
        <v>49.72</v>
      </c>
      <c r="H216" s="13" t="n">
        <f aca="false">липень!H216</f>
        <v>0</v>
      </c>
      <c r="I216" s="13" t="n">
        <f aca="false">липень!I216</f>
        <v>4.1</v>
      </c>
      <c r="J216" s="14" t="n">
        <f aca="false">ROUND(G216*I216,2)</f>
        <v>203.85</v>
      </c>
      <c r="K216" s="14"/>
      <c r="L216" s="14"/>
      <c r="M216" s="14"/>
      <c r="N216" s="14" t="n">
        <f aca="false">ROUND((G216*I216)-K216-L216-M216,2)</f>
        <v>203.85</v>
      </c>
      <c r="O216" s="14"/>
      <c r="P216" s="14" t="n">
        <f aca="false">ROUND(IF(D216=0,IF((N216-E216-O216)&gt;0,(N216-E216-O216),0),IF((D216+N216-O216)&gt;0,(D216+N216-O216),0)),2)</f>
        <v>1630.8</v>
      </c>
      <c r="Q216" s="14" t="n">
        <f aca="false">ROUND(IF(E216=0,IF((D216+N216-O216)&lt;0,ABS(D216+N216-O216),0),IF((N216-E216-O216)&lt;0,ABS(N216-E216-O216),0)),2)</f>
        <v>0</v>
      </c>
    </row>
    <row r="217" customFormat="false" ht="15" hidden="false" customHeight="true" outlineLevel="0" collapsed="false">
      <c r="A217" s="12" t="s">
        <v>647</v>
      </c>
      <c r="B217" s="12" t="str">
        <f aca="false">липень!B217</f>
        <v>Почапський Ю.Т.</v>
      </c>
      <c r="C217" s="12" t="s">
        <v>649</v>
      </c>
      <c r="D217" s="14" t="n">
        <f aca="false">липень!P217</f>
        <v>1249.65</v>
      </c>
      <c r="E217" s="14" t="n">
        <f aca="false">липень!Q217</f>
        <v>0</v>
      </c>
      <c r="F217" s="13" t="n">
        <f aca="false">липень!F217</f>
        <v>0</v>
      </c>
      <c r="G217" s="13" t="n">
        <f aca="false">липень!G217</f>
        <v>62.39</v>
      </c>
      <c r="H217" s="13" t="n">
        <f aca="false">липень!H217</f>
        <v>0</v>
      </c>
      <c r="I217" s="13" t="n">
        <f aca="false">липень!I217</f>
        <v>4.1</v>
      </c>
      <c r="J217" s="14" t="n">
        <f aca="false">ROUND(G217*I217,2)</f>
        <v>255.8</v>
      </c>
      <c r="K217" s="14"/>
      <c r="L217" s="14"/>
      <c r="M217" s="14"/>
      <c r="N217" s="14" t="n">
        <f aca="false">ROUND((G217*I217)-K217-L217-M217,2)</f>
        <v>255.8</v>
      </c>
      <c r="O217" s="14"/>
      <c r="P217" s="14" t="n">
        <f aca="false">ROUND(IF(D217=0,IF((N217-E217-O217)&gt;0,(N217-E217-O217),0),IF((D217+N217-O217)&gt;0,(D217+N217-O217),0)),2)</f>
        <v>1505.45</v>
      </c>
      <c r="Q217" s="14" t="n">
        <f aca="false">ROUND(IF(E217=0,IF((D217+N217-O217)&lt;0,ABS(D217+N217-O217),0),IF((N217-E217-O217)&lt;0,ABS(N217-E217-O217),0)),2)</f>
        <v>0</v>
      </c>
    </row>
    <row r="218" customFormat="false" ht="15" hidden="false" customHeight="true" outlineLevel="0" collapsed="false">
      <c r="A218" s="12" t="s">
        <v>650</v>
      </c>
      <c r="B218" s="12" t="str">
        <f aca="false">липень!B218</f>
        <v>Васильченко М.П.</v>
      </c>
      <c r="C218" s="12" t="s">
        <v>652</v>
      </c>
      <c r="D218" s="14" t="n">
        <f aca="false">липень!P218</f>
        <v>14442.54</v>
      </c>
      <c r="E218" s="14" t="n">
        <f aca="false">липень!Q218</f>
        <v>0</v>
      </c>
      <c r="F218" s="13" t="n">
        <f aca="false">липень!F218</f>
        <v>0</v>
      </c>
      <c r="G218" s="13" t="n">
        <f aca="false">липень!G218</f>
        <v>67.47</v>
      </c>
      <c r="H218" s="13" t="n">
        <f aca="false">липень!H218</f>
        <v>0</v>
      </c>
      <c r="I218" s="13" t="n">
        <f aca="false">липень!I218</f>
        <v>4.1</v>
      </c>
      <c r="J218" s="14" t="n">
        <f aca="false">ROUND(G218*I218,2)</f>
        <v>276.63</v>
      </c>
      <c r="K218" s="14"/>
      <c r="L218" s="14"/>
      <c r="M218" s="14"/>
      <c r="N218" s="14" t="n">
        <f aca="false">ROUND((G218*I218)-K218-L218-M218,2)</f>
        <v>276.63</v>
      </c>
      <c r="O218" s="14"/>
      <c r="P218" s="14" t="n">
        <f aca="false">ROUND(IF(D218=0,IF((N218-E218-O218)&gt;0,(N218-E218-O218),0),IF((D218+N218-O218)&gt;0,(D218+N218-O218),0)),2)</f>
        <v>14719.17</v>
      </c>
      <c r="Q218" s="14" t="n">
        <f aca="false">ROUND(IF(E218=0,IF((D218+N218-O218)&lt;0,ABS(D218+N218-O218),0),IF((N218-E218-O218)&lt;0,ABS(N218-E218-O218),0)),2)</f>
        <v>0</v>
      </c>
    </row>
    <row r="219" customFormat="false" ht="15" hidden="false" customHeight="true" outlineLevel="0" collapsed="false">
      <c r="A219" s="12" t="s">
        <v>653</v>
      </c>
      <c r="B219" s="12" t="str">
        <f aca="false">липень!B219</f>
        <v>Черненко Т.А.</v>
      </c>
      <c r="C219" s="12" t="s">
        <v>655</v>
      </c>
      <c r="D219" s="14" t="n">
        <f aca="false">липень!P219</f>
        <v>2020.76</v>
      </c>
      <c r="E219" s="14" t="n">
        <f aca="false">липень!Q219</f>
        <v>0</v>
      </c>
      <c r="F219" s="13" t="n">
        <f aca="false">липень!F219</f>
        <v>0</v>
      </c>
      <c r="G219" s="13" t="n">
        <f aca="false">липень!G219</f>
        <v>70.41</v>
      </c>
      <c r="H219" s="13" t="n">
        <f aca="false">липень!H219</f>
        <v>0</v>
      </c>
      <c r="I219" s="13" t="n">
        <f aca="false">липень!I219</f>
        <v>4.1</v>
      </c>
      <c r="J219" s="14" t="n">
        <f aca="false">ROUND(G219*I219,2)</f>
        <v>288.68</v>
      </c>
      <c r="K219" s="14"/>
      <c r="L219" s="14"/>
      <c r="M219" s="14"/>
      <c r="N219" s="14" t="n">
        <f aca="false">ROUND((G219*I219)-K219-L219-M219,2)</f>
        <v>288.68</v>
      </c>
      <c r="O219" s="14"/>
      <c r="P219" s="14" t="n">
        <f aca="false">ROUND(IF(D219=0,IF((N219-E219-O219)&gt;0,(N219-E219-O219),0),IF((D219+N219-O219)&gt;0,(D219+N219-O219),0)),2)</f>
        <v>2309.44</v>
      </c>
      <c r="Q219" s="14" t="n">
        <f aca="false">ROUND(IF(E219=0,IF((D219+N219-O219)&lt;0,ABS(D219+N219-O219),0),IF((N219-E219-O219)&lt;0,ABS(N219-E219-O219),0)),2)</f>
        <v>0</v>
      </c>
    </row>
    <row r="220" customFormat="false" ht="15" hidden="false" customHeight="true" outlineLevel="0" collapsed="false">
      <c r="A220" s="12" t="s">
        <v>656</v>
      </c>
      <c r="B220" s="12" t="str">
        <f aca="false">липень!B220</f>
        <v>Сиротенко Я.О.</v>
      </c>
      <c r="C220" s="12" t="s">
        <v>658</v>
      </c>
      <c r="D220" s="14" t="n">
        <f aca="false">липень!P220</f>
        <v>5471.69</v>
      </c>
      <c r="E220" s="14" t="n">
        <f aca="false">липень!Q220</f>
        <v>0</v>
      </c>
      <c r="F220" s="13" t="n">
        <f aca="false">липень!F220</f>
        <v>0</v>
      </c>
      <c r="G220" s="13" t="n">
        <f aca="false">липень!G220</f>
        <v>49.73</v>
      </c>
      <c r="H220" s="13" t="n">
        <f aca="false">липень!H220</f>
        <v>0</v>
      </c>
      <c r="I220" s="13" t="n">
        <f aca="false">липень!I220</f>
        <v>4.1</v>
      </c>
      <c r="J220" s="14" t="n">
        <f aca="false">ROUND(G220*I220,2)</f>
        <v>203.89</v>
      </c>
      <c r="K220" s="14"/>
      <c r="L220" s="14"/>
      <c r="M220" s="14"/>
      <c r="N220" s="14" t="n">
        <f aca="false">ROUND((G220*I220)-K220-L220-M220,2)</f>
        <v>203.89</v>
      </c>
      <c r="O220" s="14"/>
      <c r="P220" s="14" t="n">
        <f aca="false">ROUND(IF(D220=0,IF((N220-E220-O220)&gt;0,(N220-E220-O220),0),IF((D220+N220-O220)&gt;0,(D220+N220-O220),0)),2)</f>
        <v>5675.58</v>
      </c>
      <c r="Q220" s="14" t="n">
        <f aca="false">ROUND(IF(E220=0,IF((D220+N220-O220)&lt;0,ABS(D220+N220-O220),0),IF((N220-E220-O220)&lt;0,ABS(N220-E220-O220),0)),2)</f>
        <v>0</v>
      </c>
    </row>
    <row r="221" customFormat="false" ht="15.75" hidden="false" customHeight="true" outlineLevel="0" collapsed="false">
      <c r="A221" s="12" t="s">
        <v>659</v>
      </c>
      <c r="B221" s="12" t="str">
        <f aca="false">липень!B221</f>
        <v>Корнюшенко О.О.</v>
      </c>
      <c r="C221" s="12" t="s">
        <v>661</v>
      </c>
      <c r="D221" s="14" t="n">
        <f aca="false">липень!P221</f>
        <v>9304.2</v>
      </c>
      <c r="E221" s="14" t="n">
        <f aca="false">липень!Q221</f>
        <v>0</v>
      </c>
      <c r="F221" s="13" t="n">
        <f aca="false">липень!F221</f>
        <v>0</v>
      </c>
      <c r="G221" s="13" t="n">
        <f aca="false">липень!G221</f>
        <v>62</v>
      </c>
      <c r="H221" s="13" t="n">
        <f aca="false">липень!H221</f>
        <v>0</v>
      </c>
      <c r="I221" s="13" t="n">
        <f aca="false">липень!I221</f>
        <v>4.1</v>
      </c>
      <c r="J221" s="14" t="n">
        <f aca="false">ROUND(G221*I221,2)</f>
        <v>254.2</v>
      </c>
      <c r="K221" s="14"/>
      <c r="L221" s="14"/>
      <c r="M221" s="14"/>
      <c r="N221" s="14" t="n">
        <f aca="false">ROUND((G221*I221)-K221-L221-M221,2)</f>
        <v>254.2</v>
      </c>
      <c r="O221" s="14"/>
      <c r="P221" s="14" t="n">
        <f aca="false">ROUND(IF(D221=0,IF((N221-E221-O221)&gt;0,(N221-E221-O221),0),IF((D221+N221-O221)&gt;0,(D221+N221-O221),0)),2)</f>
        <v>9558.4</v>
      </c>
      <c r="Q221" s="14" t="n">
        <f aca="false">ROUND(IF(E221=0,IF((D221+N221-O221)&lt;0,ABS(D221+N221-O221),0),IF((N221-E221-O221)&lt;0,ABS(N221-E221-O221),0)),2)</f>
        <v>0</v>
      </c>
    </row>
    <row r="222" customFormat="false" ht="15" hidden="false" customHeight="true" outlineLevel="0" collapsed="false">
      <c r="A222" s="15"/>
      <c r="B222" s="15"/>
      <c r="C222" s="15"/>
      <c r="D222" s="16" t="n">
        <f aca="false">SUM(D7:D221)</f>
        <v>1094555.58</v>
      </c>
      <c r="E222" s="16" t="n">
        <f aca="false">SUM(E7:E221)</f>
        <v>900.76</v>
      </c>
      <c r="F222" s="16"/>
      <c r="G222" s="20" t="n">
        <f aca="false">SUM(G7:G221)</f>
        <v>11652.42</v>
      </c>
      <c r="H222" s="16" t="n">
        <f aca="false">SUM(H7:H221)</f>
        <v>0</v>
      </c>
      <c r="I222" s="16"/>
      <c r="J222" s="16" t="n">
        <f aca="false">SUM(J7:J221)</f>
        <v>47774.99</v>
      </c>
      <c r="K222" s="16" t="n">
        <f aca="false">SUM(K7:K221)</f>
        <v>0</v>
      </c>
      <c r="L222" s="16" t="n">
        <f aca="false">SUM(L7:L221)</f>
        <v>0</v>
      </c>
      <c r="M222" s="16" t="n">
        <f aca="false">SUM(M7:M221)</f>
        <v>0</v>
      </c>
      <c r="N222" s="16" t="n">
        <f aca="false">SUM(N7:N221)</f>
        <v>47774.99</v>
      </c>
      <c r="O222" s="16" t="n">
        <f aca="false">SUM(O7:O221)</f>
        <v>0</v>
      </c>
      <c r="P222" s="16" t="n">
        <f aca="false">SUM(P7:P221)</f>
        <v>1141922.21</v>
      </c>
      <c r="Q222" s="16" t="n">
        <f aca="false">SUM(Q7:Q221)</f>
        <v>492.4</v>
      </c>
    </row>
    <row r="223" customFormat="false" ht="15.75" hidden="false" customHeight="true" outlineLevel="0" collapsed="false">
      <c r="A223" s="15"/>
      <c r="B223" s="15"/>
      <c r="C223" s="15"/>
      <c r="D223" s="16" t="n">
        <f aca="false">D222-E222</f>
        <v>1093654.82</v>
      </c>
      <c r="E223" s="16"/>
      <c r="F223" s="16"/>
      <c r="G223" s="20"/>
      <c r="H223" s="16"/>
      <c r="I223" s="16"/>
      <c r="J223" s="16"/>
      <c r="K223" s="16"/>
      <c r="L223" s="16"/>
      <c r="M223" s="16"/>
      <c r="N223" s="16"/>
      <c r="O223" s="16"/>
      <c r="P223" s="16" t="n">
        <f aca="false">P222-Q222</f>
        <v>1141429.81</v>
      </c>
      <c r="Q223" s="16"/>
    </row>
    <row r="227" customFormat="false" ht="15" hidden="false" customHeight="false" outlineLevel="0" collapsed="false">
      <c r="U227" s="17" t="n">
        <v>39750.91</v>
      </c>
    </row>
    <row r="228" customFormat="false" ht="15" hidden="false" customHeight="false" outlineLevel="0" collapsed="false">
      <c r="U228" s="17" t="n">
        <f aca="false">U227-O222</f>
        <v>39750.91</v>
      </c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printOptions headings="false" gridLines="false" gridLinesSet="true" horizontalCentered="true" verticalCentered="false"/>
  <pageMargins left="0" right="0" top="0.354166666666667" bottom="0.157638888888889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5"/>
  <sheetViews>
    <sheetView showFormulas="false" showGridLines="true" showRowColHeaders="true" showZeros="false" rightToLeft="false" tabSelected="false" showOutlineSymbols="true" defaultGridColor="true" view="normal" topLeftCell="A202" colorId="64" zoomScale="90" zoomScaleNormal="90" zoomScalePageLayoutView="100" workbookViewId="0">
      <selection pane="topLeft" activeCell="S34" activeCellId="0" sqref="S3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76"/>
    <col collapsed="false" customWidth="true" hidden="false" outlineLevel="0" max="2" min="2" style="1" width="23.25"/>
    <col collapsed="false" customWidth="true" hidden="false" outlineLevel="0" max="3" min="3" style="1" width="7"/>
    <col collapsed="false" customWidth="true" hidden="false" outlineLevel="0" max="4" min="4" style="1" width="9.26"/>
    <col collapsed="false" customWidth="true" hidden="false" outlineLevel="0" max="6" min="6" style="1" width="5.37"/>
    <col collapsed="false" customWidth="true" hidden="false" outlineLevel="0" max="7" min="7" style="1" width="6.88"/>
    <col collapsed="false" customWidth="true" hidden="false" outlineLevel="0" max="8" min="8" style="1" width="5.63"/>
    <col collapsed="false" customWidth="true" hidden="false" outlineLevel="0" max="9" min="9" style="1" width="6.25"/>
    <col collapsed="false" customWidth="true" hidden="false" outlineLevel="0" max="10" min="10" style="1" width="9.12"/>
    <col collapsed="false" customWidth="true" hidden="false" outlineLevel="0" max="11" min="11" style="1" width="6.63"/>
    <col collapsed="false" customWidth="true" hidden="false" outlineLevel="0" max="12" min="12" style="1" width="7.63"/>
    <col collapsed="false" customWidth="true" hidden="false" outlineLevel="0" max="14" min="14" style="1" width="9.12"/>
    <col collapsed="false" customWidth="true" hidden="false" outlineLevel="0" max="15" min="15" style="1" width="9.63"/>
    <col collapsed="false" customWidth="true" hidden="false" outlineLevel="0" max="16" min="16" style="1" width="9.26"/>
    <col collapsed="false" customWidth="true" hidden="false" outlineLevel="0" max="17" min="17" style="1" width="9.12"/>
  </cols>
  <sheetData>
    <row r="1" customFormat="false" ht="15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2" t="s">
        <v>1</v>
      </c>
      <c r="O1" s="2"/>
      <c r="P1" s="2"/>
      <c r="Q1" s="2"/>
    </row>
    <row r="2" customFormat="false" ht="18" hidden="false" customHeight="true" outlineLevel="0" collapsed="false">
      <c r="A2" s="3"/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8.75" hidden="false" customHeight="true" outlineLevel="0" collapsed="false">
      <c r="A3" s="3"/>
      <c r="B3" s="4" t="s">
        <v>669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true" outlineLevel="0" collapsed="false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60" hidden="false" customHeight="true" outlineLevel="0" collapsed="false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7</v>
      </c>
      <c r="Q6" s="19" t="s">
        <v>8</v>
      </c>
    </row>
    <row r="7" customFormat="false" ht="15" hidden="false" customHeight="true" outlineLevel="0" collapsed="false">
      <c r="A7" s="12" t="s">
        <v>19</v>
      </c>
      <c r="B7" s="12" t="str">
        <f aca="false">серпень!B7</f>
        <v>Бережний В.М.</v>
      </c>
      <c r="C7" s="12" t="s">
        <v>21</v>
      </c>
      <c r="D7" s="14" t="n">
        <f aca="false">серпень!P7</f>
        <v>2930.91</v>
      </c>
      <c r="E7" s="14" t="n">
        <f aca="false">серпень!Q7</f>
        <v>0</v>
      </c>
      <c r="F7" s="13" t="n">
        <f aca="false">серпень!F7</f>
        <v>0</v>
      </c>
      <c r="G7" s="13" t="n">
        <f aca="false">серпень!G7</f>
        <v>64.26</v>
      </c>
      <c r="H7" s="13" t="n">
        <f aca="false">серпень!H7</f>
        <v>0</v>
      </c>
      <c r="I7" s="13" t="n">
        <f aca="false">серпень!I7</f>
        <v>4.1</v>
      </c>
      <c r="J7" s="14" t="n">
        <f aca="false">ROUND(G7*I7,2)</f>
        <v>263.47</v>
      </c>
      <c r="K7" s="14"/>
      <c r="L7" s="14"/>
      <c r="M7" s="14"/>
      <c r="N7" s="14" t="n">
        <f aca="false">ROUND((G7*I7)-K7-L7-M7,2)</f>
        <v>263.47</v>
      </c>
      <c r="O7" s="14"/>
      <c r="P7" s="14" t="n">
        <f aca="false">ROUND(IF(D7=0,IF((N7-E7-O7)&gt;0,(N7-E7-O7),0),IF((D7+N7-O7)&gt;0,(D7+N7-O7),0)),2)</f>
        <v>3194.38</v>
      </c>
      <c r="Q7" s="14" t="n">
        <f aca="false">ROUND(IF(E7=0,IF((D7+N7-O7)&lt;0,ABS(D7+N7-O7),0),IF((N7-E7-O7)&lt;0,ABS(N7-E7-O7),0)),2)</f>
        <v>0</v>
      </c>
    </row>
    <row r="8" customFormat="false" ht="15" hidden="false" customHeight="true" outlineLevel="0" collapsed="false">
      <c r="A8" s="12" t="s">
        <v>22</v>
      </c>
      <c r="B8" s="12" t="str">
        <f aca="false">серпень!B8</f>
        <v>Старикова Т.О.</v>
      </c>
      <c r="C8" s="12" t="s">
        <v>24</v>
      </c>
      <c r="D8" s="14" t="n">
        <f aca="false">серпень!P8</f>
        <v>1597.68</v>
      </c>
      <c r="E8" s="14" t="n">
        <f aca="false">серпень!Q8</f>
        <v>0</v>
      </c>
      <c r="F8" s="13" t="n">
        <f aca="false">серпень!F8</f>
        <v>0</v>
      </c>
      <c r="G8" s="13" t="n">
        <f aca="false">серпень!G8</f>
        <v>48.71</v>
      </c>
      <c r="H8" s="13" t="n">
        <f aca="false">серпень!H8</f>
        <v>0</v>
      </c>
      <c r="I8" s="13" t="n">
        <f aca="false">серпень!I8</f>
        <v>4.1</v>
      </c>
      <c r="J8" s="14" t="n">
        <f aca="false">ROUND(G8*I8,2)</f>
        <v>199.71</v>
      </c>
      <c r="K8" s="14"/>
      <c r="L8" s="14"/>
      <c r="M8" s="14"/>
      <c r="N8" s="14" t="n">
        <f aca="false">ROUND((G8*I8)-K8-L8-M8,2)</f>
        <v>199.71</v>
      </c>
      <c r="O8" s="14"/>
      <c r="P8" s="14" t="n">
        <f aca="false">ROUND(IF(D8=0,IF((N8-E8-O8)&gt;0,(N8-E8-O8),0),IF((D8+N8-O8)&gt;0,(D8+N8-O8),0)),2)</f>
        <v>1797.39</v>
      </c>
      <c r="Q8" s="14" t="n">
        <f aca="false">ROUND(IF(E8=0,IF((D8+N8-O8)&lt;0,ABS(D8+N8-O8),0),IF((N8-E8-O8)&lt;0,ABS(N8-E8-O8),0)),2)</f>
        <v>0</v>
      </c>
    </row>
    <row r="9" customFormat="false" ht="15" hidden="false" customHeight="true" outlineLevel="0" collapsed="false">
      <c r="A9" s="12" t="s">
        <v>25</v>
      </c>
      <c r="B9" s="12" t="str">
        <f aca="false">серпень!B9</f>
        <v>Мазур Т.В.</v>
      </c>
      <c r="C9" s="12" t="s">
        <v>27</v>
      </c>
      <c r="D9" s="14" t="n">
        <f aca="false">серпень!P9</f>
        <v>1291.5</v>
      </c>
      <c r="E9" s="14" t="n">
        <f aca="false">серпень!Q9</f>
        <v>0</v>
      </c>
      <c r="F9" s="13" t="n">
        <f aca="false">серпень!F9</f>
        <v>0</v>
      </c>
      <c r="G9" s="13" t="n">
        <f aca="false">серпень!G9</f>
        <v>35</v>
      </c>
      <c r="H9" s="13" t="n">
        <f aca="false">серпень!H9</f>
        <v>0</v>
      </c>
      <c r="I9" s="13" t="n">
        <f aca="false">серпень!I9</f>
        <v>4.1</v>
      </c>
      <c r="J9" s="14" t="n">
        <f aca="false">ROUND(G9*I9,2)</f>
        <v>143.5</v>
      </c>
      <c r="K9" s="14"/>
      <c r="L9" s="14"/>
      <c r="M9" s="14"/>
      <c r="N9" s="14" t="n">
        <f aca="false">ROUND((G9*I9)-K9-L9-M9,2)</f>
        <v>143.5</v>
      </c>
      <c r="O9" s="14"/>
      <c r="P9" s="14" t="n">
        <f aca="false">ROUND(IF(D9=0,IF((N9-E9-O9)&gt;0,(N9-E9-O9),0),IF((D9+N9-O9)&gt;0,(D9+N9-O9),0)),2)</f>
        <v>1435</v>
      </c>
      <c r="Q9" s="14" t="n">
        <f aca="false">ROUND(IF(E9=0,IF((D9+N9-O9)&lt;0,ABS(D9+N9-O9),0),IF((N9-E9-O9)&lt;0,ABS(N9-E9-O9),0)),2)</f>
        <v>0</v>
      </c>
    </row>
    <row r="10" customFormat="false" ht="15" hidden="false" customHeight="true" outlineLevel="0" collapsed="false">
      <c r="A10" s="12" t="s">
        <v>28</v>
      </c>
      <c r="B10" s="12" t="str">
        <f aca="false">серпень!B10</f>
        <v>Сокол О.В.</v>
      </c>
      <c r="C10" s="12" t="s">
        <v>30</v>
      </c>
      <c r="D10" s="14" t="n">
        <f aca="false">серпень!P10</f>
        <v>1767.92</v>
      </c>
      <c r="E10" s="14" t="n">
        <f aca="false">серпень!Q10</f>
        <v>0</v>
      </c>
      <c r="F10" s="13" t="n">
        <f aca="false">серпень!F10</f>
        <v>0</v>
      </c>
      <c r="G10" s="13" t="n">
        <f aca="false">серпень!G10</f>
        <v>61.6</v>
      </c>
      <c r="H10" s="13" t="n">
        <f aca="false">серпень!H10</f>
        <v>0</v>
      </c>
      <c r="I10" s="13" t="n">
        <f aca="false">серпень!I10</f>
        <v>4.1</v>
      </c>
      <c r="J10" s="14" t="n">
        <f aca="false">ROUND(G10*I10,2)</f>
        <v>252.56</v>
      </c>
      <c r="K10" s="14"/>
      <c r="L10" s="14"/>
      <c r="M10" s="14"/>
      <c r="N10" s="14" t="n">
        <f aca="false">ROUND((G10*I10)-K10-L10-M10,2)</f>
        <v>252.56</v>
      </c>
      <c r="O10" s="14"/>
      <c r="P10" s="14" t="n">
        <f aca="false">ROUND(IF(D10=0,IF((N10-E10-O10)&gt;0,(N10-E10-O10),0),IF((D10+N10-O10)&gt;0,(D10+N10-O10),0)),2)</f>
        <v>2020.48</v>
      </c>
      <c r="Q10" s="14" t="n">
        <f aca="false">ROUND(IF(E10=0,IF((D10+N10-O10)&lt;0,ABS(D10+N10-O10),0),IF((N10-E10-O10)&lt;0,ABS(N10-E10-O10),0)),2)</f>
        <v>0</v>
      </c>
    </row>
    <row r="11" customFormat="false" ht="15" hidden="false" customHeight="true" outlineLevel="0" collapsed="false">
      <c r="A11" s="12" t="s">
        <v>31</v>
      </c>
      <c r="B11" s="12" t="str">
        <f aca="false">серпень!B11</f>
        <v>Семко Л.І.</v>
      </c>
      <c r="C11" s="12" t="s">
        <v>33</v>
      </c>
      <c r="D11" s="14" t="n">
        <f aca="false">серпень!P11</f>
        <v>3573.39</v>
      </c>
      <c r="E11" s="14" t="n">
        <f aca="false">серпень!Q11</f>
        <v>0</v>
      </c>
      <c r="F11" s="13" t="n">
        <f aca="false">серпень!F11</f>
        <v>0</v>
      </c>
      <c r="G11" s="13" t="n">
        <f aca="false">серпень!G11</f>
        <v>28.34</v>
      </c>
      <c r="H11" s="13" t="n">
        <f aca="false">серпень!H11</f>
        <v>0</v>
      </c>
      <c r="I11" s="13" t="n">
        <f aca="false">серпень!I11</f>
        <v>4.1</v>
      </c>
      <c r="J11" s="14" t="n">
        <f aca="false">ROUND(G11*I11,2)</f>
        <v>116.19</v>
      </c>
      <c r="K11" s="14"/>
      <c r="L11" s="14"/>
      <c r="M11" s="14"/>
      <c r="N11" s="14" t="n">
        <f aca="false">ROUND((G11*I11)-K11-L11-M11,2)</f>
        <v>116.19</v>
      </c>
      <c r="O11" s="14"/>
      <c r="P11" s="14" t="n">
        <f aca="false">ROUND(IF(D11=0,IF((N11-E11-O11)&gt;0,(N11-E11-O11),0),IF((D11+N11-O11)&gt;0,(D11+N11-O11),0)),2)</f>
        <v>3689.58</v>
      </c>
      <c r="Q11" s="14" t="n">
        <f aca="false">ROUND(IF(E11=0,IF((D11+N11-O11)&lt;0,ABS(D11+N11-O11),0),IF((N11-E11-O11)&lt;0,ABS(N11-E11-O11),0)),2)</f>
        <v>0</v>
      </c>
    </row>
    <row r="12" customFormat="false" ht="15" hidden="false" customHeight="true" outlineLevel="0" collapsed="false">
      <c r="A12" s="12" t="s">
        <v>31</v>
      </c>
      <c r="B12" s="12" t="str">
        <f aca="false">серпень!B12</f>
        <v>Гаркуша Н.І.</v>
      </c>
      <c r="C12" s="12" t="s">
        <v>35</v>
      </c>
      <c r="D12" s="14" t="n">
        <f aca="false">серпень!P12</f>
        <v>2011.74</v>
      </c>
      <c r="E12" s="14" t="n">
        <f aca="false">серпень!Q12</f>
        <v>0</v>
      </c>
      <c r="F12" s="13" t="n">
        <f aca="false">серпень!F12</f>
        <v>0</v>
      </c>
      <c r="G12" s="13" t="n">
        <f aca="false">серпень!G12</f>
        <v>36.66</v>
      </c>
      <c r="H12" s="13" t="n">
        <f aca="false">серпень!H12</f>
        <v>0</v>
      </c>
      <c r="I12" s="13" t="n">
        <f aca="false">серпень!I12</f>
        <v>4.1</v>
      </c>
      <c r="J12" s="14" t="n">
        <f aca="false">ROUND(G12*I12,2)</f>
        <v>150.31</v>
      </c>
      <c r="K12" s="14"/>
      <c r="L12" s="14"/>
      <c r="M12" s="14"/>
      <c r="N12" s="14" t="n">
        <f aca="false">ROUND((G12*I12)-K12-L12-M12,2)</f>
        <v>150.31</v>
      </c>
      <c r="O12" s="14"/>
      <c r="P12" s="14" t="n">
        <f aca="false">ROUND(IF(D12=0,IF((N12-E12-O12)&gt;0,(N12-E12-O12),0),IF((D12+N12-O12)&gt;0,(D12+N12-O12),0)),2)</f>
        <v>2162.05</v>
      </c>
      <c r="Q12" s="14" t="n">
        <f aca="false">ROUND(IF(E12=0,IF((D12+N12-O12)&lt;0,ABS(D12+N12-O12),0),IF((N12-E12-O12)&lt;0,ABS(N12-E12-O12),0)),2)</f>
        <v>0</v>
      </c>
    </row>
    <row r="13" customFormat="false" ht="15" hidden="false" customHeight="true" outlineLevel="0" collapsed="false">
      <c r="A13" s="12" t="s">
        <v>36</v>
      </c>
      <c r="B13" s="12" t="str">
        <f aca="false">серпень!B13</f>
        <v>Андріяшев В.М</v>
      </c>
      <c r="C13" s="12" t="s">
        <v>38</v>
      </c>
      <c r="D13" s="14" t="n">
        <f aca="false">серпень!P13</f>
        <v>1768</v>
      </c>
      <c r="E13" s="14" t="n">
        <f aca="false">серпень!Q13</f>
        <v>0</v>
      </c>
      <c r="F13" s="13" t="n">
        <f aca="false">серпень!F13</f>
        <v>0</v>
      </c>
      <c r="G13" s="13" t="n">
        <f aca="false">серпень!G13</f>
        <v>49.8</v>
      </c>
      <c r="H13" s="13" t="n">
        <f aca="false">серпень!H13</f>
        <v>0</v>
      </c>
      <c r="I13" s="13" t="n">
        <f aca="false">серпень!I13</f>
        <v>4.1</v>
      </c>
      <c r="J13" s="14" t="n">
        <f aca="false">ROUND(G13*I13,2)</f>
        <v>204.18</v>
      </c>
      <c r="K13" s="14"/>
      <c r="L13" s="14"/>
      <c r="M13" s="14"/>
      <c r="N13" s="14" t="n">
        <f aca="false">ROUND((G13*I13)-K13-L13-M13,2)</f>
        <v>204.18</v>
      </c>
      <c r="O13" s="14"/>
      <c r="P13" s="14" t="n">
        <f aca="false">ROUND(IF(D13=0,IF((N13-E13-O13)&gt;0,(N13-E13-O13),0),IF((D13+N13-O13)&gt;0,(D13+N13-O13),0)),2)</f>
        <v>1972.18</v>
      </c>
      <c r="Q13" s="14" t="n">
        <f aca="false">ROUND(IF(E13=0,IF((D13+N13-O13)&lt;0,ABS(D13+N13-O13),0),IF((N13-E13-O13)&lt;0,ABS(N13-E13-O13),0)),2)</f>
        <v>0</v>
      </c>
    </row>
    <row r="14" customFormat="false" ht="15" hidden="false" customHeight="true" outlineLevel="0" collapsed="false">
      <c r="A14" s="12" t="s">
        <v>39</v>
      </c>
      <c r="B14" s="12" t="str">
        <f aca="false">серпень!B14</f>
        <v>Старчикова О.М.</v>
      </c>
      <c r="C14" s="12" t="s">
        <v>41</v>
      </c>
      <c r="D14" s="14" t="n">
        <f aca="false">серпень!P14</f>
        <v>1278.63</v>
      </c>
      <c r="E14" s="14" t="n">
        <f aca="false">серпень!Q14</f>
        <v>0</v>
      </c>
      <c r="F14" s="13" t="n">
        <f aca="false">серпень!F14</f>
        <v>0</v>
      </c>
      <c r="G14" s="13" t="n">
        <f aca="false">серпень!G14</f>
        <v>34.65</v>
      </c>
      <c r="H14" s="13" t="n">
        <f aca="false">серпень!H14</f>
        <v>0</v>
      </c>
      <c r="I14" s="13" t="n">
        <f aca="false">серпень!I14</f>
        <v>4.1</v>
      </c>
      <c r="J14" s="14" t="n">
        <f aca="false">ROUND(G14*I14,2)</f>
        <v>142.07</v>
      </c>
      <c r="K14" s="14"/>
      <c r="L14" s="14"/>
      <c r="M14" s="14"/>
      <c r="N14" s="14" t="n">
        <f aca="false">ROUND((G14*I14)-K14-L14-M14,2)</f>
        <v>142.07</v>
      </c>
      <c r="O14" s="14"/>
      <c r="P14" s="14" t="n">
        <f aca="false">ROUND(IF(D14=0,IF((N14-E14-O14)&gt;0,(N14-E14-O14),0),IF((D14+N14-O14)&gt;0,(D14+N14-O14),0)),2)</f>
        <v>1420.7</v>
      </c>
      <c r="Q14" s="14" t="n">
        <f aca="false">ROUND(IF(E14=0,IF((D14+N14-O14)&lt;0,ABS(D14+N14-O14),0),IF((N14-E14-O14)&lt;0,ABS(N14-E14-O14),0)),2)</f>
        <v>0</v>
      </c>
    </row>
    <row r="15" customFormat="false" ht="15" hidden="false" customHeight="true" outlineLevel="0" collapsed="false">
      <c r="A15" s="12" t="s">
        <v>42</v>
      </c>
      <c r="B15" s="12" t="str">
        <f aca="false">серпень!B15</f>
        <v>Безер Т.М</v>
      </c>
      <c r="C15" s="12" t="s">
        <v>44</v>
      </c>
      <c r="D15" s="14" t="n">
        <f aca="false">серпень!P15</f>
        <v>2031.13</v>
      </c>
      <c r="E15" s="14" t="n">
        <f aca="false">серпень!Q15</f>
        <v>0</v>
      </c>
      <c r="F15" s="13" t="n">
        <f aca="false">серпень!F15</f>
        <v>0</v>
      </c>
      <c r="G15" s="13" t="n">
        <f aca="false">серпень!G15</f>
        <v>62.14</v>
      </c>
      <c r="H15" s="13" t="n">
        <f aca="false">серпень!H15</f>
        <v>0</v>
      </c>
      <c r="I15" s="13" t="n">
        <f aca="false">серпень!I15</f>
        <v>4.1</v>
      </c>
      <c r="J15" s="14" t="n">
        <f aca="false">ROUND(G15*I15,2)</f>
        <v>254.77</v>
      </c>
      <c r="K15" s="14"/>
      <c r="L15" s="14"/>
      <c r="M15" s="14"/>
      <c r="N15" s="14" t="n">
        <f aca="false">ROUND((G15*I15)-K15-L15-M15,2)</f>
        <v>254.77</v>
      </c>
      <c r="O15" s="14"/>
      <c r="P15" s="14" t="n">
        <f aca="false">ROUND(IF(D15=0,IF((N15-E15-O15)&gt;0,(N15-E15-O15),0),IF((D15+N15-O15)&gt;0,(D15+N15-O15),0)),2)</f>
        <v>2285.9</v>
      </c>
      <c r="Q15" s="14" t="n">
        <f aca="false">ROUND(IF(E15=0,IF((D15+N15-O15)&lt;0,ABS(D15+N15-O15),0),IF((N15-E15-O15)&lt;0,ABS(N15-E15-O15),0)),2)</f>
        <v>0</v>
      </c>
    </row>
    <row r="16" customFormat="false" ht="15" hidden="false" customHeight="true" outlineLevel="0" collapsed="false">
      <c r="A16" s="12" t="s">
        <v>45</v>
      </c>
      <c r="B16" s="12" t="str">
        <f aca="false">серпень!B16</f>
        <v>Решетило М.М</v>
      </c>
      <c r="C16" s="12" t="s">
        <v>47</v>
      </c>
      <c r="D16" s="14" t="n">
        <f aca="false">серпень!P16</f>
        <v>2939</v>
      </c>
      <c r="E16" s="14" t="n">
        <f aca="false">серпень!Q16</f>
        <v>0</v>
      </c>
      <c r="F16" s="13" t="n">
        <f aca="false">серпень!F16</f>
        <v>0</v>
      </c>
      <c r="G16" s="13" t="n">
        <f aca="false">серпень!G16</f>
        <v>65.16</v>
      </c>
      <c r="H16" s="13" t="n">
        <f aca="false">серпень!H16</f>
        <v>0</v>
      </c>
      <c r="I16" s="13" t="n">
        <f aca="false">серпень!I16</f>
        <v>4.1</v>
      </c>
      <c r="J16" s="14" t="n">
        <f aca="false">ROUND(G16*I16,2)</f>
        <v>267.16</v>
      </c>
      <c r="K16" s="14"/>
      <c r="L16" s="14"/>
      <c r="M16" s="14"/>
      <c r="N16" s="14" t="n">
        <f aca="false">ROUND((G16*I16)-K16-L16-M16,2)</f>
        <v>267.16</v>
      </c>
      <c r="O16" s="14"/>
      <c r="P16" s="14" t="n">
        <f aca="false">ROUND(IF(D16=0,IF((N16-E16-O16)&gt;0,(N16-E16-O16),0),IF((D16+N16-O16)&gt;0,(D16+N16-O16),0)),2)</f>
        <v>3206.16</v>
      </c>
      <c r="Q16" s="14" t="n">
        <f aca="false">ROUND(IF(E16=0,IF((D16+N16-O16)&lt;0,ABS(D16+N16-O16),0),IF((N16-E16-O16)&lt;0,ABS(N16-E16-O16),0)),2)</f>
        <v>0</v>
      </c>
    </row>
    <row r="17" customFormat="false" ht="15" hidden="false" customHeight="true" outlineLevel="0" collapsed="false">
      <c r="A17" s="12" t="s">
        <v>48</v>
      </c>
      <c r="B17" s="12" t="str">
        <f aca="false">серпень!B17</f>
        <v>Фесенко О.В.</v>
      </c>
      <c r="C17" s="12" t="s">
        <v>50</v>
      </c>
      <c r="D17" s="14" t="n">
        <f aca="false">серпень!P17</f>
        <v>6519.97</v>
      </c>
      <c r="E17" s="14" t="n">
        <f aca="false">серпень!Q17</f>
        <v>0</v>
      </c>
      <c r="F17" s="13" t="n">
        <f aca="false">серпень!F17</f>
        <v>0</v>
      </c>
      <c r="G17" s="13" t="n">
        <f aca="false">серпень!G17</f>
        <v>50.1</v>
      </c>
      <c r="H17" s="13" t="n">
        <f aca="false">серпень!H17</f>
        <v>0</v>
      </c>
      <c r="I17" s="13" t="n">
        <f aca="false">серпень!I17</f>
        <v>4.1</v>
      </c>
      <c r="J17" s="14" t="n">
        <f aca="false">ROUND(G17*I17,2)</f>
        <v>205.41</v>
      </c>
      <c r="K17" s="14"/>
      <c r="L17" s="14"/>
      <c r="M17" s="14"/>
      <c r="N17" s="14" t="n">
        <f aca="false">ROUND((G17*I17)-K17-L17-M17,2)</f>
        <v>205.41</v>
      </c>
      <c r="O17" s="14"/>
      <c r="P17" s="14" t="n">
        <f aca="false">ROUND(IF(D17=0,IF((N17-E17-O17)&gt;0,(N17-E17-O17),0),IF((D17+N17-O17)&gt;0,(D17+N17-O17),0)),2)</f>
        <v>6725.38</v>
      </c>
      <c r="Q17" s="14" t="n">
        <f aca="false">ROUND(IF(E17=0,IF((D17+N17-O17)&lt;0,ABS(D17+N17-O17),0),IF((N17-E17-O17)&lt;0,ABS(N17-E17-O17),0)),2)</f>
        <v>0</v>
      </c>
    </row>
    <row r="18" customFormat="false" ht="15" hidden="false" customHeight="true" outlineLevel="0" collapsed="false">
      <c r="A18" s="12" t="s">
        <v>51</v>
      </c>
      <c r="B18" s="12" t="str">
        <f aca="false">серпень!B18</f>
        <v>Петренко О.М.</v>
      </c>
      <c r="C18" s="12" t="s">
        <v>53</v>
      </c>
      <c r="D18" s="14" t="n">
        <f aca="false">серпень!P18</f>
        <v>2702.76</v>
      </c>
      <c r="E18" s="14" t="n">
        <f aca="false">серпень!Q18</f>
        <v>0</v>
      </c>
      <c r="F18" s="13" t="n">
        <f aca="false">серпень!F18</f>
        <v>0</v>
      </c>
      <c r="G18" s="13" t="n">
        <f aca="false">серпень!G18</f>
        <v>35.2</v>
      </c>
      <c r="H18" s="13" t="n">
        <f aca="false">серпень!H18</f>
        <v>0</v>
      </c>
      <c r="I18" s="13" t="n">
        <f aca="false">серпень!I18</f>
        <v>4.1</v>
      </c>
      <c r="J18" s="14" t="n">
        <f aca="false">ROUND(G18*I18,2)</f>
        <v>144.32</v>
      </c>
      <c r="K18" s="14"/>
      <c r="L18" s="14"/>
      <c r="M18" s="14"/>
      <c r="N18" s="14" t="n">
        <f aca="false">ROUND((G18*I18)-K18-L18-M18,2)</f>
        <v>144.32</v>
      </c>
      <c r="O18" s="14"/>
      <c r="P18" s="14" t="n">
        <f aca="false">ROUND(IF(D18=0,IF((N18-E18-O18)&gt;0,(N18-E18-O18),0),IF((D18+N18-O18)&gt;0,(D18+N18-O18),0)),2)</f>
        <v>2847.08</v>
      </c>
      <c r="Q18" s="14" t="n">
        <f aca="false">ROUND(IF(E18=0,IF((D18+N18-O18)&lt;0,ABS(D18+N18-O18),0),IF((N18-E18-O18)&lt;0,ABS(N18-E18-O18),0)),2)</f>
        <v>0</v>
      </c>
    </row>
    <row r="19" customFormat="false" ht="15" hidden="false" customHeight="true" outlineLevel="0" collapsed="false">
      <c r="A19" s="12" t="s">
        <v>54</v>
      </c>
      <c r="B19" s="12" t="str">
        <f aca="false">серпень!B19</f>
        <v>Зеленюк А.Д</v>
      </c>
      <c r="C19" s="12" t="s">
        <v>56</v>
      </c>
      <c r="D19" s="14" t="n">
        <f aca="false">серпень!P19</f>
        <v>14238.81</v>
      </c>
      <c r="E19" s="14" t="n">
        <f aca="false">серпень!Q19</f>
        <v>0</v>
      </c>
      <c r="F19" s="13" t="n">
        <f aca="false">серпень!F19</f>
        <v>0</v>
      </c>
      <c r="G19" s="13" t="n">
        <f aca="false">серпень!G19</f>
        <v>62.78</v>
      </c>
      <c r="H19" s="13" t="n">
        <f aca="false">серпень!H19</f>
        <v>0</v>
      </c>
      <c r="I19" s="13" t="n">
        <f aca="false">серпень!I19</f>
        <v>4.1</v>
      </c>
      <c r="J19" s="14" t="n">
        <f aca="false">ROUND(G19*I19,2)</f>
        <v>257.4</v>
      </c>
      <c r="K19" s="14"/>
      <c r="L19" s="14"/>
      <c r="M19" s="14"/>
      <c r="N19" s="14" t="n">
        <f aca="false">ROUND((G19*I19)-K19-L19-M19,2)</f>
        <v>257.4</v>
      </c>
      <c r="O19" s="14"/>
      <c r="P19" s="14" t="n">
        <f aca="false">ROUND(IF(D19=0,IF((N19-E19-O19)&gt;0,(N19-E19-O19),0),IF((D19+N19-O19)&gt;0,(D19+N19-O19),0)),2)</f>
        <v>14496.21</v>
      </c>
      <c r="Q19" s="14" t="n">
        <f aca="false">ROUND(IF(E19=0,IF((D19+N19-O19)&lt;0,ABS(D19+N19-O19),0),IF((N19-E19-O19)&lt;0,ABS(N19-E19-O19),0)),2)</f>
        <v>0</v>
      </c>
    </row>
    <row r="20" customFormat="false" ht="15" hidden="false" customHeight="true" outlineLevel="0" collapsed="false">
      <c r="A20" s="12" t="s">
        <v>57</v>
      </c>
      <c r="B20" s="12" t="str">
        <f aca="false">серпень!B20</f>
        <v>Вовк І.В</v>
      </c>
      <c r="C20" s="12" t="s">
        <v>59</v>
      </c>
      <c r="D20" s="14" t="n">
        <f aca="false">серпень!P20</f>
        <v>6124.98</v>
      </c>
      <c r="E20" s="14" t="n">
        <f aca="false">серпень!Q20</f>
        <v>0</v>
      </c>
      <c r="F20" s="13" t="n">
        <f aca="false">серпень!F20</f>
        <v>0</v>
      </c>
      <c r="G20" s="13" t="n">
        <f aca="false">серпень!G20</f>
        <v>28.23</v>
      </c>
      <c r="H20" s="13" t="n">
        <f aca="false">серпень!H20</f>
        <v>0</v>
      </c>
      <c r="I20" s="13" t="n">
        <f aca="false">серпень!I20</f>
        <v>4.1</v>
      </c>
      <c r="J20" s="14" t="n">
        <f aca="false">ROUND(G20*I20,2)</f>
        <v>115.74</v>
      </c>
      <c r="K20" s="14"/>
      <c r="L20" s="14"/>
      <c r="M20" s="14"/>
      <c r="N20" s="14" t="n">
        <f aca="false">ROUND((G20*I20)-K20-L20-M20,2)</f>
        <v>115.74</v>
      </c>
      <c r="O20" s="14"/>
      <c r="P20" s="14" t="n">
        <f aca="false">ROUND(IF(D20=0,IF((N20-E20-O20)&gt;0,(N20-E20-O20),0),IF((D20+N20-O20)&gt;0,(D20+N20-O20),0)),2)</f>
        <v>6240.72</v>
      </c>
      <c r="Q20" s="14" t="n">
        <f aca="false">ROUND(IF(E20=0,IF((D20+N20-O20)&lt;0,ABS(D20+N20-O20),0),IF((N20-E20-O20)&lt;0,ABS(N20-E20-O20),0)),2)</f>
        <v>0</v>
      </c>
    </row>
    <row r="21" customFormat="false" ht="15" hidden="false" customHeight="true" outlineLevel="0" collapsed="false">
      <c r="A21" s="12" t="s">
        <v>57</v>
      </c>
      <c r="B21" s="12" t="str">
        <f aca="false">серпень!B21</f>
        <v>Романовський В.М</v>
      </c>
      <c r="C21" s="12" t="s">
        <v>61</v>
      </c>
      <c r="D21" s="14" t="n">
        <f aca="false">серпень!P21</f>
        <v>6692.8</v>
      </c>
      <c r="E21" s="14" t="n">
        <f aca="false">серпень!Q21</f>
        <v>0</v>
      </c>
      <c r="F21" s="13" t="n">
        <f aca="false">серпень!F21</f>
        <v>0</v>
      </c>
      <c r="G21" s="13" t="n">
        <f aca="false">серпень!G21</f>
        <v>37.84</v>
      </c>
      <c r="H21" s="13" t="n">
        <f aca="false">серпень!H21</f>
        <v>0</v>
      </c>
      <c r="I21" s="13" t="n">
        <f aca="false">серпень!I21</f>
        <v>4.1</v>
      </c>
      <c r="J21" s="14" t="n">
        <f aca="false">ROUND(G21*I21,2)</f>
        <v>155.14</v>
      </c>
      <c r="K21" s="14"/>
      <c r="L21" s="14"/>
      <c r="M21" s="14"/>
      <c r="N21" s="14" t="n">
        <f aca="false">ROUND((G21*I21)-K21-L21-M21,2)</f>
        <v>155.14</v>
      </c>
      <c r="O21" s="14"/>
      <c r="P21" s="14" t="n">
        <f aca="false">ROUND(IF(D21=0,IF((N21-E21-O21)&gt;0,(N21-E21-O21),0),IF((D21+N21-O21)&gt;0,(D21+N21-O21),0)),2)</f>
        <v>6847.94</v>
      </c>
      <c r="Q21" s="14" t="n">
        <f aca="false">ROUND(IF(E21=0,IF((D21+N21-O21)&lt;0,ABS(D21+N21-O21),0),IF((N21-E21-O21)&lt;0,ABS(N21-E21-O21),0)),2)</f>
        <v>0</v>
      </c>
    </row>
    <row r="22" customFormat="false" ht="15" hidden="false" customHeight="true" outlineLevel="0" collapsed="false">
      <c r="A22" s="12" t="s">
        <v>62</v>
      </c>
      <c r="B22" s="12" t="str">
        <f aca="false">серпень!B22</f>
        <v>Ряба Л.І</v>
      </c>
      <c r="C22" s="12" t="s">
        <v>64</v>
      </c>
      <c r="D22" s="14" t="n">
        <f aca="false">серпень!P22</f>
        <v>1681.6</v>
      </c>
      <c r="E22" s="14" t="n">
        <f aca="false">серпень!Q22</f>
        <v>0</v>
      </c>
      <c r="F22" s="13" t="n">
        <f aca="false">серпень!F22</f>
        <v>0</v>
      </c>
      <c r="G22" s="13" t="n">
        <f aca="false">серпень!G22</f>
        <v>49.24</v>
      </c>
      <c r="H22" s="13" t="n">
        <f aca="false">серпень!H22</f>
        <v>0</v>
      </c>
      <c r="I22" s="13" t="n">
        <f aca="false">серпень!I22</f>
        <v>4.1</v>
      </c>
      <c r="J22" s="14" t="n">
        <f aca="false">ROUND(G22*I22,2)</f>
        <v>201.88</v>
      </c>
      <c r="K22" s="14"/>
      <c r="L22" s="14"/>
      <c r="M22" s="14"/>
      <c r="N22" s="14" t="n">
        <f aca="false">ROUND((G22*I22)-K22-L22-M22,2)</f>
        <v>201.88</v>
      </c>
      <c r="O22" s="14"/>
      <c r="P22" s="14" t="n">
        <f aca="false">ROUND(IF(D22=0,IF((N22-E22-O22)&gt;0,(N22-E22-O22),0),IF((D22+N22-O22)&gt;0,(D22+N22-O22),0)),2)</f>
        <v>1883.48</v>
      </c>
      <c r="Q22" s="14" t="n">
        <f aca="false">ROUND(IF(E22=0,IF((D22+N22-O22)&lt;0,ABS(D22+N22-O22),0),IF((N22-E22-O22)&lt;0,ABS(N22-E22-O22),0)),2)</f>
        <v>0</v>
      </c>
    </row>
    <row r="23" customFormat="false" ht="15" hidden="false" customHeight="true" outlineLevel="0" collapsed="false">
      <c r="A23" s="12" t="s">
        <v>65</v>
      </c>
      <c r="B23" s="12" t="str">
        <f aca="false">серпень!B23</f>
        <v>Кас'янова О.А.</v>
      </c>
      <c r="C23" s="12" t="s">
        <v>67</v>
      </c>
      <c r="D23" s="14" t="n">
        <f aca="false">серпень!P23</f>
        <v>1587.08</v>
      </c>
      <c r="E23" s="14" t="n">
        <f aca="false">серпень!Q23</f>
        <v>0</v>
      </c>
      <c r="F23" s="13" t="n">
        <f aca="false">серпень!F23</f>
        <v>0</v>
      </c>
      <c r="G23" s="13" t="n">
        <f aca="false">серпень!G23</f>
        <v>35.1</v>
      </c>
      <c r="H23" s="13" t="n">
        <f aca="false">серпень!H23</f>
        <v>0</v>
      </c>
      <c r="I23" s="13" t="n">
        <f aca="false">серпень!I23</f>
        <v>4.1</v>
      </c>
      <c r="J23" s="14" t="n">
        <f aca="false">ROUND(G23*I23,2)</f>
        <v>143.91</v>
      </c>
      <c r="K23" s="14"/>
      <c r="L23" s="14"/>
      <c r="M23" s="14"/>
      <c r="N23" s="14" t="n">
        <f aca="false">ROUND((G23*I23)-K23-L23-M23,2)</f>
        <v>143.91</v>
      </c>
      <c r="O23" s="14"/>
      <c r="P23" s="14" t="n">
        <f aca="false">ROUND(IF(D23=0,IF((N23-E23-O23)&gt;0,(N23-E23-O23),0),IF((D23+N23-O23)&gt;0,(D23+N23-O23),0)),2)</f>
        <v>1730.99</v>
      </c>
      <c r="Q23" s="14" t="n">
        <f aca="false">ROUND(IF(E23=0,IF((D23+N23-O23)&lt;0,ABS(D23+N23-O23),0),IF((N23-E23-O23)&lt;0,ABS(N23-E23-O23),0)),2)</f>
        <v>0</v>
      </c>
    </row>
    <row r="24" customFormat="false" ht="15" hidden="false" customHeight="true" outlineLevel="0" collapsed="false">
      <c r="A24" s="12" t="s">
        <v>68</v>
      </c>
      <c r="B24" s="12" t="str">
        <f aca="false">серпень!B24</f>
        <v>Корякіна М.В.</v>
      </c>
      <c r="C24" s="12" t="s">
        <v>70</v>
      </c>
      <c r="D24" s="14" t="n">
        <f aca="false">серпень!P24</f>
        <v>6730.32</v>
      </c>
      <c r="E24" s="14" t="n">
        <f aca="false">серпень!Q24</f>
        <v>0</v>
      </c>
      <c r="F24" s="13" t="n">
        <f aca="false">серпень!F24</f>
        <v>0</v>
      </c>
      <c r="G24" s="13" t="n">
        <f aca="false">серпень!G24</f>
        <v>61.9</v>
      </c>
      <c r="H24" s="13" t="n">
        <f aca="false">серпень!H24</f>
        <v>0</v>
      </c>
      <c r="I24" s="13" t="n">
        <f aca="false">серпень!I24</f>
        <v>4.1</v>
      </c>
      <c r="J24" s="14" t="n">
        <f aca="false">ROUND(G24*I24,2)</f>
        <v>253.79</v>
      </c>
      <c r="K24" s="14"/>
      <c r="L24" s="14"/>
      <c r="M24" s="14"/>
      <c r="N24" s="14" t="n">
        <f aca="false">ROUND((G24*I24)-K24-L24-M24,2)</f>
        <v>253.79</v>
      </c>
      <c r="O24" s="14"/>
      <c r="P24" s="14" t="n">
        <f aca="false">ROUND(IF(D24=0,IF((N24-E24-O24)&gt;0,(N24-E24-O24),0),IF((D24+N24-O24)&gt;0,(D24+N24-O24),0)),2)</f>
        <v>6984.11</v>
      </c>
      <c r="Q24" s="14" t="n">
        <f aca="false">ROUND(IF(E24=0,IF((D24+N24-O24)&lt;0,ABS(D24+N24-O24),0),IF((N24-E24-O24)&lt;0,ABS(N24-E24-O24),0)),2)</f>
        <v>0</v>
      </c>
    </row>
    <row r="25" customFormat="false" ht="15" hidden="false" customHeight="true" outlineLevel="0" collapsed="false">
      <c r="A25" s="12" t="s">
        <v>71</v>
      </c>
      <c r="B25" s="12" t="str">
        <f aca="false">серпень!B25</f>
        <v>Сокерчак А.В.</v>
      </c>
      <c r="C25" s="12" t="s">
        <v>73</v>
      </c>
      <c r="D25" s="14" t="n">
        <f aca="false">серпень!P25</f>
        <v>2446.47</v>
      </c>
      <c r="E25" s="14" t="n">
        <f aca="false">серпень!Q25</f>
        <v>0</v>
      </c>
      <c r="F25" s="13" t="n">
        <f aca="false">серпень!F25</f>
        <v>0</v>
      </c>
      <c r="G25" s="13" t="n">
        <f aca="false">серпень!G25</f>
        <v>66.3</v>
      </c>
      <c r="H25" s="13" t="n">
        <f aca="false">серпень!H25</f>
        <v>0</v>
      </c>
      <c r="I25" s="13" t="n">
        <f aca="false">серпень!I25</f>
        <v>4.1</v>
      </c>
      <c r="J25" s="14" t="n">
        <f aca="false">ROUND(G25*I25,2)</f>
        <v>271.83</v>
      </c>
      <c r="K25" s="14"/>
      <c r="L25" s="14"/>
      <c r="M25" s="14"/>
      <c r="N25" s="14" t="n">
        <f aca="false">ROUND((G25*I25)-K25-L25-M25,2)</f>
        <v>271.83</v>
      </c>
      <c r="O25" s="14"/>
      <c r="P25" s="14" t="n">
        <f aca="false">ROUND(IF(D25=0,IF((N25-E25-O25)&gt;0,(N25-E25-O25),0),IF((D25+N25-O25)&gt;0,(D25+N25-O25),0)),2)</f>
        <v>2718.3</v>
      </c>
      <c r="Q25" s="14" t="n">
        <f aca="false">ROUND(IF(E25=0,IF((D25+N25-O25)&lt;0,ABS(D25+N25-O25),0),IF((N25-E25-O25)&lt;0,ABS(N25-E25-O25),0)),2)</f>
        <v>0</v>
      </c>
    </row>
    <row r="26" customFormat="false" ht="15" hidden="false" customHeight="true" outlineLevel="0" collapsed="false">
      <c r="A26" s="12" t="s">
        <v>74</v>
      </c>
      <c r="B26" s="12" t="str">
        <f aca="false">серпень!B26</f>
        <v>Кравченко В.А</v>
      </c>
      <c r="C26" s="12" t="s">
        <v>76</v>
      </c>
      <c r="D26" s="14" t="n">
        <f aca="false">серпень!P26</f>
        <v>1688.56</v>
      </c>
      <c r="E26" s="14" t="n">
        <f aca="false">серпень!Q26</f>
        <v>0</v>
      </c>
      <c r="F26" s="13" t="n">
        <f aca="false">серпень!F26</f>
        <v>0</v>
      </c>
      <c r="G26" s="13" t="n">
        <f aca="false">серпень!G26</f>
        <v>51.48</v>
      </c>
      <c r="H26" s="13" t="n">
        <f aca="false">серпень!H26</f>
        <v>0</v>
      </c>
      <c r="I26" s="13" t="n">
        <f aca="false">серпень!I26</f>
        <v>4.1</v>
      </c>
      <c r="J26" s="14" t="n">
        <f aca="false">ROUND(G26*I26,2)</f>
        <v>211.07</v>
      </c>
      <c r="K26" s="14"/>
      <c r="L26" s="14"/>
      <c r="M26" s="14"/>
      <c r="N26" s="14" t="n">
        <f aca="false">ROUND((G26*I26)-K26-L26-M26,2)</f>
        <v>211.07</v>
      </c>
      <c r="O26" s="14"/>
      <c r="P26" s="14" t="n">
        <f aca="false">ROUND(IF(D26=0,IF((N26-E26-O26)&gt;0,(N26-E26-O26),0),IF((D26+N26-O26)&gt;0,(D26+N26-O26),0)),2)</f>
        <v>1899.63</v>
      </c>
      <c r="Q26" s="14" t="n">
        <f aca="false">ROUND(IF(E26=0,IF((D26+N26-O26)&lt;0,ABS(D26+N26-O26),0),IF((N26-E26-O26)&lt;0,ABS(N26-E26-O26),0)),2)</f>
        <v>0</v>
      </c>
    </row>
    <row r="27" customFormat="false" ht="15" hidden="false" customHeight="true" outlineLevel="0" collapsed="false">
      <c r="A27" s="12" t="s">
        <v>77</v>
      </c>
      <c r="B27" s="12" t="str">
        <f aca="false">серпень!B27</f>
        <v>Чичикало А.С</v>
      </c>
      <c r="C27" s="12" t="s">
        <v>79</v>
      </c>
      <c r="D27" s="14" t="n">
        <f aca="false">серпень!P27</f>
        <v>580.42</v>
      </c>
      <c r="E27" s="14" t="n">
        <f aca="false">серпень!Q27</f>
        <v>0</v>
      </c>
      <c r="F27" s="13" t="n">
        <f aca="false">серпень!F27</f>
        <v>0</v>
      </c>
      <c r="G27" s="13" t="n">
        <f aca="false">серпень!G27</f>
        <v>35.1</v>
      </c>
      <c r="H27" s="13" t="n">
        <f aca="false">серпень!H27</f>
        <v>0</v>
      </c>
      <c r="I27" s="13" t="n">
        <f aca="false">серпень!I27</f>
        <v>4.1</v>
      </c>
      <c r="J27" s="14" t="n">
        <f aca="false">ROUND(G27*I27,2)</f>
        <v>143.91</v>
      </c>
      <c r="K27" s="14"/>
      <c r="L27" s="14"/>
      <c r="M27" s="14"/>
      <c r="N27" s="14" t="n">
        <f aca="false">ROUND((G27*I27)-K27-L27-M27,2)</f>
        <v>143.91</v>
      </c>
      <c r="O27" s="14"/>
      <c r="P27" s="14" t="n">
        <f aca="false">ROUND(IF(D27=0,IF((N27-E27-O27)&gt;0,(N27-E27-O27),0),IF((D27+N27-O27)&gt;0,(D27+N27-O27),0)),2)</f>
        <v>724.33</v>
      </c>
      <c r="Q27" s="14" t="n">
        <f aca="false">ROUND(IF(E27=0,IF((D27+N27-O27)&lt;0,ABS(D27+N27-O27),0),IF((N27-E27-O27)&lt;0,ABS(N27-E27-O27),0)),2)</f>
        <v>0</v>
      </c>
    </row>
    <row r="28" customFormat="false" ht="15" hidden="false" customHeight="true" outlineLevel="0" collapsed="false">
      <c r="A28" s="12" t="s">
        <v>80</v>
      </c>
      <c r="B28" s="12" t="str">
        <f aca="false">серпень!B28</f>
        <v>Сільващук А.А</v>
      </c>
      <c r="C28" s="12" t="s">
        <v>82</v>
      </c>
      <c r="D28" s="14" t="n">
        <f aca="false">серпень!P28</f>
        <v>2056.56</v>
      </c>
      <c r="E28" s="14" t="n">
        <f aca="false">серпень!Q28</f>
        <v>0</v>
      </c>
      <c r="F28" s="13" t="n">
        <f aca="false">серпень!F28</f>
        <v>0</v>
      </c>
      <c r="G28" s="13" t="n">
        <f aca="false">серпень!G28</f>
        <v>62.7</v>
      </c>
      <c r="H28" s="13" t="n">
        <f aca="false">серпень!H28</f>
        <v>0</v>
      </c>
      <c r="I28" s="13" t="n">
        <f aca="false">серпень!I28</f>
        <v>4.1</v>
      </c>
      <c r="J28" s="14" t="n">
        <f aca="false">ROUND(G28*I28,2)</f>
        <v>257.07</v>
      </c>
      <c r="K28" s="14"/>
      <c r="L28" s="14"/>
      <c r="M28" s="14"/>
      <c r="N28" s="14" t="n">
        <f aca="false">ROUND((G28*I28)-K28-L28-M28,2)</f>
        <v>257.07</v>
      </c>
      <c r="O28" s="14"/>
      <c r="P28" s="14" t="n">
        <f aca="false">ROUND(IF(D28=0,IF((N28-E28-O28)&gt;0,(N28-E28-O28),0),IF((D28+N28-O28)&gt;0,(D28+N28-O28),0)),2)</f>
        <v>2313.63</v>
      </c>
      <c r="Q28" s="14" t="n">
        <f aca="false">ROUND(IF(E28=0,IF((D28+N28-O28)&lt;0,ABS(D28+N28-O28),0),IF((N28-E28-O28)&lt;0,ABS(N28-E28-O28),0)),2)</f>
        <v>0</v>
      </c>
    </row>
    <row r="29" customFormat="false" ht="15" hidden="false" customHeight="true" outlineLevel="0" collapsed="false">
      <c r="A29" s="12" t="s">
        <v>83</v>
      </c>
      <c r="B29" s="12" t="str">
        <f aca="false">серпень!B29</f>
        <v>Стеценко Г.М</v>
      </c>
      <c r="C29" s="12" t="s">
        <v>85</v>
      </c>
      <c r="D29" s="14" t="n">
        <f aca="false">серпень!P29</f>
        <v>2410.29</v>
      </c>
      <c r="E29" s="14" t="n">
        <f aca="false">серпень!Q29</f>
        <v>0</v>
      </c>
      <c r="F29" s="13" t="n">
        <f aca="false">серпень!F29</f>
        <v>0</v>
      </c>
      <c r="G29" s="13" t="n">
        <f aca="false">серпень!G29</f>
        <v>65.32</v>
      </c>
      <c r="H29" s="13" t="n">
        <f aca="false">серпень!H29</f>
        <v>0</v>
      </c>
      <c r="I29" s="13" t="n">
        <f aca="false">серпень!I29</f>
        <v>4.1</v>
      </c>
      <c r="J29" s="14" t="n">
        <f aca="false">ROUND(G29*I29,2)</f>
        <v>267.81</v>
      </c>
      <c r="K29" s="14"/>
      <c r="L29" s="14"/>
      <c r="M29" s="14"/>
      <c r="N29" s="14" t="n">
        <f aca="false">ROUND((G29*I29)-K29-L29-M29,2)</f>
        <v>267.81</v>
      </c>
      <c r="O29" s="14"/>
      <c r="P29" s="14" t="n">
        <f aca="false">ROUND(IF(D29=0,IF((N29-E29-O29)&gt;0,(N29-E29-O29),0),IF((D29+N29-O29)&gt;0,(D29+N29-O29),0)),2)</f>
        <v>2678.1</v>
      </c>
      <c r="Q29" s="14" t="n">
        <f aca="false">ROUND(IF(E29=0,IF((D29+N29-O29)&lt;0,ABS(D29+N29-O29),0),IF((N29-E29-O29)&lt;0,ABS(N29-E29-O29),0)),2)</f>
        <v>0</v>
      </c>
    </row>
    <row r="30" customFormat="false" ht="15" hidden="false" customHeight="true" outlineLevel="0" collapsed="false">
      <c r="A30" s="12" t="s">
        <v>86</v>
      </c>
      <c r="B30" s="12" t="str">
        <f aca="false">серпень!B30</f>
        <v>Кирдячкіна П.А</v>
      </c>
      <c r="C30" s="12" t="s">
        <v>88</v>
      </c>
      <c r="D30" s="14" t="n">
        <f aca="false">серпень!P30</f>
        <v>1579.64</v>
      </c>
      <c r="E30" s="14" t="n">
        <f aca="false">серпень!Q30</f>
        <v>0</v>
      </c>
      <c r="F30" s="13" t="n">
        <f aca="false">серпень!F30</f>
        <v>0</v>
      </c>
      <c r="G30" s="13" t="n">
        <f aca="false">серпень!G30</f>
        <v>49.7</v>
      </c>
      <c r="H30" s="13" t="n">
        <f aca="false">серпень!H30</f>
        <v>0</v>
      </c>
      <c r="I30" s="13" t="n">
        <f aca="false">серпень!I30</f>
        <v>4.1</v>
      </c>
      <c r="J30" s="14" t="n">
        <f aca="false">ROUND(G30*I30,2)</f>
        <v>203.77</v>
      </c>
      <c r="K30" s="14"/>
      <c r="L30" s="14"/>
      <c r="M30" s="14"/>
      <c r="N30" s="14" t="n">
        <f aca="false">ROUND((G30*I30)-K30-L30-M30,2)</f>
        <v>203.77</v>
      </c>
      <c r="O30" s="14"/>
      <c r="P30" s="14" t="n">
        <f aca="false">ROUND(IF(D30=0,IF((N30-E30-O30)&gt;0,(N30-E30-O30),0),IF((D30+N30-O30)&gt;0,(D30+N30-O30),0)),2)</f>
        <v>1783.41</v>
      </c>
      <c r="Q30" s="14" t="n">
        <f aca="false">ROUND(IF(E30=0,IF((D30+N30-O30)&lt;0,ABS(D30+N30-O30),0),IF((N30-E30-O30)&lt;0,ABS(N30-E30-O30),0)),2)</f>
        <v>0</v>
      </c>
    </row>
    <row r="31" customFormat="false" ht="15" hidden="false" customHeight="true" outlineLevel="0" collapsed="false">
      <c r="A31" s="12" t="s">
        <v>89</v>
      </c>
      <c r="B31" s="12" t="str">
        <f aca="false">серпень!B31</f>
        <v>Фоміченко Л.А</v>
      </c>
      <c r="C31" s="12" t="s">
        <v>91</v>
      </c>
      <c r="D31" s="14" t="n">
        <f aca="false">серпень!P31</f>
        <v>4832.04</v>
      </c>
      <c r="E31" s="14" t="n">
        <f aca="false">серпень!Q31</f>
        <v>0</v>
      </c>
      <c r="F31" s="13" t="n">
        <f aca="false">серпень!F31</f>
        <v>0</v>
      </c>
      <c r="G31" s="13" t="n">
        <f aca="false">серпень!G31</f>
        <v>35.1</v>
      </c>
      <c r="H31" s="13" t="n">
        <f aca="false">серпень!H31</f>
        <v>0</v>
      </c>
      <c r="I31" s="13" t="n">
        <f aca="false">серпень!I31</f>
        <v>4.1</v>
      </c>
      <c r="J31" s="14" t="n">
        <f aca="false">ROUND(G31*I31,2)</f>
        <v>143.91</v>
      </c>
      <c r="K31" s="14"/>
      <c r="L31" s="14"/>
      <c r="M31" s="14"/>
      <c r="N31" s="14" t="n">
        <f aca="false">ROUND((G31*I31)-K31-L31-M31,2)</f>
        <v>143.91</v>
      </c>
      <c r="O31" s="14"/>
      <c r="P31" s="14" t="n">
        <f aca="false">ROUND(IF(D31=0,IF((N31-E31-O31)&gt;0,(N31-E31-O31),0),IF((D31+N31-O31)&gt;0,(D31+N31-O31),0)),2)</f>
        <v>4975.95</v>
      </c>
      <c r="Q31" s="14" t="n">
        <f aca="false">ROUND(IF(E31=0,IF((D31+N31-O31)&lt;0,ABS(D31+N31-O31),0),IF((N31-E31-O31)&lt;0,ABS(N31-E31-O31),0)),2)</f>
        <v>0</v>
      </c>
    </row>
    <row r="32" customFormat="false" ht="15" hidden="false" customHeight="true" outlineLevel="0" collapsed="false">
      <c r="A32" s="12" t="s">
        <v>92</v>
      </c>
      <c r="B32" s="12" t="str">
        <f aca="false">серпень!B32</f>
        <v>Сердюк А.Г</v>
      </c>
      <c r="C32" s="12" t="s">
        <v>94</v>
      </c>
      <c r="D32" s="14" t="n">
        <f aca="false">серпень!P32</f>
        <v>2299.18</v>
      </c>
      <c r="E32" s="14" t="n">
        <f aca="false">серпень!Q32</f>
        <v>0</v>
      </c>
      <c r="F32" s="13" t="n">
        <f aca="false">серпень!F32</f>
        <v>0</v>
      </c>
      <c r="G32" s="13" t="n">
        <f aca="false">серпень!G32</f>
        <v>62.31</v>
      </c>
      <c r="H32" s="13" t="n">
        <f aca="false">серпень!H32</f>
        <v>0</v>
      </c>
      <c r="I32" s="13" t="n">
        <f aca="false">серпень!I32</f>
        <v>4.1</v>
      </c>
      <c r="J32" s="14" t="n">
        <f aca="false">ROUND(G32*I32,2)</f>
        <v>255.47</v>
      </c>
      <c r="K32" s="14"/>
      <c r="L32" s="14"/>
      <c r="M32" s="14"/>
      <c r="N32" s="14" t="n">
        <f aca="false">ROUND((G32*I32)-K32-L32-M32,2)</f>
        <v>255.47</v>
      </c>
      <c r="O32" s="14"/>
      <c r="P32" s="14" t="n">
        <f aca="false">ROUND(IF(D32=0,IF((N32-E32-O32)&gt;0,(N32-E32-O32),0),IF((D32+N32-O32)&gt;0,(D32+N32-O32),0)),2)</f>
        <v>2554.65</v>
      </c>
      <c r="Q32" s="14" t="n">
        <f aca="false">ROUND(IF(E32=0,IF((D32+N32-O32)&lt;0,ABS(D32+N32-O32),0),IF((N32-E32-O32)&lt;0,ABS(N32-E32-O32),0)),2)</f>
        <v>0</v>
      </c>
    </row>
    <row r="33" customFormat="false" ht="15" hidden="false" customHeight="true" outlineLevel="0" collapsed="false">
      <c r="A33" s="12" t="s">
        <v>95</v>
      </c>
      <c r="B33" s="12" t="str">
        <f aca="false">серпень!B33</f>
        <v>Михальченко Г.М</v>
      </c>
      <c r="C33" s="12" t="s">
        <v>97</v>
      </c>
      <c r="D33" s="14" t="n">
        <f aca="false">серпень!P33</f>
        <v>14520.52</v>
      </c>
      <c r="E33" s="14" t="n">
        <f aca="false">серпень!Q33</f>
        <v>0</v>
      </c>
      <c r="F33" s="13" t="n">
        <f aca="false">серпень!F33</f>
        <v>0</v>
      </c>
      <c r="G33" s="13" t="n">
        <f aca="false">серпень!G33</f>
        <v>65.04</v>
      </c>
      <c r="H33" s="13" t="n">
        <f aca="false">серпень!H33</f>
        <v>0</v>
      </c>
      <c r="I33" s="13" t="n">
        <f aca="false">серпень!I33</f>
        <v>4.1</v>
      </c>
      <c r="J33" s="14" t="n">
        <f aca="false">ROUND(G33*I33,2)</f>
        <v>266.66</v>
      </c>
      <c r="K33" s="14"/>
      <c r="L33" s="14"/>
      <c r="M33" s="14"/>
      <c r="N33" s="14" t="n">
        <f aca="false">ROUND((G33*I33)-K33-L33-M33,2)</f>
        <v>266.66</v>
      </c>
      <c r="O33" s="14"/>
      <c r="P33" s="14" t="n">
        <f aca="false">ROUND(IF(D33=0,IF((N33-E33-O33)&gt;0,(N33-E33-O33),0),IF((D33+N33-O33)&gt;0,(D33+N33-O33),0)),2)</f>
        <v>14787.18</v>
      </c>
      <c r="Q33" s="14" t="n">
        <f aca="false">ROUND(IF(E33=0,IF((D33+N33-O33)&lt;0,ABS(D33+N33-O33),0),IF((N33-E33-O33)&lt;0,ABS(N33-E33-O33),0)),2)</f>
        <v>0</v>
      </c>
    </row>
    <row r="34" customFormat="false" ht="15" hidden="false" customHeight="true" outlineLevel="0" collapsed="false">
      <c r="A34" s="12" t="s">
        <v>98</v>
      </c>
      <c r="B34" s="12" t="str">
        <f aca="false">серпень!B34</f>
        <v>Замуховська Я.С</v>
      </c>
      <c r="C34" s="12" t="s">
        <v>100</v>
      </c>
      <c r="D34" s="14" t="n">
        <f aca="false">серпень!P34</f>
        <v>2041.8</v>
      </c>
      <c r="E34" s="14" t="n">
        <f aca="false">серпень!Q34</f>
        <v>0</v>
      </c>
      <c r="F34" s="13" t="n">
        <f aca="false">серпень!F34</f>
        <v>0</v>
      </c>
      <c r="G34" s="13" t="n">
        <f aca="false">серпень!G34</f>
        <v>49.8</v>
      </c>
      <c r="H34" s="13" t="n">
        <f aca="false">серпень!H34</f>
        <v>0</v>
      </c>
      <c r="I34" s="13" t="n">
        <f aca="false">серпень!I34</f>
        <v>4.1</v>
      </c>
      <c r="J34" s="14" t="n">
        <f aca="false">ROUND(G34*I34,2)</f>
        <v>204.18</v>
      </c>
      <c r="K34" s="14"/>
      <c r="L34" s="14"/>
      <c r="M34" s="14"/>
      <c r="N34" s="14" t="n">
        <f aca="false">ROUND((G34*I34)-K34-L34-M34,2)</f>
        <v>204.18</v>
      </c>
      <c r="O34" s="14"/>
      <c r="P34" s="14" t="n">
        <f aca="false">ROUND(IF(D34=0,IF((N34-E34-O34)&gt;0,(N34-E34-O34),0),IF((D34+N34-O34)&gt;0,(D34+N34-O34),0)),2)</f>
        <v>2245.98</v>
      </c>
      <c r="Q34" s="14" t="n">
        <f aca="false">ROUND(IF(E34=0,IF((D34+N34-O34)&lt;0,ABS(D34+N34-O34),0),IF((N34-E34-O34)&lt;0,ABS(N34-E34-O34),0)),2)</f>
        <v>0</v>
      </c>
    </row>
    <row r="35" customFormat="false" ht="15" hidden="false" customHeight="true" outlineLevel="0" collapsed="false">
      <c r="A35" s="12" t="s">
        <v>101</v>
      </c>
      <c r="B35" s="12" t="str">
        <f aca="false">серпень!B35</f>
        <v>Мержиєвська Г.К</v>
      </c>
      <c r="C35" s="12" t="s">
        <v>103</v>
      </c>
      <c r="D35" s="14" t="n">
        <f aca="false">серпень!P35</f>
        <v>1442</v>
      </c>
      <c r="E35" s="14" t="n">
        <f aca="false">серпень!Q35</f>
        <v>0</v>
      </c>
      <c r="F35" s="13" t="n">
        <f aca="false">серпень!F35</f>
        <v>0</v>
      </c>
      <c r="G35" s="13" t="n">
        <f aca="false">серпень!G35</f>
        <v>35.17</v>
      </c>
      <c r="H35" s="13" t="n">
        <f aca="false">серпень!H35</f>
        <v>0</v>
      </c>
      <c r="I35" s="13" t="n">
        <f aca="false">серпень!I35</f>
        <v>4.1</v>
      </c>
      <c r="J35" s="14" t="n">
        <f aca="false">ROUND(G35*I35,2)</f>
        <v>144.2</v>
      </c>
      <c r="K35" s="14"/>
      <c r="L35" s="14"/>
      <c r="M35" s="14"/>
      <c r="N35" s="14" t="n">
        <f aca="false">ROUND((G35*I35)-K35-L35-M35,2)</f>
        <v>144.2</v>
      </c>
      <c r="O35" s="14"/>
      <c r="P35" s="14" t="n">
        <f aca="false">ROUND(IF(D35=0,IF((N35-E35-O35)&gt;0,(N35-E35-O35),0),IF((D35+N35-O35)&gt;0,(D35+N35-O35),0)),2)</f>
        <v>1586.2</v>
      </c>
      <c r="Q35" s="14" t="n">
        <f aca="false">ROUND(IF(E35=0,IF((D35+N35-O35)&lt;0,ABS(D35+N35-O35),0),IF((N35-E35-O35)&lt;0,ABS(N35-E35-O35),0)),2)</f>
        <v>0</v>
      </c>
    </row>
    <row r="36" customFormat="false" ht="15" hidden="false" customHeight="true" outlineLevel="0" collapsed="false">
      <c r="A36" s="12" t="s">
        <v>104</v>
      </c>
      <c r="B36" s="12" t="str">
        <f aca="false">серпень!B36</f>
        <v>Кулакова Л.В.</v>
      </c>
      <c r="C36" s="12" t="s">
        <v>106</v>
      </c>
      <c r="D36" s="14" t="n">
        <f aca="false">серпень!P36</f>
        <v>2049.04</v>
      </c>
      <c r="E36" s="14" t="n">
        <f aca="false">серпень!Q36</f>
        <v>0</v>
      </c>
      <c r="F36" s="13" t="n">
        <f aca="false">серпень!F36</f>
        <v>0</v>
      </c>
      <c r="G36" s="13" t="n">
        <f aca="false">серпень!G36</f>
        <v>62.47</v>
      </c>
      <c r="H36" s="13" t="n">
        <f aca="false">серпень!H36</f>
        <v>0</v>
      </c>
      <c r="I36" s="13" t="n">
        <f aca="false">серпень!I36</f>
        <v>4.1</v>
      </c>
      <c r="J36" s="14" t="n">
        <f aca="false">ROUND(G36*I36,2)</f>
        <v>256.13</v>
      </c>
      <c r="K36" s="14"/>
      <c r="L36" s="14"/>
      <c r="M36" s="14"/>
      <c r="N36" s="14" t="n">
        <f aca="false">ROUND((G36*I36)-K36-L36-M36,2)</f>
        <v>256.13</v>
      </c>
      <c r="O36" s="14"/>
      <c r="P36" s="14" t="n">
        <f aca="false">ROUND(IF(D36=0,IF((N36-E36-O36)&gt;0,(N36-E36-O36),0),IF((D36+N36-O36)&gt;0,(D36+N36-O36),0)),2)</f>
        <v>2305.17</v>
      </c>
      <c r="Q36" s="14" t="n">
        <f aca="false">ROUND(IF(E36=0,IF((D36+N36-O36)&lt;0,ABS(D36+N36-O36),0),IF((N36-E36-O36)&lt;0,ABS(N36-E36-O36),0)),2)</f>
        <v>0</v>
      </c>
    </row>
    <row r="37" customFormat="false" ht="15" hidden="false" customHeight="true" outlineLevel="0" collapsed="false">
      <c r="A37" s="12" t="s">
        <v>107</v>
      </c>
      <c r="B37" s="12" t="str">
        <f aca="false">серпень!B37</f>
        <v>Бочаров В.Л.</v>
      </c>
      <c r="C37" s="12" t="s">
        <v>109</v>
      </c>
      <c r="D37" s="14" t="n">
        <f aca="false">серпень!P37</f>
        <v>9140.16</v>
      </c>
      <c r="E37" s="14" t="n">
        <f aca="false">серпень!Q37</f>
        <v>0</v>
      </c>
      <c r="F37" s="13" t="n">
        <f aca="false">серпень!F37</f>
        <v>0</v>
      </c>
      <c r="G37" s="13" t="n">
        <f aca="false">серпень!G37</f>
        <v>65.75</v>
      </c>
      <c r="H37" s="13" t="n">
        <f aca="false">серпень!H37</f>
        <v>0</v>
      </c>
      <c r="I37" s="13" t="n">
        <f aca="false">серпень!I37</f>
        <v>4.1</v>
      </c>
      <c r="J37" s="14" t="n">
        <f aca="false">ROUND(G37*I37,2)</f>
        <v>269.58</v>
      </c>
      <c r="K37" s="14"/>
      <c r="L37" s="14"/>
      <c r="M37" s="14"/>
      <c r="N37" s="14" t="n">
        <f aca="false">ROUND((G37*I37)-K37-L37-M37,2)</f>
        <v>269.58</v>
      </c>
      <c r="O37" s="14"/>
      <c r="P37" s="14" t="n">
        <f aca="false">ROUND(IF(D37=0,IF((N37-E37-O37)&gt;0,(N37-E37-O37),0),IF((D37+N37-O37)&gt;0,(D37+N37-O37),0)),2)</f>
        <v>9409.74</v>
      </c>
      <c r="Q37" s="14" t="n">
        <f aca="false">ROUND(IF(E37=0,IF((D37+N37-O37)&lt;0,ABS(D37+N37-O37),0),IF((N37-E37-O37)&lt;0,ABS(N37-E37-O37),0)),2)</f>
        <v>0</v>
      </c>
    </row>
    <row r="38" customFormat="false" ht="15" hidden="false" customHeight="true" outlineLevel="0" collapsed="false">
      <c r="A38" s="12" t="s">
        <v>110</v>
      </c>
      <c r="B38" s="12" t="str">
        <f aca="false">серпень!B38</f>
        <v>Лучков В.Л.</v>
      </c>
      <c r="C38" s="12" t="s">
        <v>112</v>
      </c>
      <c r="D38" s="14" t="n">
        <f aca="false">серпень!P38</f>
        <v>11198.71</v>
      </c>
      <c r="E38" s="14" t="n">
        <f aca="false">серпень!Q38</f>
        <v>0</v>
      </c>
      <c r="F38" s="13" t="n">
        <f aca="false">серпень!F38</f>
        <v>0</v>
      </c>
      <c r="G38" s="13" t="n">
        <f aca="false">серпень!G38</f>
        <v>49.7</v>
      </c>
      <c r="H38" s="13" t="n">
        <f aca="false">серпень!H38</f>
        <v>0</v>
      </c>
      <c r="I38" s="13" t="n">
        <f aca="false">серпень!I38</f>
        <v>4.1</v>
      </c>
      <c r="J38" s="14" t="n">
        <f aca="false">ROUND(G38*I38,2)</f>
        <v>203.77</v>
      </c>
      <c r="K38" s="14"/>
      <c r="L38" s="14"/>
      <c r="M38" s="14"/>
      <c r="N38" s="14" t="n">
        <f aca="false">ROUND((G38*I38)-K38-L38-M38,2)</f>
        <v>203.77</v>
      </c>
      <c r="O38" s="14"/>
      <c r="P38" s="14" t="n">
        <f aca="false">ROUND(IF(D38=0,IF((N38-E38-O38)&gt;0,(N38-E38-O38),0),IF((D38+N38-O38)&gt;0,(D38+N38-O38),0)),2)</f>
        <v>11402.48</v>
      </c>
      <c r="Q38" s="14" t="n">
        <f aca="false">ROUND(IF(E38=0,IF((D38+N38-O38)&lt;0,ABS(D38+N38-O38),0),IF((N38-E38-O38)&lt;0,ABS(N38-E38-O38),0)),2)</f>
        <v>0</v>
      </c>
    </row>
    <row r="39" customFormat="false" ht="15" hidden="false" customHeight="true" outlineLevel="0" collapsed="false">
      <c r="A39" s="12" t="s">
        <v>113</v>
      </c>
      <c r="B39" s="12" t="str">
        <f aca="false">серпень!B39</f>
        <v>Кашкар Т.М.</v>
      </c>
      <c r="C39" s="12" t="s">
        <v>115</v>
      </c>
      <c r="D39" s="14" t="n">
        <f aca="false">серпень!P39</f>
        <v>1151.28</v>
      </c>
      <c r="E39" s="14" t="n">
        <f aca="false">серпень!Q39</f>
        <v>0</v>
      </c>
      <c r="F39" s="13" t="n">
        <f aca="false">серпень!F39</f>
        <v>0</v>
      </c>
      <c r="G39" s="13" t="n">
        <f aca="false">серпень!G39</f>
        <v>35.1</v>
      </c>
      <c r="H39" s="13" t="n">
        <f aca="false">серпень!H39</f>
        <v>0</v>
      </c>
      <c r="I39" s="13" t="n">
        <f aca="false">серпень!I39</f>
        <v>4.1</v>
      </c>
      <c r="J39" s="14" t="n">
        <f aca="false">ROUND(G39*I39,2)</f>
        <v>143.91</v>
      </c>
      <c r="K39" s="14"/>
      <c r="L39" s="14"/>
      <c r="M39" s="14"/>
      <c r="N39" s="14" t="n">
        <f aca="false">ROUND((G39*I39)-K39-L39-M39,2)</f>
        <v>143.91</v>
      </c>
      <c r="O39" s="14"/>
      <c r="P39" s="14" t="n">
        <f aca="false">ROUND(IF(D39=0,IF((N39-E39-O39)&gt;0,(N39-E39-O39),0),IF((D39+N39-O39)&gt;0,(D39+N39-O39),0)),2)</f>
        <v>1295.19</v>
      </c>
      <c r="Q39" s="14" t="n">
        <f aca="false">ROUND(IF(E39=0,IF((D39+N39-O39)&lt;0,ABS(D39+N39-O39),0),IF((N39-E39-O39)&lt;0,ABS(N39-E39-O39),0)),2)</f>
        <v>0</v>
      </c>
    </row>
    <row r="40" customFormat="false" ht="15" hidden="false" customHeight="true" outlineLevel="0" collapsed="false">
      <c r="A40" s="12" t="s">
        <v>116</v>
      </c>
      <c r="B40" s="12" t="str">
        <f aca="false">серпень!B40</f>
        <v>Стецюк Н.П.</v>
      </c>
      <c r="C40" s="12" t="s">
        <v>118</v>
      </c>
      <c r="D40" s="14" t="n">
        <f aca="false">серпень!P40</f>
        <v>2948.43</v>
      </c>
      <c r="E40" s="14" t="n">
        <f aca="false">серпень!Q40</f>
        <v>0</v>
      </c>
      <c r="F40" s="13" t="n">
        <f aca="false">серпень!F40</f>
        <v>0</v>
      </c>
      <c r="G40" s="13" t="n">
        <f aca="false">серпень!G40</f>
        <v>61.9</v>
      </c>
      <c r="H40" s="13" t="n">
        <f aca="false">серпень!H40</f>
        <v>0</v>
      </c>
      <c r="I40" s="13" t="n">
        <f aca="false">серпень!I40</f>
        <v>4.1</v>
      </c>
      <c r="J40" s="14" t="n">
        <f aca="false">ROUND(G40*I40,2)</f>
        <v>253.79</v>
      </c>
      <c r="K40" s="14"/>
      <c r="L40" s="14"/>
      <c r="M40" s="14"/>
      <c r="N40" s="14" t="n">
        <f aca="false">ROUND((G40*I40)-K40-L40-M40,2)</f>
        <v>253.79</v>
      </c>
      <c r="O40" s="14"/>
      <c r="P40" s="14" t="n">
        <f aca="false">ROUND(IF(D40=0,IF((N40-E40-O40)&gt;0,(N40-E40-O40),0),IF((D40+N40-O40)&gt;0,(D40+N40-O40),0)),2)</f>
        <v>3202.22</v>
      </c>
      <c r="Q40" s="14" t="n">
        <f aca="false">ROUND(IF(E40=0,IF((D40+N40-O40)&lt;0,ABS(D40+N40-O40),0),IF((N40-E40-O40)&lt;0,ABS(N40-E40-O40),0)),2)</f>
        <v>0</v>
      </c>
    </row>
    <row r="41" customFormat="false" ht="15" hidden="false" customHeight="true" outlineLevel="0" collapsed="false">
      <c r="A41" s="12" t="s">
        <v>119</v>
      </c>
      <c r="B41" s="12" t="str">
        <f aca="false">серпень!B41</f>
        <v>Маханько В.О.</v>
      </c>
      <c r="C41" s="12" t="s">
        <v>121</v>
      </c>
      <c r="D41" s="14" t="n">
        <f aca="false">серпень!P41</f>
        <v>11710.77</v>
      </c>
      <c r="E41" s="14" t="n">
        <f aca="false">серпень!Q41</f>
        <v>0</v>
      </c>
      <c r="F41" s="13" t="n">
        <f aca="false">серпень!F41</f>
        <v>0</v>
      </c>
      <c r="G41" s="13" t="n">
        <f aca="false">серпень!G41</f>
        <v>65.53</v>
      </c>
      <c r="H41" s="13" t="n">
        <f aca="false">серпень!H41</f>
        <v>0</v>
      </c>
      <c r="I41" s="13" t="n">
        <f aca="false">серпень!I41</f>
        <v>4.1</v>
      </c>
      <c r="J41" s="14" t="n">
        <f aca="false">ROUND(G41*I41,2)</f>
        <v>268.67</v>
      </c>
      <c r="K41" s="14"/>
      <c r="L41" s="14"/>
      <c r="M41" s="14"/>
      <c r="N41" s="14" t="n">
        <f aca="false">ROUND((G41*I41)-K41-L41-M41,2)</f>
        <v>268.67</v>
      </c>
      <c r="O41" s="14"/>
      <c r="P41" s="14" t="n">
        <f aca="false">ROUND(IF(D41=0,IF((N41-E41-O41)&gt;0,(N41-E41-O41),0),IF((D41+N41-O41)&gt;0,(D41+N41-O41),0)),2)</f>
        <v>11979.44</v>
      </c>
      <c r="Q41" s="14" t="n">
        <f aca="false">ROUND(IF(E41=0,IF((D41+N41-O41)&lt;0,ABS(D41+N41-O41),0),IF((N41-E41-O41)&lt;0,ABS(N41-E41-O41),0)),2)</f>
        <v>0</v>
      </c>
    </row>
    <row r="42" customFormat="false" ht="15" hidden="false" customHeight="true" outlineLevel="0" collapsed="false">
      <c r="A42" s="12" t="s">
        <v>122</v>
      </c>
      <c r="B42" s="12" t="str">
        <f aca="false">серпень!B42</f>
        <v>Реуцька Р.С.</v>
      </c>
      <c r="C42" s="12" t="s">
        <v>124</v>
      </c>
      <c r="D42" s="14" t="n">
        <f aca="false">серпень!P42</f>
        <v>9891.62</v>
      </c>
      <c r="E42" s="14" t="n">
        <f aca="false">серпень!Q42</f>
        <v>0</v>
      </c>
      <c r="F42" s="13" t="n">
        <f aca="false">серпень!F42</f>
        <v>0</v>
      </c>
      <c r="G42" s="13" t="n">
        <f aca="false">серпень!G42</f>
        <v>49.7</v>
      </c>
      <c r="H42" s="13" t="n">
        <f aca="false">серпень!H42</f>
        <v>0</v>
      </c>
      <c r="I42" s="13" t="n">
        <f aca="false">серпень!I42</f>
        <v>4.1</v>
      </c>
      <c r="J42" s="14" t="n">
        <f aca="false">ROUND(G42*I42,2)</f>
        <v>203.77</v>
      </c>
      <c r="K42" s="14"/>
      <c r="L42" s="14"/>
      <c r="M42" s="14"/>
      <c r="N42" s="14" t="n">
        <f aca="false">ROUND((G42*I42)-K42-L42-M42,2)</f>
        <v>203.77</v>
      </c>
      <c r="O42" s="14"/>
      <c r="P42" s="14" t="n">
        <f aca="false">ROUND(IF(D42=0,IF((N42-E42-O42)&gt;0,(N42-E42-O42),0),IF((D42+N42-O42)&gt;0,(D42+N42-O42),0)),2)</f>
        <v>10095.39</v>
      </c>
      <c r="Q42" s="14" t="n">
        <f aca="false">ROUND(IF(E42=0,IF((D42+N42-O42)&lt;0,ABS(D42+N42-O42),0),IF((N42-E42-O42)&lt;0,ABS(N42-E42-O42),0)),2)</f>
        <v>0</v>
      </c>
    </row>
    <row r="43" customFormat="false" ht="15" hidden="false" customHeight="true" outlineLevel="0" collapsed="false">
      <c r="A43" s="12" t="s">
        <v>125</v>
      </c>
      <c r="B43" s="12" t="str">
        <f aca="false">серпень!B43</f>
        <v>Колесникова Р.Г.</v>
      </c>
      <c r="C43" s="12" t="s">
        <v>127</v>
      </c>
      <c r="D43" s="14" t="n">
        <f aca="false">серпень!P43</f>
        <v>3027.84</v>
      </c>
      <c r="E43" s="14" t="n">
        <f aca="false">серпень!Q43</f>
        <v>0</v>
      </c>
      <c r="F43" s="13" t="n">
        <f aca="false">серпень!F43</f>
        <v>0</v>
      </c>
      <c r="G43" s="13" t="n">
        <f aca="false">серпень!G43</f>
        <v>35.1</v>
      </c>
      <c r="H43" s="13" t="n">
        <f aca="false">серпень!H43</f>
        <v>0</v>
      </c>
      <c r="I43" s="13" t="n">
        <f aca="false">серпень!I43</f>
        <v>4.1</v>
      </c>
      <c r="J43" s="14" t="n">
        <f aca="false">ROUND(G43*I43,2)</f>
        <v>143.91</v>
      </c>
      <c r="K43" s="14"/>
      <c r="L43" s="14"/>
      <c r="M43" s="14"/>
      <c r="N43" s="14" t="n">
        <f aca="false">ROUND((G43*I43)-K43-L43-M43,2)</f>
        <v>143.91</v>
      </c>
      <c r="O43" s="14"/>
      <c r="P43" s="14" t="n">
        <f aca="false">ROUND(IF(D43=0,IF((N43-E43-O43)&gt;0,(N43-E43-O43),0),IF((D43+N43-O43)&gt;0,(D43+N43-O43),0)),2)</f>
        <v>3171.75</v>
      </c>
      <c r="Q43" s="14" t="n">
        <f aca="false">ROUND(IF(E43=0,IF((D43+N43-O43)&lt;0,ABS(D43+N43-O43),0),IF((N43-E43-O43)&lt;0,ABS(N43-E43-O43),0)),2)</f>
        <v>0</v>
      </c>
    </row>
    <row r="44" customFormat="false" ht="15" hidden="false" customHeight="true" outlineLevel="0" collapsed="false">
      <c r="A44" s="12" t="s">
        <v>128</v>
      </c>
      <c r="B44" s="12" t="str">
        <f aca="false">серпень!B44</f>
        <v>Кучеренко М.М.</v>
      </c>
      <c r="C44" s="12" t="s">
        <v>130</v>
      </c>
      <c r="D44" s="14" t="n">
        <f aca="false">серпень!P44</f>
        <v>13251.07</v>
      </c>
      <c r="E44" s="14" t="n">
        <f aca="false">серпень!Q44</f>
        <v>0</v>
      </c>
      <c r="F44" s="13" t="n">
        <f aca="false">серпень!F44</f>
        <v>0</v>
      </c>
      <c r="G44" s="13" t="n">
        <f aca="false">серпень!G44</f>
        <v>61.88</v>
      </c>
      <c r="H44" s="13" t="n">
        <f aca="false">серпень!H44</f>
        <v>0</v>
      </c>
      <c r="I44" s="13" t="n">
        <f aca="false">серпень!I44</f>
        <v>4.1</v>
      </c>
      <c r="J44" s="14" t="n">
        <f aca="false">ROUND(G44*I44,2)</f>
        <v>253.71</v>
      </c>
      <c r="K44" s="14"/>
      <c r="L44" s="14"/>
      <c r="M44" s="14"/>
      <c r="N44" s="14" t="n">
        <f aca="false">ROUND((G44*I44)-K44-L44-M44,2)</f>
        <v>253.71</v>
      </c>
      <c r="O44" s="14"/>
      <c r="P44" s="14" t="n">
        <f aca="false">ROUND(IF(D44=0,IF((N44-E44-O44)&gt;0,(N44-E44-O44),0),IF((D44+N44-O44)&gt;0,(D44+N44-O44),0)),2)</f>
        <v>13504.78</v>
      </c>
      <c r="Q44" s="14" t="n">
        <f aca="false">ROUND(IF(E44=0,IF((D44+N44-O44)&lt;0,ABS(D44+N44-O44),0),IF((N44-E44-O44)&lt;0,ABS(N44-E44-O44),0)),2)</f>
        <v>0</v>
      </c>
    </row>
    <row r="45" customFormat="false" ht="15" hidden="false" customHeight="true" outlineLevel="0" collapsed="false">
      <c r="A45" s="12" t="s">
        <v>131</v>
      </c>
      <c r="B45" s="12" t="str">
        <f aca="false">серпень!B45</f>
        <v>Гурова О.М.</v>
      </c>
      <c r="C45" s="12" t="s">
        <v>133</v>
      </c>
      <c r="D45" s="14" t="n">
        <f aca="false">серпень!P45</f>
        <v>1723.79</v>
      </c>
      <c r="E45" s="14" t="n">
        <f aca="false">серпень!Q45</f>
        <v>0</v>
      </c>
      <c r="F45" s="13" t="n">
        <f aca="false">серпень!F45</f>
        <v>0</v>
      </c>
      <c r="G45" s="13" t="n">
        <f aca="false">серпень!G45</f>
        <v>62.2</v>
      </c>
      <c r="H45" s="13" t="n">
        <f aca="false">серпень!H45</f>
        <v>0</v>
      </c>
      <c r="I45" s="13" t="n">
        <f aca="false">серпень!I45</f>
        <v>4.1</v>
      </c>
      <c r="J45" s="14" t="n">
        <f aca="false">ROUND(G45*I45,2)</f>
        <v>255.02</v>
      </c>
      <c r="K45" s="14"/>
      <c r="L45" s="14"/>
      <c r="M45" s="14"/>
      <c r="N45" s="14" t="n">
        <f aca="false">ROUND((G45*I45)-K45-L45-M45,2)</f>
        <v>255.02</v>
      </c>
      <c r="O45" s="14"/>
      <c r="P45" s="14" t="n">
        <f aca="false">ROUND(IF(D45=0,IF((N45-E45-O45)&gt;0,(N45-E45-O45),0),IF((D45+N45-O45)&gt;0,(D45+N45-O45),0)),2)</f>
        <v>1978.81</v>
      </c>
      <c r="Q45" s="14" t="n">
        <f aca="false">ROUND(IF(E45=0,IF((D45+N45-O45)&lt;0,ABS(D45+N45-O45),0),IF((N45-E45-O45)&lt;0,ABS(N45-E45-O45),0)),2)</f>
        <v>0</v>
      </c>
    </row>
    <row r="46" customFormat="false" ht="15" hidden="false" customHeight="true" outlineLevel="0" collapsed="false">
      <c r="A46" s="12" t="s">
        <v>134</v>
      </c>
      <c r="B46" s="12" t="str">
        <f aca="false">серпень!B46</f>
        <v>Федорова В.І.</v>
      </c>
      <c r="C46" s="12" t="s">
        <v>136</v>
      </c>
      <c r="D46" s="14" t="n">
        <f aca="false">серпень!P46</f>
        <v>787.81</v>
      </c>
      <c r="E46" s="14" t="n">
        <f aca="false">серпень!Q46</f>
        <v>0</v>
      </c>
      <c r="F46" s="13" t="n">
        <f aca="false">серпень!F46</f>
        <v>0</v>
      </c>
      <c r="G46" s="13" t="n">
        <f aca="false">серпень!G46</f>
        <v>34.9</v>
      </c>
      <c r="H46" s="13" t="n">
        <f aca="false">серпень!H46</f>
        <v>0</v>
      </c>
      <c r="I46" s="13" t="n">
        <f aca="false">серпень!I46</f>
        <v>4.1</v>
      </c>
      <c r="J46" s="14" t="n">
        <f aca="false">ROUND(G46*I46,2)</f>
        <v>143.09</v>
      </c>
      <c r="K46" s="14"/>
      <c r="L46" s="14"/>
      <c r="M46" s="14"/>
      <c r="N46" s="14" t="n">
        <f aca="false">ROUND((G46*I46)-K46-L46-M46,2)</f>
        <v>143.09</v>
      </c>
      <c r="O46" s="14"/>
      <c r="P46" s="14" t="n">
        <f aca="false">ROUND(IF(D46=0,IF((N46-E46-O46)&gt;0,(N46-E46-O46),0),IF((D46+N46-O46)&gt;0,(D46+N46-O46),0)),2)</f>
        <v>930.9</v>
      </c>
      <c r="Q46" s="14" t="n">
        <f aca="false">ROUND(IF(E46=0,IF((D46+N46-O46)&lt;0,ABS(D46+N46-O46),0),IF((N46-E46-O46)&lt;0,ABS(N46-E46-O46),0)),2)</f>
        <v>0</v>
      </c>
    </row>
    <row r="47" customFormat="false" ht="15" hidden="false" customHeight="true" outlineLevel="0" collapsed="false">
      <c r="A47" s="12" t="s">
        <v>137</v>
      </c>
      <c r="B47" s="12" t="str">
        <f aca="false">серпень!B47</f>
        <v>Лаптєв В.І.</v>
      </c>
      <c r="C47" s="12" t="s">
        <v>139</v>
      </c>
      <c r="D47" s="14" t="n">
        <f aca="false">серпень!P47</f>
        <v>1600.64</v>
      </c>
      <c r="E47" s="14" t="n">
        <f aca="false">серпень!Q47</f>
        <v>0</v>
      </c>
      <c r="F47" s="13" t="n">
        <f aca="false">серпень!F47</f>
        <v>0</v>
      </c>
      <c r="G47" s="13" t="n">
        <f aca="false">серпень!G47</f>
        <v>48.8</v>
      </c>
      <c r="H47" s="13" t="n">
        <f aca="false">серпень!H47</f>
        <v>0</v>
      </c>
      <c r="I47" s="13" t="n">
        <f aca="false">серпень!I47</f>
        <v>4.1</v>
      </c>
      <c r="J47" s="14" t="n">
        <f aca="false">ROUND(G47*I47,2)</f>
        <v>200.08</v>
      </c>
      <c r="K47" s="14"/>
      <c r="L47" s="14"/>
      <c r="M47" s="14"/>
      <c r="N47" s="14" t="n">
        <f aca="false">ROUND((G47*I47)-K47-L47-M47,2)</f>
        <v>200.08</v>
      </c>
      <c r="O47" s="14"/>
      <c r="P47" s="14" t="n">
        <f aca="false">ROUND(IF(D47=0,IF((N47-E47-O47)&gt;0,(N47-E47-O47),0),IF((D47+N47-O47)&gt;0,(D47+N47-O47),0)),2)</f>
        <v>1800.72</v>
      </c>
      <c r="Q47" s="14" t="n">
        <f aca="false">ROUND(IF(E47=0,IF((D47+N47-O47)&lt;0,ABS(D47+N47-O47),0),IF((N47-E47-O47)&lt;0,ABS(N47-E47-O47),0)),2)</f>
        <v>0</v>
      </c>
    </row>
    <row r="48" customFormat="false" ht="15" hidden="false" customHeight="true" outlineLevel="0" collapsed="false">
      <c r="A48" s="12" t="s">
        <v>140</v>
      </c>
      <c r="B48" s="12" t="str">
        <f aca="false">серпень!B48</f>
        <v>Тимощук О.Є.</v>
      </c>
      <c r="C48" s="12" t="s">
        <v>142</v>
      </c>
      <c r="D48" s="14" t="n">
        <f aca="false">серпень!P48</f>
        <v>1879.44</v>
      </c>
      <c r="E48" s="14" t="n">
        <f aca="false">серпень!Q48</f>
        <v>0</v>
      </c>
      <c r="F48" s="13" t="n">
        <f aca="false">серпень!F48</f>
        <v>0</v>
      </c>
      <c r="G48" s="13" t="n">
        <f aca="false">серпень!G48</f>
        <v>57.3</v>
      </c>
      <c r="H48" s="13" t="n">
        <f aca="false">серпень!H48</f>
        <v>0</v>
      </c>
      <c r="I48" s="13" t="n">
        <f aca="false">серпень!I48</f>
        <v>4.1</v>
      </c>
      <c r="J48" s="14" t="n">
        <f aca="false">ROUND(G48*I48,2)</f>
        <v>234.93</v>
      </c>
      <c r="K48" s="14"/>
      <c r="L48" s="14"/>
      <c r="M48" s="14"/>
      <c r="N48" s="14" t="n">
        <f aca="false">ROUND((G48*I48)-K48-L48-M48,2)</f>
        <v>234.93</v>
      </c>
      <c r="O48" s="14"/>
      <c r="P48" s="14" t="n">
        <f aca="false">ROUND(IF(D48=0,IF((N48-E48-O48)&gt;0,(N48-E48-O48),0),IF((D48+N48-O48)&gt;0,(D48+N48-O48),0)),2)</f>
        <v>2114.37</v>
      </c>
      <c r="Q48" s="14" t="n">
        <f aca="false">ROUND(IF(E48=0,IF((D48+N48-O48)&lt;0,ABS(D48+N48-O48),0),IF((N48-E48-O48)&lt;0,ABS(N48-E48-O48),0)),2)</f>
        <v>0</v>
      </c>
    </row>
    <row r="49" customFormat="false" ht="15" hidden="false" customHeight="true" outlineLevel="0" collapsed="false">
      <c r="A49" s="12" t="s">
        <v>143</v>
      </c>
      <c r="B49" s="12" t="str">
        <f aca="false">серпень!B49</f>
        <v>Котяш О.В.</v>
      </c>
      <c r="C49" s="12" t="s">
        <v>145</v>
      </c>
      <c r="D49" s="14" t="n">
        <f aca="false">серпень!P49</f>
        <v>5188.89</v>
      </c>
      <c r="E49" s="14" t="n">
        <f aca="false">серпень!Q49</f>
        <v>0</v>
      </c>
      <c r="F49" s="13" t="n">
        <f aca="false">серпень!F49</f>
        <v>0</v>
      </c>
      <c r="G49" s="13" t="n">
        <f aca="false">серпень!G49</f>
        <v>63.3</v>
      </c>
      <c r="H49" s="13" t="n">
        <f aca="false">серпень!H49</f>
        <v>0</v>
      </c>
      <c r="I49" s="13" t="n">
        <f aca="false">серпень!I49</f>
        <v>4.1</v>
      </c>
      <c r="J49" s="14" t="n">
        <f aca="false">ROUND(G49*I49,2)</f>
        <v>259.53</v>
      </c>
      <c r="K49" s="14"/>
      <c r="L49" s="14"/>
      <c r="M49" s="14"/>
      <c r="N49" s="14" t="n">
        <f aca="false">ROUND((G49*I49)-K49-L49-M49,2)</f>
        <v>259.53</v>
      </c>
      <c r="O49" s="14"/>
      <c r="P49" s="14" t="n">
        <f aca="false">ROUND(IF(D49=0,IF((N49-E49-O49)&gt;0,(N49-E49-O49),0),IF((D49+N49-O49)&gt;0,(D49+N49-O49),0)),2)</f>
        <v>5448.42</v>
      </c>
      <c r="Q49" s="14" t="n">
        <f aca="false">ROUND(IF(E49=0,IF((D49+N49-O49)&lt;0,ABS(D49+N49-O49),0),IF((N49-E49-O49)&lt;0,ABS(N49-E49-O49),0)),2)</f>
        <v>0</v>
      </c>
    </row>
    <row r="50" customFormat="false" ht="15" hidden="false" customHeight="true" outlineLevel="0" collapsed="false">
      <c r="A50" s="12" t="s">
        <v>146</v>
      </c>
      <c r="B50" s="12" t="str">
        <f aca="false">серпень!B50</f>
        <v>Токовило-Паращенко Л.П.</v>
      </c>
      <c r="C50" s="12" t="s">
        <v>148</v>
      </c>
      <c r="D50" s="14" t="n">
        <f aca="false">серпень!P50</f>
        <v>1170.32</v>
      </c>
      <c r="E50" s="14" t="n">
        <f aca="false">серпень!Q50</f>
        <v>0</v>
      </c>
      <c r="F50" s="13" t="n">
        <f aca="false">серпень!F50</f>
        <v>0</v>
      </c>
      <c r="G50" s="13" t="n">
        <f aca="false">серпень!G50</f>
        <v>35.68</v>
      </c>
      <c r="H50" s="13" t="n">
        <f aca="false">серпень!H50</f>
        <v>0</v>
      </c>
      <c r="I50" s="13" t="n">
        <f aca="false">серпень!I50</f>
        <v>4.1</v>
      </c>
      <c r="J50" s="14" t="n">
        <f aca="false">ROUND(G50*I50,2)</f>
        <v>146.29</v>
      </c>
      <c r="K50" s="14"/>
      <c r="L50" s="14"/>
      <c r="M50" s="14"/>
      <c r="N50" s="14" t="n">
        <f aca="false">ROUND((G50*I50)-K50-L50-M50,2)</f>
        <v>146.29</v>
      </c>
      <c r="O50" s="14"/>
      <c r="P50" s="14" t="n">
        <f aca="false">ROUND(IF(D50=0,IF((N50-E50-O50)&gt;0,(N50-E50-O50),0),IF((D50+N50-O50)&gt;0,(D50+N50-O50),0)),2)</f>
        <v>1316.61</v>
      </c>
      <c r="Q50" s="14" t="n">
        <f aca="false">ROUND(IF(E50=0,IF((D50+N50-O50)&lt;0,ABS(D50+N50-O50),0),IF((N50-E50-O50)&lt;0,ABS(N50-E50-O50),0)),2)</f>
        <v>0</v>
      </c>
    </row>
    <row r="51" customFormat="false" ht="15" hidden="false" customHeight="true" outlineLevel="0" collapsed="false">
      <c r="A51" s="12" t="s">
        <v>149</v>
      </c>
      <c r="B51" s="12" t="str">
        <f aca="false">серпень!B51</f>
        <v>Бєлая К.В.</v>
      </c>
      <c r="C51" s="12" t="s">
        <v>151</v>
      </c>
      <c r="D51" s="14" t="n">
        <f aca="false">серпень!P51</f>
        <v>4453.84</v>
      </c>
      <c r="E51" s="14" t="n">
        <f aca="false">серпень!Q51</f>
        <v>0</v>
      </c>
      <c r="F51" s="13" t="n">
        <f aca="false">серпень!F51</f>
        <v>0</v>
      </c>
      <c r="G51" s="13" t="n">
        <f aca="false">серпень!G51</f>
        <v>49.8</v>
      </c>
      <c r="H51" s="13" t="n">
        <f aca="false">серпень!H51</f>
        <v>0</v>
      </c>
      <c r="I51" s="13" t="n">
        <f aca="false">серпень!I51</f>
        <v>4.1</v>
      </c>
      <c r="J51" s="14" t="n">
        <f aca="false">ROUND(G51*I51,2)</f>
        <v>204.18</v>
      </c>
      <c r="K51" s="14"/>
      <c r="L51" s="14"/>
      <c r="M51" s="14"/>
      <c r="N51" s="14" t="n">
        <f aca="false">ROUND((G51*I51)-K51-L51-M51,2)</f>
        <v>204.18</v>
      </c>
      <c r="O51" s="14"/>
      <c r="P51" s="14" t="n">
        <f aca="false">ROUND(IF(D51=0,IF((N51-E51-O51)&gt;0,(N51-E51-O51),0),IF((D51+N51-O51)&gt;0,(D51+N51-O51),0)),2)</f>
        <v>4658.02</v>
      </c>
      <c r="Q51" s="14" t="n">
        <f aca="false">ROUND(IF(E51=0,IF((D51+N51-O51)&lt;0,ABS(D51+N51-O51),0),IF((N51-E51-O51)&lt;0,ABS(N51-E51-O51),0)),2)</f>
        <v>0</v>
      </c>
    </row>
    <row r="52" customFormat="false" ht="15" hidden="false" customHeight="true" outlineLevel="0" collapsed="false">
      <c r="A52" s="12" t="s">
        <v>152</v>
      </c>
      <c r="B52" s="12" t="str">
        <f aca="false">серпень!B52</f>
        <v>Стадник О.Ф.</v>
      </c>
      <c r="C52" s="12" t="s">
        <v>154</v>
      </c>
      <c r="D52" s="14" t="n">
        <f aca="false">серпень!P52</f>
        <v>7886.99</v>
      </c>
      <c r="E52" s="14" t="n">
        <f aca="false">серпень!Q52</f>
        <v>0</v>
      </c>
      <c r="F52" s="13" t="n">
        <f aca="false">серпень!F52</f>
        <v>0</v>
      </c>
      <c r="G52" s="13" t="n">
        <f aca="false">серпень!G52</f>
        <v>65.9</v>
      </c>
      <c r="H52" s="13" t="n">
        <f aca="false">серпень!H52</f>
        <v>0</v>
      </c>
      <c r="I52" s="13" t="n">
        <f aca="false">серпень!I52</f>
        <v>4.1</v>
      </c>
      <c r="J52" s="14" t="n">
        <f aca="false">ROUND(G52*I52,2)</f>
        <v>270.19</v>
      </c>
      <c r="K52" s="14"/>
      <c r="L52" s="14"/>
      <c r="M52" s="14"/>
      <c r="N52" s="14" t="n">
        <f aca="false">ROUND((G52*I52)-K52-L52-M52,2)</f>
        <v>270.19</v>
      </c>
      <c r="O52" s="14"/>
      <c r="P52" s="14" t="n">
        <f aca="false">ROUND(IF(D52=0,IF((N52-E52-O52)&gt;0,(N52-E52-O52),0),IF((D52+N52-O52)&gt;0,(D52+N52-O52),0)),2)</f>
        <v>8157.18</v>
      </c>
      <c r="Q52" s="14" t="n">
        <f aca="false">ROUND(IF(E52=0,IF((D52+N52-O52)&lt;0,ABS(D52+N52-O52),0),IF((N52-E52-O52)&lt;0,ABS(N52-E52-O52),0)),2)</f>
        <v>0</v>
      </c>
    </row>
    <row r="53" customFormat="false" ht="15" hidden="false" customHeight="true" outlineLevel="0" collapsed="false">
      <c r="A53" s="12" t="s">
        <v>155</v>
      </c>
      <c r="B53" s="12" t="str">
        <f aca="false">серпень!B53</f>
        <v>Ляшенко В.М.</v>
      </c>
      <c r="C53" s="12" t="s">
        <v>157</v>
      </c>
      <c r="D53" s="14" t="n">
        <f aca="false">серпень!P53</f>
        <v>2033.6</v>
      </c>
      <c r="E53" s="14" t="n">
        <f aca="false">серпень!Q53</f>
        <v>0</v>
      </c>
      <c r="F53" s="13" t="n">
        <f aca="false">серпень!F53</f>
        <v>0</v>
      </c>
      <c r="G53" s="13" t="n">
        <f aca="false">серпень!G53</f>
        <v>62</v>
      </c>
      <c r="H53" s="13" t="n">
        <f aca="false">серпень!H53</f>
        <v>0</v>
      </c>
      <c r="I53" s="13" t="n">
        <f aca="false">серпень!I53</f>
        <v>4.1</v>
      </c>
      <c r="J53" s="14" t="n">
        <f aca="false">ROUND(G53*I53,2)</f>
        <v>254.2</v>
      </c>
      <c r="K53" s="14"/>
      <c r="L53" s="14"/>
      <c r="M53" s="14"/>
      <c r="N53" s="14" t="n">
        <f aca="false">ROUND((G53*I53)-K53-L53-M53,2)</f>
        <v>254.2</v>
      </c>
      <c r="O53" s="14"/>
      <c r="P53" s="14" t="n">
        <f aca="false">ROUND(IF(D53=0,IF((N53-E53-O53)&gt;0,(N53-E53-O53),0),IF((D53+N53-O53)&gt;0,(D53+N53-O53),0)),2)</f>
        <v>2287.8</v>
      </c>
      <c r="Q53" s="14" t="n">
        <f aca="false">ROUND(IF(E53=0,IF((D53+N53-O53)&lt;0,ABS(D53+N53-O53),0),IF((N53-E53-O53)&lt;0,ABS(N53-E53-O53),0)),2)</f>
        <v>0</v>
      </c>
    </row>
    <row r="54" customFormat="false" ht="15" hidden="false" customHeight="true" outlineLevel="0" collapsed="false">
      <c r="A54" s="12" t="s">
        <v>158</v>
      </c>
      <c r="B54" s="12" t="str">
        <f aca="false">серпень!B54</f>
        <v>Смоленська Т.О.</v>
      </c>
      <c r="C54" s="12" t="s">
        <v>160</v>
      </c>
      <c r="D54" s="14" t="n">
        <f aca="false">серпень!P54</f>
        <v>1151.28</v>
      </c>
      <c r="E54" s="14" t="n">
        <f aca="false">серпень!Q54</f>
        <v>0</v>
      </c>
      <c r="F54" s="13" t="n">
        <f aca="false">серпень!F54</f>
        <v>0</v>
      </c>
      <c r="G54" s="13" t="n">
        <f aca="false">серпень!G54</f>
        <v>35.1</v>
      </c>
      <c r="H54" s="13" t="n">
        <f aca="false">серпень!H54</f>
        <v>0</v>
      </c>
      <c r="I54" s="13" t="n">
        <f aca="false">серпень!I54</f>
        <v>4.1</v>
      </c>
      <c r="J54" s="14" t="n">
        <f aca="false">ROUND(G54*I54,2)</f>
        <v>143.91</v>
      </c>
      <c r="K54" s="14"/>
      <c r="L54" s="14"/>
      <c r="M54" s="14"/>
      <c r="N54" s="14" t="n">
        <f aca="false">ROUND((G54*I54)-K54-L54-M54,2)</f>
        <v>143.91</v>
      </c>
      <c r="O54" s="14"/>
      <c r="P54" s="14" t="n">
        <f aca="false">ROUND(IF(D54=0,IF((N54-E54-O54)&gt;0,(N54-E54-O54),0),IF((D54+N54-O54)&gt;0,(D54+N54-O54),0)),2)</f>
        <v>1295.19</v>
      </c>
      <c r="Q54" s="14" t="n">
        <f aca="false">ROUND(IF(E54=0,IF((D54+N54-O54)&lt;0,ABS(D54+N54-O54),0),IF((N54-E54-O54)&lt;0,ABS(N54-E54-O54),0)),2)</f>
        <v>0</v>
      </c>
    </row>
    <row r="55" customFormat="false" ht="15" hidden="false" customHeight="true" outlineLevel="0" collapsed="false">
      <c r="A55" s="12" t="s">
        <v>161</v>
      </c>
      <c r="B55" s="12" t="str">
        <f aca="false">серпень!B55</f>
        <v>Дудка І.В.</v>
      </c>
      <c r="C55" s="12" t="s">
        <v>163</v>
      </c>
      <c r="D55" s="14" t="n">
        <f aca="false">серпень!P55</f>
        <v>1626.88</v>
      </c>
      <c r="E55" s="14" t="n">
        <f aca="false">серпень!Q55</f>
        <v>0</v>
      </c>
      <c r="F55" s="13" t="n">
        <f aca="false">серпень!F55</f>
        <v>0</v>
      </c>
      <c r="G55" s="13" t="n">
        <f aca="false">серпень!G55</f>
        <v>49.6</v>
      </c>
      <c r="H55" s="13" t="n">
        <f aca="false">серпень!H55</f>
        <v>0</v>
      </c>
      <c r="I55" s="13" t="n">
        <f aca="false">серпень!I55</f>
        <v>4.1</v>
      </c>
      <c r="J55" s="14" t="n">
        <f aca="false">ROUND(G55*I55,2)</f>
        <v>203.36</v>
      </c>
      <c r="K55" s="14"/>
      <c r="L55" s="14"/>
      <c r="M55" s="14"/>
      <c r="N55" s="14" t="n">
        <f aca="false">ROUND((G55*I55)-K55-L55-M55,2)</f>
        <v>203.36</v>
      </c>
      <c r="O55" s="14"/>
      <c r="P55" s="14" t="n">
        <f aca="false">ROUND(IF(D55=0,IF((N55-E55-O55)&gt;0,(N55-E55-O55),0),IF((D55+N55-O55)&gt;0,(D55+N55-O55),0)),2)</f>
        <v>1830.24</v>
      </c>
      <c r="Q55" s="14" t="n">
        <f aca="false">ROUND(IF(E55=0,IF((D55+N55-O55)&lt;0,ABS(D55+N55-O55),0),IF((N55-E55-O55)&lt;0,ABS(N55-E55-O55),0)),2)</f>
        <v>0</v>
      </c>
    </row>
    <row r="56" customFormat="false" ht="15" hidden="false" customHeight="true" outlineLevel="0" collapsed="false">
      <c r="A56" s="12" t="s">
        <v>164</v>
      </c>
      <c r="B56" s="12" t="str">
        <f aca="false">серпень!B56</f>
        <v>Буланова Л.І.</v>
      </c>
      <c r="C56" s="12" t="s">
        <v>166</v>
      </c>
      <c r="D56" s="14" t="n">
        <f aca="false">серпень!P56</f>
        <v>2179.2</v>
      </c>
      <c r="E56" s="14" t="n">
        <f aca="false">серпень!Q56</f>
        <v>0</v>
      </c>
      <c r="F56" s="13" t="n">
        <f aca="false">серпень!F56</f>
        <v>0</v>
      </c>
      <c r="G56" s="13" t="n">
        <f aca="false">серпень!G56</f>
        <v>66.44</v>
      </c>
      <c r="H56" s="13" t="n">
        <f aca="false">серпень!H56</f>
        <v>0</v>
      </c>
      <c r="I56" s="13" t="n">
        <f aca="false">серпень!I56</f>
        <v>4.1</v>
      </c>
      <c r="J56" s="14" t="n">
        <f aca="false">ROUND(G56*I56,2)</f>
        <v>272.4</v>
      </c>
      <c r="K56" s="14"/>
      <c r="L56" s="14"/>
      <c r="M56" s="14"/>
      <c r="N56" s="14" t="n">
        <f aca="false">ROUND((G56*I56)-K56-L56-M56,2)</f>
        <v>272.4</v>
      </c>
      <c r="O56" s="14"/>
      <c r="P56" s="14" t="n">
        <f aca="false">ROUND(IF(D56=0,IF((N56-E56-O56)&gt;0,(N56-E56-O56),0),IF((D56+N56-O56)&gt;0,(D56+N56-O56),0)),2)</f>
        <v>2451.6</v>
      </c>
      <c r="Q56" s="14" t="n">
        <f aca="false">ROUND(IF(E56=0,IF((D56+N56-O56)&lt;0,ABS(D56+N56-O56),0),IF((N56-E56-O56)&lt;0,ABS(N56-E56-O56),0)),2)</f>
        <v>0</v>
      </c>
    </row>
    <row r="57" customFormat="false" ht="15" hidden="false" customHeight="true" outlineLevel="0" collapsed="false">
      <c r="A57" s="12" t="s">
        <v>167</v>
      </c>
      <c r="B57" s="12" t="str">
        <f aca="false">серпень!B57</f>
        <v>Шалімова О.О.</v>
      </c>
      <c r="C57" s="12" t="s">
        <v>169</v>
      </c>
      <c r="D57" s="14" t="n">
        <f aca="false">серпень!P57</f>
        <v>2463.11</v>
      </c>
      <c r="E57" s="14" t="n">
        <f aca="false">серпень!Q57</f>
        <v>0</v>
      </c>
      <c r="F57" s="13" t="n">
        <f aca="false">серпень!F57</f>
        <v>0</v>
      </c>
      <c r="G57" s="13" t="n">
        <f aca="false">серпень!G57</f>
        <v>62.1</v>
      </c>
      <c r="H57" s="13" t="n">
        <f aca="false">серпень!H57</f>
        <v>0</v>
      </c>
      <c r="I57" s="13" t="n">
        <f aca="false">серпень!I57</f>
        <v>4.1</v>
      </c>
      <c r="J57" s="14" t="n">
        <f aca="false">ROUND(G57*I57,2)</f>
        <v>254.61</v>
      </c>
      <c r="K57" s="14"/>
      <c r="L57" s="14"/>
      <c r="M57" s="14"/>
      <c r="N57" s="14" t="n">
        <f aca="false">ROUND((G57*I57)-K57-L57-M57,2)</f>
        <v>254.61</v>
      </c>
      <c r="O57" s="14"/>
      <c r="P57" s="14" t="n">
        <f aca="false">ROUND(IF(D57=0,IF((N57-E57-O57)&gt;0,(N57-E57-O57),0),IF((D57+N57-O57)&gt;0,(D57+N57-O57),0)),2)</f>
        <v>2717.72</v>
      </c>
      <c r="Q57" s="14" t="n">
        <f aca="false">ROUND(IF(E57=0,IF((D57+N57-O57)&lt;0,ABS(D57+N57-O57),0),IF((N57-E57-O57)&lt;0,ABS(N57-E57-O57),0)),2)</f>
        <v>0</v>
      </c>
    </row>
    <row r="58" customFormat="false" ht="15" hidden="false" customHeight="true" outlineLevel="0" collapsed="false">
      <c r="A58" s="12" t="s">
        <v>170</v>
      </c>
      <c r="B58" s="12" t="str">
        <f aca="false">серпень!B58</f>
        <v>Андросик О.О.</v>
      </c>
      <c r="C58" s="12" t="s">
        <v>172</v>
      </c>
      <c r="D58" s="14" t="n">
        <f aca="false">серпень!P58</f>
        <v>2357.72</v>
      </c>
      <c r="E58" s="14" t="n">
        <f aca="false">серпень!Q58</f>
        <v>0</v>
      </c>
      <c r="F58" s="13" t="n">
        <f aca="false">серпень!F58</f>
        <v>0</v>
      </c>
      <c r="G58" s="13" t="n">
        <f aca="false">серпень!G58</f>
        <v>34.9</v>
      </c>
      <c r="H58" s="13" t="n">
        <f aca="false">серпень!H58</f>
        <v>0</v>
      </c>
      <c r="I58" s="13" t="n">
        <f aca="false">серпень!I58</f>
        <v>4.1</v>
      </c>
      <c r="J58" s="14" t="n">
        <f aca="false">ROUND(G58*I58,2)</f>
        <v>143.09</v>
      </c>
      <c r="K58" s="14"/>
      <c r="L58" s="14"/>
      <c r="M58" s="14"/>
      <c r="N58" s="14" t="n">
        <f aca="false">ROUND((G58*I58)-K58-L58-M58,2)</f>
        <v>143.09</v>
      </c>
      <c r="O58" s="14"/>
      <c r="P58" s="14" t="n">
        <f aca="false">ROUND(IF(D58=0,IF((N58-E58-O58)&gt;0,(N58-E58-O58),0),IF((D58+N58-O58)&gt;0,(D58+N58-O58),0)),2)</f>
        <v>2500.81</v>
      </c>
      <c r="Q58" s="14" t="n">
        <f aca="false">ROUND(IF(E58=0,IF((D58+N58-O58)&lt;0,ABS(D58+N58-O58),0),IF((N58-E58-O58)&lt;0,ABS(N58-E58-O58),0)),2)</f>
        <v>0</v>
      </c>
    </row>
    <row r="59" customFormat="false" ht="15" hidden="false" customHeight="true" outlineLevel="0" collapsed="false">
      <c r="A59" s="12" t="s">
        <v>173</v>
      </c>
      <c r="B59" s="12" t="str">
        <f aca="false">серпень!B59</f>
        <v>Токар Є.А.</v>
      </c>
      <c r="C59" s="12" t="s">
        <v>175</v>
      </c>
      <c r="D59" s="14" t="n">
        <f aca="false">серпень!P59</f>
        <v>4954.15</v>
      </c>
      <c r="E59" s="14" t="n">
        <f aca="false">серпень!Q59</f>
        <v>0</v>
      </c>
      <c r="F59" s="13" t="n">
        <f aca="false">серпень!F59</f>
        <v>0</v>
      </c>
      <c r="G59" s="13" t="n">
        <f aca="false">серпень!G59</f>
        <v>49.22</v>
      </c>
      <c r="H59" s="13" t="n">
        <f aca="false">серпень!H59</f>
        <v>0</v>
      </c>
      <c r="I59" s="13" t="n">
        <f aca="false">серпень!I59</f>
        <v>4.1</v>
      </c>
      <c r="J59" s="14" t="n">
        <f aca="false">ROUND(G59*I59,2)</f>
        <v>201.8</v>
      </c>
      <c r="K59" s="14"/>
      <c r="L59" s="14"/>
      <c r="M59" s="14"/>
      <c r="N59" s="14" t="n">
        <f aca="false">ROUND((G59*I59)-K59-L59-M59,2)</f>
        <v>201.8</v>
      </c>
      <c r="O59" s="14"/>
      <c r="P59" s="14" t="n">
        <f aca="false">ROUND(IF(D59=0,IF((N59-E59-O59)&gt;0,(N59-E59-O59),0),IF((D59+N59-O59)&gt;0,(D59+N59-O59),0)),2)</f>
        <v>5155.95</v>
      </c>
      <c r="Q59" s="14" t="n">
        <f aca="false">ROUND(IF(E59=0,IF((D59+N59-O59)&lt;0,ABS(D59+N59-O59),0),IF((N59-E59-O59)&lt;0,ABS(N59-E59-O59),0)),2)</f>
        <v>0</v>
      </c>
    </row>
    <row r="60" customFormat="false" ht="15" hidden="false" customHeight="true" outlineLevel="0" collapsed="false">
      <c r="A60" s="12" t="s">
        <v>176</v>
      </c>
      <c r="B60" s="12" t="str">
        <f aca="false">серпень!B60</f>
        <v>Констанчук І.В.</v>
      </c>
      <c r="C60" s="12" t="s">
        <v>178</v>
      </c>
      <c r="D60" s="14" t="n">
        <f aca="false">серпень!P60</f>
        <v>11017.51</v>
      </c>
      <c r="E60" s="14" t="n">
        <f aca="false">серпень!Q60</f>
        <v>0</v>
      </c>
      <c r="F60" s="13" t="n">
        <f aca="false">серпень!F60</f>
        <v>0</v>
      </c>
      <c r="G60" s="13" t="n">
        <f aca="false">серпень!G60</f>
        <v>65.5</v>
      </c>
      <c r="H60" s="13" t="n">
        <f aca="false">серпень!H60</f>
        <v>0</v>
      </c>
      <c r="I60" s="13" t="n">
        <f aca="false">серпень!I60</f>
        <v>4.1</v>
      </c>
      <c r="J60" s="14" t="n">
        <f aca="false">ROUND(G60*I60,2)</f>
        <v>268.55</v>
      </c>
      <c r="K60" s="14"/>
      <c r="L60" s="14"/>
      <c r="M60" s="14"/>
      <c r="N60" s="14" t="n">
        <f aca="false">ROUND((G60*I60)-K60-L60-M60,2)</f>
        <v>268.55</v>
      </c>
      <c r="O60" s="14"/>
      <c r="P60" s="14" t="n">
        <f aca="false">ROUND(IF(D60=0,IF((N60-E60-O60)&gt;0,(N60-E60-O60),0),IF((D60+N60-O60)&gt;0,(D60+N60-O60),0)),2)</f>
        <v>11286.06</v>
      </c>
      <c r="Q60" s="14" t="n">
        <f aca="false">ROUND(IF(E60=0,IF((D60+N60-O60)&lt;0,ABS(D60+N60-O60),0),IF((N60-E60-O60)&lt;0,ABS(N60-E60-O60),0)),2)</f>
        <v>0</v>
      </c>
    </row>
    <row r="61" customFormat="false" ht="15" hidden="false" customHeight="true" outlineLevel="0" collapsed="false">
      <c r="A61" s="12" t="s">
        <v>179</v>
      </c>
      <c r="B61" s="12" t="str">
        <f aca="false">серпень!B61</f>
        <v>Гончаров В.В.</v>
      </c>
      <c r="C61" s="12" t="s">
        <v>181</v>
      </c>
      <c r="D61" s="14" t="n">
        <f aca="false">серпень!P61</f>
        <v>1408.56</v>
      </c>
      <c r="E61" s="14" t="n">
        <f aca="false">серпень!Q61</f>
        <v>0</v>
      </c>
      <c r="F61" s="13" t="n">
        <f aca="false">серпень!F61</f>
        <v>0</v>
      </c>
      <c r="G61" s="13" t="n">
        <f aca="false">серпень!G61</f>
        <v>62.64</v>
      </c>
      <c r="H61" s="13" t="n">
        <f aca="false">серпень!H61</f>
        <v>0</v>
      </c>
      <c r="I61" s="13" t="n">
        <f aca="false">серпень!I61</f>
        <v>4.1</v>
      </c>
      <c r="J61" s="14" t="n">
        <f aca="false">ROUND(G61*I61,2)</f>
        <v>256.82</v>
      </c>
      <c r="K61" s="14"/>
      <c r="L61" s="14"/>
      <c r="M61" s="14"/>
      <c r="N61" s="14" t="n">
        <f aca="false">ROUND((G61*I61)-K61-L61-M61,2)</f>
        <v>256.82</v>
      </c>
      <c r="O61" s="14"/>
      <c r="P61" s="14" t="n">
        <f aca="false">ROUND(IF(D61=0,IF((N61-E61-O61)&gt;0,(N61-E61-O61),0),IF((D61+N61-O61)&gt;0,(D61+N61-O61),0)),2)</f>
        <v>1665.38</v>
      </c>
      <c r="Q61" s="14" t="n">
        <f aca="false">ROUND(IF(E61=0,IF((D61+N61-O61)&lt;0,ABS(D61+N61-O61),0),IF((N61-E61-O61)&lt;0,ABS(N61-E61-O61),0)),2)</f>
        <v>0</v>
      </c>
    </row>
    <row r="62" customFormat="false" ht="15" hidden="false" customHeight="true" outlineLevel="0" collapsed="false">
      <c r="A62" s="12" t="s">
        <v>182</v>
      </c>
      <c r="B62" s="12" t="str">
        <f aca="false">серпень!B62</f>
        <v>Ляхомський В.О.</v>
      </c>
      <c r="C62" s="12" t="s">
        <v>184</v>
      </c>
      <c r="D62" s="14" t="n">
        <f aca="false">серпень!P62</f>
        <v>2157.35</v>
      </c>
      <c r="E62" s="14" t="n">
        <f aca="false">серпень!Q62</f>
        <v>0</v>
      </c>
      <c r="F62" s="13" t="n">
        <f aca="false">серпень!F62</f>
        <v>0</v>
      </c>
      <c r="G62" s="13" t="n">
        <f aca="false">серпень!G62</f>
        <v>34.9</v>
      </c>
      <c r="H62" s="13" t="n">
        <f aca="false">серпень!H62</f>
        <v>0</v>
      </c>
      <c r="I62" s="13" t="n">
        <f aca="false">серпень!I62</f>
        <v>4.1</v>
      </c>
      <c r="J62" s="14" t="n">
        <f aca="false">ROUND(G62*I62,2)</f>
        <v>143.09</v>
      </c>
      <c r="K62" s="14"/>
      <c r="L62" s="14"/>
      <c r="M62" s="14"/>
      <c r="N62" s="14" t="n">
        <f aca="false">ROUND((G62*I62)-K62-L62-M62,2)</f>
        <v>143.09</v>
      </c>
      <c r="O62" s="14"/>
      <c r="P62" s="14" t="n">
        <f aca="false">ROUND(IF(D62=0,IF((N62-E62-O62)&gt;0,(N62-E62-O62),0),IF((D62+N62-O62)&gt;0,(D62+N62-O62),0)),2)</f>
        <v>2300.44</v>
      </c>
      <c r="Q62" s="14" t="n">
        <f aca="false">ROUND(IF(E62=0,IF((D62+N62-O62)&lt;0,ABS(D62+N62-O62),0),IF((N62-E62-O62)&lt;0,ABS(N62-E62-O62),0)),2)</f>
        <v>0</v>
      </c>
    </row>
    <row r="63" customFormat="false" ht="15" hidden="false" customHeight="true" outlineLevel="0" collapsed="false">
      <c r="A63" s="12" t="s">
        <v>185</v>
      </c>
      <c r="B63" s="12" t="str">
        <f aca="false">серпень!B63</f>
        <v>Крамаренко В.П.</v>
      </c>
      <c r="C63" s="12" t="s">
        <v>187</v>
      </c>
      <c r="D63" s="14" t="n">
        <f aca="false">серпень!P63</f>
        <v>2449.68</v>
      </c>
      <c r="E63" s="14" t="n">
        <f aca="false">серпень!Q63</f>
        <v>0</v>
      </c>
      <c r="F63" s="13" t="n">
        <f aca="false">серпень!F63</f>
        <v>0</v>
      </c>
      <c r="G63" s="13" t="n">
        <f aca="false">серпень!G63</f>
        <v>49.79</v>
      </c>
      <c r="H63" s="13" t="n">
        <f aca="false">серпень!H63</f>
        <v>0</v>
      </c>
      <c r="I63" s="13" t="n">
        <f aca="false">серпень!I63</f>
        <v>4.1</v>
      </c>
      <c r="J63" s="14" t="n">
        <f aca="false">ROUND(G63*I63,2)</f>
        <v>204.14</v>
      </c>
      <c r="K63" s="14"/>
      <c r="L63" s="14"/>
      <c r="M63" s="14"/>
      <c r="N63" s="14" t="n">
        <f aca="false">ROUND((G63*I63)-K63-L63-M63,2)</f>
        <v>204.14</v>
      </c>
      <c r="O63" s="14"/>
      <c r="P63" s="14" t="n">
        <f aca="false">ROUND(IF(D63=0,IF((N63-E63-O63)&gt;0,(N63-E63-O63),0),IF((D63+N63-O63)&gt;0,(D63+N63-O63),0)),2)</f>
        <v>2653.82</v>
      </c>
      <c r="Q63" s="14" t="n">
        <f aca="false">ROUND(IF(E63=0,IF((D63+N63-O63)&lt;0,ABS(D63+N63-O63),0),IF((N63-E63-O63)&lt;0,ABS(N63-E63-O63),0)),2)</f>
        <v>0</v>
      </c>
    </row>
    <row r="64" customFormat="false" ht="15" hidden="false" customHeight="true" outlineLevel="0" collapsed="false">
      <c r="A64" s="12" t="s">
        <v>188</v>
      </c>
      <c r="B64" s="12" t="str">
        <f aca="false">серпень!B64</f>
        <v>Родзик С.Г.</v>
      </c>
      <c r="C64" s="12" t="s">
        <v>190</v>
      </c>
      <c r="D64" s="14" t="n">
        <f aca="false">серпень!P64</f>
        <v>5613.72</v>
      </c>
      <c r="E64" s="14" t="n">
        <f aca="false">серпень!Q64</f>
        <v>0</v>
      </c>
      <c r="F64" s="13" t="n">
        <f aca="false">серпень!F64</f>
        <v>0</v>
      </c>
      <c r="G64" s="13" t="n">
        <f aca="false">серпень!G64</f>
        <v>65.2</v>
      </c>
      <c r="H64" s="13" t="n">
        <f aca="false">серпень!H64</f>
        <v>0</v>
      </c>
      <c r="I64" s="13" t="n">
        <f aca="false">серпень!I64</f>
        <v>4.1</v>
      </c>
      <c r="J64" s="14" t="n">
        <f aca="false">ROUND(G64*I64,2)</f>
        <v>267.32</v>
      </c>
      <c r="K64" s="14"/>
      <c r="L64" s="14"/>
      <c r="M64" s="14"/>
      <c r="N64" s="14" t="n">
        <f aca="false">ROUND((G64*I64)-K64-L64-M64,2)</f>
        <v>267.32</v>
      </c>
      <c r="O64" s="14"/>
      <c r="P64" s="14" t="n">
        <f aca="false">ROUND(IF(D64=0,IF((N64-E64-O64)&gt;0,(N64-E64-O64),0),IF((D64+N64-O64)&gt;0,(D64+N64-O64),0)),2)</f>
        <v>5881.04</v>
      </c>
      <c r="Q64" s="14" t="n">
        <f aca="false">ROUND(IF(E64=0,IF((D64+N64-O64)&lt;0,ABS(D64+N64-O64),0),IF((N64-E64-O64)&lt;0,ABS(N64-E64-O64),0)),2)</f>
        <v>0</v>
      </c>
    </row>
    <row r="65" customFormat="false" ht="15" hidden="false" customHeight="true" outlineLevel="0" collapsed="false">
      <c r="A65" s="12" t="s">
        <v>191</v>
      </c>
      <c r="B65" s="12" t="str">
        <f aca="false">серпень!B65</f>
        <v>Никоненко Н.С.</v>
      </c>
      <c r="C65" s="12" t="s">
        <v>193</v>
      </c>
      <c r="D65" s="14" t="n">
        <f aca="false">серпень!P65</f>
        <v>12072.7</v>
      </c>
      <c r="E65" s="14" t="n">
        <f aca="false">серпень!Q65</f>
        <v>0</v>
      </c>
      <c r="F65" s="13" t="n">
        <f aca="false">серпень!F65</f>
        <v>0</v>
      </c>
      <c r="G65" s="13" t="n">
        <f aca="false">серпень!G65</f>
        <v>61.88</v>
      </c>
      <c r="H65" s="13" t="n">
        <f aca="false">серпень!H65</f>
        <v>0</v>
      </c>
      <c r="I65" s="13" t="n">
        <f aca="false">серпень!I65</f>
        <v>4.1</v>
      </c>
      <c r="J65" s="14" t="n">
        <f aca="false">ROUND(G65*I65,2)</f>
        <v>253.71</v>
      </c>
      <c r="K65" s="14"/>
      <c r="L65" s="14"/>
      <c r="M65" s="14"/>
      <c r="N65" s="14" t="n">
        <f aca="false">ROUND((G65*I65)-K65-L65-M65,2)</f>
        <v>253.71</v>
      </c>
      <c r="O65" s="14"/>
      <c r="P65" s="14" t="n">
        <f aca="false">ROUND(IF(D65=0,IF((N65-E65-O65)&gt;0,(N65-E65-O65),0),IF((D65+N65-O65)&gt;0,(D65+N65-O65),0)),2)</f>
        <v>12326.41</v>
      </c>
      <c r="Q65" s="14" t="n">
        <f aca="false">ROUND(IF(E65=0,IF((D65+N65-O65)&lt;0,ABS(D65+N65-O65),0),IF((N65-E65-O65)&lt;0,ABS(N65-E65-O65),0)),2)</f>
        <v>0</v>
      </c>
    </row>
    <row r="66" customFormat="false" ht="15" hidden="false" customHeight="true" outlineLevel="0" collapsed="false">
      <c r="A66" s="12" t="s">
        <v>194</v>
      </c>
      <c r="B66" s="12" t="str">
        <f aca="false">серпень!B66</f>
        <v>Чепок О.В.</v>
      </c>
      <c r="C66" s="12" t="s">
        <v>196</v>
      </c>
      <c r="D66" s="14" t="n">
        <f aca="false">серпень!P66</f>
        <v>6731.91</v>
      </c>
      <c r="E66" s="14" t="n">
        <f aca="false">серпень!Q66</f>
        <v>0</v>
      </c>
      <c r="F66" s="13" t="n">
        <f aca="false">серпень!F66</f>
        <v>0</v>
      </c>
      <c r="G66" s="13" t="n">
        <f aca="false">серпень!G66</f>
        <v>35</v>
      </c>
      <c r="H66" s="13" t="n">
        <f aca="false">серпень!H66</f>
        <v>0</v>
      </c>
      <c r="I66" s="13" t="n">
        <f aca="false">серпень!I66</f>
        <v>4.1</v>
      </c>
      <c r="J66" s="14" t="n">
        <f aca="false">ROUND(G66*I66,2)</f>
        <v>143.5</v>
      </c>
      <c r="K66" s="14"/>
      <c r="L66" s="14"/>
      <c r="M66" s="14"/>
      <c r="N66" s="14" t="n">
        <f aca="false">ROUND((G66*I66)-K66-L66-M66,2)</f>
        <v>143.5</v>
      </c>
      <c r="O66" s="14"/>
      <c r="P66" s="14" t="n">
        <f aca="false">ROUND(IF(D66=0,IF((N66-E66-O66)&gt;0,(N66-E66-O66),0),IF((D66+N66-O66)&gt;0,(D66+N66-O66),0)),2)</f>
        <v>6875.41</v>
      </c>
      <c r="Q66" s="14" t="n">
        <f aca="false">ROUND(IF(E66=0,IF((D66+N66-O66)&lt;0,ABS(D66+N66-O66),0),IF((N66-E66-O66)&lt;0,ABS(N66-E66-O66),0)),2)</f>
        <v>0</v>
      </c>
    </row>
    <row r="67" customFormat="false" ht="15" hidden="false" customHeight="true" outlineLevel="0" collapsed="false">
      <c r="A67" s="12" t="s">
        <v>197</v>
      </c>
      <c r="B67" s="12" t="str">
        <f aca="false">серпень!B67</f>
        <v>Горошенко Л.С.</v>
      </c>
      <c r="C67" s="12" t="s">
        <v>199</v>
      </c>
      <c r="D67" s="14" t="n">
        <f aca="false">серпень!P67</f>
        <v>3638.34</v>
      </c>
      <c r="E67" s="14" t="n">
        <f aca="false">серпень!Q67</f>
        <v>0</v>
      </c>
      <c r="F67" s="13" t="n">
        <f aca="false">серпень!F67</f>
        <v>0</v>
      </c>
      <c r="G67" s="13" t="n">
        <f aca="false">серпень!G67</f>
        <v>49.3</v>
      </c>
      <c r="H67" s="13" t="n">
        <f aca="false">серпень!H67</f>
        <v>0</v>
      </c>
      <c r="I67" s="13" t="n">
        <f aca="false">серпень!I67</f>
        <v>4.1</v>
      </c>
      <c r="J67" s="14" t="n">
        <f aca="false">ROUND(G67*I67,2)</f>
        <v>202.13</v>
      </c>
      <c r="K67" s="14"/>
      <c r="L67" s="14"/>
      <c r="M67" s="14"/>
      <c r="N67" s="14" t="n">
        <f aca="false">ROUND((G67*I67)-K67-L67-M67,2)</f>
        <v>202.13</v>
      </c>
      <c r="O67" s="14"/>
      <c r="P67" s="14" t="n">
        <f aca="false">ROUND(IF(D67=0,IF((N67-E67-O67)&gt;0,(N67-E67-O67),0),IF((D67+N67-O67)&gt;0,(D67+N67-O67),0)),2)</f>
        <v>3840.47</v>
      </c>
      <c r="Q67" s="14" t="n">
        <f aca="false">ROUND(IF(E67=0,IF((D67+N67-O67)&lt;0,ABS(D67+N67-O67),0),IF((N67-E67-O67)&lt;0,ABS(N67-E67-O67),0)),2)</f>
        <v>0</v>
      </c>
    </row>
    <row r="68" customFormat="false" ht="15" hidden="false" customHeight="true" outlineLevel="0" collapsed="false">
      <c r="A68" s="12" t="s">
        <v>200</v>
      </c>
      <c r="B68" s="12" t="str">
        <f aca="false">серпень!B68</f>
        <v>Неграчева Л.Г.</v>
      </c>
      <c r="C68" s="12" t="s">
        <v>202</v>
      </c>
      <c r="D68" s="14" t="n">
        <f aca="false">серпень!P68</f>
        <v>2184.48</v>
      </c>
      <c r="E68" s="14" t="n">
        <f aca="false">серпень!Q68</f>
        <v>0</v>
      </c>
      <c r="F68" s="13" t="n">
        <f aca="false">серпень!F68</f>
        <v>0</v>
      </c>
      <c r="G68" s="13" t="n">
        <f aca="false">серпень!G68</f>
        <v>66.6</v>
      </c>
      <c r="H68" s="13" t="n">
        <f aca="false">серпень!H68</f>
        <v>0</v>
      </c>
      <c r="I68" s="13" t="n">
        <f aca="false">серпень!I68</f>
        <v>4.1</v>
      </c>
      <c r="J68" s="14" t="n">
        <f aca="false">ROUND(G68*I68,2)</f>
        <v>273.06</v>
      </c>
      <c r="K68" s="14"/>
      <c r="L68" s="14"/>
      <c r="M68" s="14"/>
      <c r="N68" s="14" t="n">
        <f aca="false">ROUND((G68*I68)-K68-L68-M68,2)</f>
        <v>273.06</v>
      </c>
      <c r="O68" s="14"/>
      <c r="P68" s="14" t="n">
        <f aca="false">ROUND(IF(D68=0,IF((N68-E68-O68)&gt;0,(N68-E68-O68),0),IF((D68+N68-O68)&gt;0,(D68+N68-O68),0)),2)</f>
        <v>2457.54</v>
      </c>
      <c r="Q68" s="14" t="n">
        <f aca="false">ROUND(IF(E68=0,IF((D68+N68-O68)&lt;0,ABS(D68+N68-O68),0),IF((N68-E68-O68)&lt;0,ABS(N68-E68-O68),0)),2)</f>
        <v>0</v>
      </c>
    </row>
    <row r="69" customFormat="false" ht="15" hidden="false" customHeight="true" outlineLevel="0" collapsed="false">
      <c r="A69" s="12" t="s">
        <v>203</v>
      </c>
      <c r="B69" s="12" t="str">
        <f aca="false">серпень!B69</f>
        <v>Брежнєв О.В.</v>
      </c>
      <c r="C69" s="12" t="s">
        <v>205</v>
      </c>
      <c r="D69" s="14" t="n">
        <f aca="false">серпень!P69</f>
        <v>3443.92</v>
      </c>
      <c r="E69" s="14" t="n">
        <f aca="false">серпень!Q69</f>
        <v>0</v>
      </c>
      <c r="F69" s="13" t="n">
        <f aca="false">серпень!F69</f>
        <v>0</v>
      </c>
      <c r="G69" s="13" t="n">
        <f aca="false">серпень!G69</f>
        <v>61.88</v>
      </c>
      <c r="H69" s="13" t="n">
        <f aca="false">серпень!H69</f>
        <v>0</v>
      </c>
      <c r="I69" s="13" t="n">
        <f aca="false">серпень!I69</f>
        <v>4.1</v>
      </c>
      <c r="J69" s="14" t="n">
        <f aca="false">ROUND(G69*I69,2)</f>
        <v>253.71</v>
      </c>
      <c r="K69" s="14"/>
      <c r="L69" s="14"/>
      <c r="M69" s="14"/>
      <c r="N69" s="14" t="n">
        <f aca="false">ROUND((G69*I69)-K69-L69-M69,2)</f>
        <v>253.71</v>
      </c>
      <c r="O69" s="14"/>
      <c r="P69" s="14" t="n">
        <f aca="false">ROUND(IF(D69=0,IF((N69-E69-O69)&gt;0,(N69-E69-O69),0),IF((D69+N69-O69)&gt;0,(D69+N69-O69),0)),2)</f>
        <v>3697.63</v>
      </c>
      <c r="Q69" s="14" t="n">
        <f aca="false">ROUND(IF(E69=0,IF((D69+N69-O69)&lt;0,ABS(D69+N69-O69),0),IF((N69-E69-O69)&lt;0,ABS(N69-E69-O69),0)),2)</f>
        <v>0</v>
      </c>
    </row>
    <row r="70" customFormat="false" ht="15" hidden="false" customHeight="true" outlineLevel="0" collapsed="false">
      <c r="A70" s="12" t="s">
        <v>206</v>
      </c>
      <c r="B70" s="12" t="str">
        <f aca="false">серпень!B70</f>
        <v>Горбатюк К.О.</v>
      </c>
      <c r="C70" s="12" t="s">
        <v>208</v>
      </c>
      <c r="D70" s="14" t="n">
        <f aca="false">серпень!P70</f>
        <v>2150.1</v>
      </c>
      <c r="E70" s="14" t="n">
        <f aca="false">серпень!Q70</f>
        <v>0</v>
      </c>
      <c r="F70" s="13" t="n">
        <f aca="false">серпень!F70</f>
        <v>0</v>
      </c>
      <c r="G70" s="13" t="n">
        <f aca="false">серпень!G70</f>
        <v>34.96</v>
      </c>
      <c r="H70" s="13" t="n">
        <f aca="false">серпень!H70</f>
        <v>0</v>
      </c>
      <c r="I70" s="13" t="n">
        <f aca="false">серпень!I70</f>
        <v>4.1</v>
      </c>
      <c r="J70" s="14" t="n">
        <f aca="false">ROUND(G70*I70,2)</f>
        <v>143.34</v>
      </c>
      <c r="K70" s="14"/>
      <c r="L70" s="14"/>
      <c r="M70" s="14"/>
      <c r="N70" s="14" t="n">
        <f aca="false">ROUND((G70*I70)-K70-L70-M70,2)</f>
        <v>143.34</v>
      </c>
      <c r="O70" s="14"/>
      <c r="P70" s="14" t="n">
        <f aca="false">ROUND(IF(D70=0,IF((N70-E70-O70)&gt;0,(N70-E70-O70),0),IF((D70+N70-O70)&gt;0,(D70+N70-O70),0)),2)</f>
        <v>2293.44</v>
      </c>
      <c r="Q70" s="14" t="n">
        <f aca="false">ROUND(IF(E70=0,IF((D70+N70-O70)&lt;0,ABS(D70+N70-O70),0),IF((N70-E70-O70)&lt;0,ABS(N70-E70-O70),0)),2)</f>
        <v>0</v>
      </c>
    </row>
    <row r="71" customFormat="false" ht="15" hidden="false" customHeight="true" outlineLevel="0" collapsed="false">
      <c r="A71" s="12" t="s">
        <v>209</v>
      </c>
      <c r="B71" s="12" t="str">
        <f aca="false">серпень!B71</f>
        <v>Божик М.О.</v>
      </c>
      <c r="C71" s="12" t="s">
        <v>211</v>
      </c>
      <c r="D71" s="14" t="n">
        <f aca="false">серпень!P71</f>
        <v>1435.84</v>
      </c>
      <c r="E71" s="14" t="n">
        <f aca="false">серпень!Q71</f>
        <v>0</v>
      </c>
      <c r="F71" s="13" t="n">
        <f aca="false">серпень!F71</f>
        <v>0</v>
      </c>
      <c r="G71" s="13" t="n">
        <f aca="false">серпень!G71</f>
        <v>50.03</v>
      </c>
      <c r="H71" s="13" t="n">
        <f aca="false">серпень!H71</f>
        <v>0</v>
      </c>
      <c r="I71" s="13" t="n">
        <f aca="false">серпень!I71</f>
        <v>4.1</v>
      </c>
      <c r="J71" s="14" t="n">
        <f aca="false">ROUND(G71*I71,2)</f>
        <v>205.12</v>
      </c>
      <c r="K71" s="14"/>
      <c r="L71" s="14"/>
      <c r="M71" s="14"/>
      <c r="N71" s="14" t="n">
        <f aca="false">ROUND((G71*I71)-K71-L71-M71,2)</f>
        <v>205.12</v>
      </c>
      <c r="O71" s="14"/>
      <c r="P71" s="14" t="n">
        <f aca="false">ROUND(IF(D71=0,IF((N71-E71-O71)&gt;0,(N71-E71-O71),0),IF((D71+N71-O71)&gt;0,(D71+N71-O71),0)),2)</f>
        <v>1640.96</v>
      </c>
      <c r="Q71" s="14" t="n">
        <f aca="false">ROUND(IF(E71=0,IF((D71+N71-O71)&lt;0,ABS(D71+N71-O71),0),IF((N71-E71-O71)&lt;0,ABS(N71-E71-O71),0)),2)</f>
        <v>0</v>
      </c>
    </row>
    <row r="72" customFormat="false" ht="15" hidden="false" customHeight="true" outlineLevel="0" collapsed="false">
      <c r="A72" s="12" t="s">
        <v>212</v>
      </c>
      <c r="B72" s="12" t="str">
        <f aca="false">серпень!B72</f>
        <v>Зайченко С.Л</v>
      </c>
      <c r="C72" s="12" t="s">
        <v>214</v>
      </c>
      <c r="D72" s="14" t="n">
        <f aca="false">серпень!P72</f>
        <v>14661.93</v>
      </c>
      <c r="E72" s="14" t="n">
        <f aca="false">серпень!Q72</f>
        <v>0</v>
      </c>
      <c r="F72" s="13" t="n">
        <f aca="false">серпень!F72</f>
        <v>0</v>
      </c>
      <c r="G72" s="13" t="n">
        <f aca="false">серпень!G72</f>
        <v>65.15</v>
      </c>
      <c r="H72" s="13" t="n">
        <f aca="false">серпень!H72</f>
        <v>0</v>
      </c>
      <c r="I72" s="13" t="n">
        <f aca="false">серпень!I72</f>
        <v>4.1</v>
      </c>
      <c r="J72" s="14" t="n">
        <f aca="false">ROUND(G72*I72,2)</f>
        <v>267.12</v>
      </c>
      <c r="K72" s="14"/>
      <c r="L72" s="14"/>
      <c r="M72" s="14"/>
      <c r="N72" s="14" t="n">
        <f aca="false">ROUND((G72*I72)-K72-L72-M72,2)</f>
        <v>267.12</v>
      </c>
      <c r="O72" s="14"/>
      <c r="P72" s="14" t="n">
        <f aca="false">ROUND(IF(D72=0,IF((N72-E72-O72)&gt;0,(N72-E72-O72),0),IF((D72+N72-O72)&gt;0,(D72+N72-O72),0)),2)</f>
        <v>14929.05</v>
      </c>
      <c r="Q72" s="14" t="n">
        <f aca="false">ROUND(IF(E72=0,IF((D72+N72-O72)&lt;0,ABS(D72+N72-O72),0),IF((N72-E72-O72)&lt;0,ABS(N72-E72-O72),0)),2)</f>
        <v>0</v>
      </c>
    </row>
    <row r="73" customFormat="false" ht="15" hidden="false" customHeight="true" outlineLevel="0" collapsed="false">
      <c r="A73" s="12" t="s">
        <v>215</v>
      </c>
      <c r="B73" s="12" t="str">
        <f aca="false">серпень!B73</f>
        <v>Бессараб Н.Г.</v>
      </c>
      <c r="C73" s="12" t="s">
        <v>217</v>
      </c>
      <c r="D73" s="14" t="n">
        <f aca="false">серпень!P73</f>
        <v>3627.81</v>
      </c>
      <c r="E73" s="14" t="n">
        <f aca="false">серпень!Q73</f>
        <v>0</v>
      </c>
      <c r="F73" s="13" t="n">
        <f aca="false">серпень!F73</f>
        <v>0</v>
      </c>
      <c r="G73" s="13" t="n">
        <f aca="false">серпень!G73</f>
        <v>63.41</v>
      </c>
      <c r="H73" s="13" t="n">
        <f aca="false">серпень!H73</f>
        <v>0</v>
      </c>
      <c r="I73" s="13" t="n">
        <f aca="false">серпень!I73</f>
        <v>4.1</v>
      </c>
      <c r="J73" s="14" t="n">
        <f aca="false">ROUND(G73*I73,2)</f>
        <v>259.98</v>
      </c>
      <c r="K73" s="14"/>
      <c r="L73" s="14"/>
      <c r="M73" s="14"/>
      <c r="N73" s="14" t="n">
        <f aca="false">ROUND((G73*I73)-K73-L73-M73,2)</f>
        <v>259.98</v>
      </c>
      <c r="O73" s="14"/>
      <c r="P73" s="14" t="n">
        <f aca="false">ROUND(IF(D73=0,IF((N73-E73-O73)&gt;0,(N73-E73-O73),0),IF((D73+N73-O73)&gt;0,(D73+N73-O73),0)),2)</f>
        <v>3887.79</v>
      </c>
      <c r="Q73" s="14" t="n">
        <f aca="false">ROUND(IF(E73=0,IF((D73+N73-O73)&lt;0,ABS(D73+N73-O73),0),IF((N73-E73-O73)&lt;0,ABS(N73-E73-O73),0)),2)</f>
        <v>0</v>
      </c>
    </row>
    <row r="74" customFormat="false" ht="15" hidden="false" customHeight="true" outlineLevel="0" collapsed="false">
      <c r="A74" s="12" t="s">
        <v>218</v>
      </c>
      <c r="B74" s="12" t="str">
        <f aca="false">серпень!B74</f>
        <v>Прохорова С.І.</v>
      </c>
      <c r="C74" s="12" t="s">
        <v>220</v>
      </c>
      <c r="D74" s="14" t="n">
        <f aca="false">серпень!P74</f>
        <v>1108.48</v>
      </c>
      <c r="E74" s="14" t="n">
        <f aca="false">серпень!Q74</f>
        <v>0</v>
      </c>
      <c r="F74" s="13" t="n">
        <f aca="false">серпень!F74</f>
        <v>0</v>
      </c>
      <c r="G74" s="13" t="n">
        <f aca="false">серпень!G74</f>
        <v>35.19</v>
      </c>
      <c r="H74" s="13" t="n">
        <f aca="false">серпень!H74</f>
        <v>0</v>
      </c>
      <c r="I74" s="13" t="n">
        <f aca="false">серпень!I74</f>
        <v>4.1</v>
      </c>
      <c r="J74" s="14" t="n">
        <f aca="false">ROUND(G74*I74,2)</f>
        <v>144.28</v>
      </c>
      <c r="K74" s="14"/>
      <c r="L74" s="14"/>
      <c r="M74" s="14"/>
      <c r="N74" s="14" t="n">
        <f aca="false">ROUND((G74*I74)-K74-L74-M74,2)</f>
        <v>144.28</v>
      </c>
      <c r="O74" s="14"/>
      <c r="P74" s="14" t="n">
        <f aca="false">ROUND(IF(D74=0,IF((N74-E74-O74)&gt;0,(N74-E74-O74),0),IF((D74+N74-O74)&gt;0,(D74+N74-O74),0)),2)</f>
        <v>1252.76</v>
      </c>
      <c r="Q74" s="14" t="n">
        <f aca="false">ROUND(IF(E74=0,IF((D74+N74-O74)&lt;0,ABS(D74+N74-O74),0),IF((N74-E74-O74)&lt;0,ABS(N74-E74-O74),0)),2)</f>
        <v>0</v>
      </c>
    </row>
    <row r="75" customFormat="false" ht="15" hidden="false" customHeight="true" outlineLevel="0" collapsed="false">
      <c r="A75" s="12" t="s">
        <v>221</v>
      </c>
      <c r="B75" s="12" t="str">
        <f aca="false">серпень!B75</f>
        <v>Браташ А.Ф.</v>
      </c>
      <c r="C75" s="12" t="s">
        <v>223</v>
      </c>
      <c r="D75" s="14" t="n">
        <f aca="false">серпень!P75</f>
        <v>11517.47</v>
      </c>
      <c r="E75" s="14" t="n">
        <f aca="false">серпень!Q75</f>
        <v>0</v>
      </c>
      <c r="F75" s="13" t="n">
        <f aca="false">серпень!F75</f>
        <v>0</v>
      </c>
      <c r="G75" s="13" t="n">
        <f aca="false">серпень!G75</f>
        <v>49.89</v>
      </c>
      <c r="H75" s="13" t="n">
        <f aca="false">серпень!H75</f>
        <v>0</v>
      </c>
      <c r="I75" s="13" t="n">
        <f aca="false">серпень!I75</f>
        <v>4.1</v>
      </c>
      <c r="J75" s="14" t="n">
        <f aca="false">ROUND(G75*I75,2)</f>
        <v>204.55</v>
      </c>
      <c r="K75" s="14"/>
      <c r="L75" s="14"/>
      <c r="M75" s="14"/>
      <c r="N75" s="14" t="n">
        <f aca="false">ROUND((G75*I75)-K75-L75-M75,2)</f>
        <v>204.55</v>
      </c>
      <c r="O75" s="14"/>
      <c r="P75" s="14" t="n">
        <f aca="false">ROUND(IF(D75=0,IF((N75-E75-O75)&gt;0,(N75-E75-O75),0),IF((D75+N75-O75)&gt;0,(D75+N75-O75),0)),2)</f>
        <v>11722.02</v>
      </c>
      <c r="Q75" s="14" t="n">
        <f aca="false">ROUND(IF(E75=0,IF((D75+N75-O75)&lt;0,ABS(D75+N75-O75),0),IF((N75-E75-O75)&lt;0,ABS(N75-E75-O75),0)),2)</f>
        <v>0</v>
      </c>
    </row>
    <row r="76" customFormat="false" ht="15" hidden="false" customHeight="true" outlineLevel="0" collapsed="false">
      <c r="A76" s="12" t="s">
        <v>224</v>
      </c>
      <c r="B76" s="12" t="str">
        <f aca="false">серпень!B76</f>
        <v>Кудас Д.О.</v>
      </c>
      <c r="C76" s="12" t="s">
        <v>226</v>
      </c>
      <c r="D76" s="14" t="n">
        <f aca="false">серпень!P76</f>
        <v>3199.44</v>
      </c>
      <c r="E76" s="14" t="n">
        <f aca="false">серпень!Q76</f>
        <v>0</v>
      </c>
      <c r="F76" s="13" t="n">
        <f aca="false">серпень!F76</f>
        <v>0</v>
      </c>
      <c r="G76" s="13" t="n">
        <f aca="false">серпень!G76</f>
        <v>65.03</v>
      </c>
      <c r="H76" s="13" t="n">
        <f aca="false">серпень!H76</f>
        <v>0</v>
      </c>
      <c r="I76" s="13" t="n">
        <f aca="false">серпень!I76</f>
        <v>4.1</v>
      </c>
      <c r="J76" s="14" t="n">
        <f aca="false">ROUND(G76*I76,2)</f>
        <v>266.62</v>
      </c>
      <c r="K76" s="14"/>
      <c r="L76" s="14"/>
      <c r="M76" s="14"/>
      <c r="N76" s="14" t="n">
        <f aca="false">ROUND((G76*I76)-K76-L76-M76,2)</f>
        <v>266.62</v>
      </c>
      <c r="O76" s="14"/>
      <c r="P76" s="14" t="n">
        <f aca="false">ROUND(IF(D76=0,IF((N76-E76-O76)&gt;0,(N76-E76-O76),0),IF((D76+N76-O76)&gt;0,(D76+N76-O76),0)),2)</f>
        <v>3466.06</v>
      </c>
      <c r="Q76" s="14" t="n">
        <f aca="false">ROUND(IF(E76=0,IF((D76+N76-O76)&lt;0,ABS(D76+N76-O76),0),IF((N76-E76-O76)&lt;0,ABS(N76-E76-O76),0)),2)</f>
        <v>0</v>
      </c>
    </row>
    <row r="77" customFormat="false" ht="15" hidden="false" customHeight="true" outlineLevel="0" collapsed="false">
      <c r="A77" s="12" t="s">
        <v>227</v>
      </c>
      <c r="B77" s="12" t="str">
        <f aca="false">серпень!B77</f>
        <v>Шушлєбін Б.В.</v>
      </c>
      <c r="C77" s="12" t="s">
        <v>229</v>
      </c>
      <c r="D77" s="14" t="n">
        <f aca="false">серпень!P77</f>
        <v>1866.5</v>
      </c>
      <c r="E77" s="14" t="n">
        <f aca="false">серпень!Q77</f>
        <v>0</v>
      </c>
      <c r="F77" s="13" t="n">
        <f aca="false">серпень!F77</f>
        <v>0</v>
      </c>
      <c r="G77" s="13" t="n">
        <f aca="false">серпень!G77</f>
        <v>62.11</v>
      </c>
      <c r="H77" s="13" t="n">
        <f aca="false">серпень!H77</f>
        <v>0</v>
      </c>
      <c r="I77" s="13" t="n">
        <f aca="false">серпень!I77</f>
        <v>4.1</v>
      </c>
      <c r="J77" s="14" t="n">
        <f aca="false">ROUND(G77*I77,2)</f>
        <v>254.65</v>
      </c>
      <c r="K77" s="14"/>
      <c r="L77" s="14"/>
      <c r="M77" s="14"/>
      <c r="N77" s="14" t="n">
        <f aca="false">ROUND((G77*I77)-K77-L77-M77,2)</f>
        <v>254.65</v>
      </c>
      <c r="O77" s="14"/>
      <c r="P77" s="14" t="n">
        <f aca="false">ROUND(IF(D77=0,IF((N77-E77-O77)&gt;0,(N77-E77-O77),0),IF((D77+N77-O77)&gt;0,(D77+N77-O77),0)),2)</f>
        <v>2121.15</v>
      </c>
      <c r="Q77" s="14" t="n">
        <f aca="false">ROUND(IF(E77=0,IF((D77+N77-O77)&lt;0,ABS(D77+N77-O77),0),IF((N77-E77-O77)&lt;0,ABS(N77-E77-O77),0)),2)</f>
        <v>0</v>
      </c>
    </row>
    <row r="78" customFormat="false" ht="15" hidden="false" customHeight="true" outlineLevel="0" collapsed="false">
      <c r="A78" s="12" t="s">
        <v>230</v>
      </c>
      <c r="B78" s="12" t="str">
        <f aca="false">серпень!B78</f>
        <v>Бородіна І.О.</v>
      </c>
      <c r="C78" s="12" t="s">
        <v>232</v>
      </c>
      <c r="D78" s="14" t="n">
        <f aca="false">серпень!P78</f>
        <v>7334.71</v>
      </c>
      <c r="E78" s="14" t="n">
        <f aca="false">серпень!Q78</f>
        <v>0</v>
      </c>
      <c r="F78" s="13" t="n">
        <f aca="false">серпень!F78</f>
        <v>0</v>
      </c>
      <c r="G78" s="13" t="n">
        <f aca="false">серпень!G78</f>
        <v>34.9</v>
      </c>
      <c r="H78" s="13" t="n">
        <f aca="false">серпень!H78</f>
        <v>0</v>
      </c>
      <c r="I78" s="13" t="n">
        <f aca="false">серпень!I78</f>
        <v>4.1</v>
      </c>
      <c r="J78" s="14" t="n">
        <f aca="false">ROUND(G78*I78,2)</f>
        <v>143.09</v>
      </c>
      <c r="K78" s="14"/>
      <c r="L78" s="14"/>
      <c r="M78" s="14"/>
      <c r="N78" s="14" t="n">
        <f aca="false">ROUND((G78*I78)-K78-L78-M78,2)</f>
        <v>143.09</v>
      </c>
      <c r="O78" s="14"/>
      <c r="P78" s="14" t="n">
        <f aca="false">ROUND(IF(D78=0,IF((N78-E78-O78)&gt;0,(N78-E78-O78),0),IF((D78+N78-O78)&gt;0,(D78+N78-O78),0)),2)</f>
        <v>7477.8</v>
      </c>
      <c r="Q78" s="14" t="n">
        <f aca="false">ROUND(IF(E78=0,IF((D78+N78-O78)&lt;0,ABS(D78+N78-O78),0),IF((N78-E78-O78)&lt;0,ABS(N78-E78-O78),0)),2)</f>
        <v>0</v>
      </c>
    </row>
    <row r="79" customFormat="false" ht="15" hidden="false" customHeight="true" outlineLevel="0" collapsed="false">
      <c r="A79" s="12" t="s">
        <v>233</v>
      </c>
      <c r="B79" s="12" t="str">
        <f aca="false">серпень!B79</f>
        <v>Котурга Л.Й.</v>
      </c>
      <c r="C79" s="12" t="s">
        <v>235</v>
      </c>
      <c r="D79" s="14" t="n">
        <f aca="false">серпень!P79</f>
        <v>1613.76</v>
      </c>
      <c r="E79" s="14" t="n">
        <f aca="false">серпень!Q79</f>
        <v>0</v>
      </c>
      <c r="F79" s="13" t="n">
        <f aca="false">серпень!F79</f>
        <v>0</v>
      </c>
      <c r="G79" s="13" t="n">
        <f aca="false">серпень!G79</f>
        <v>49.2</v>
      </c>
      <c r="H79" s="13" t="n">
        <f aca="false">серпень!H79</f>
        <v>0</v>
      </c>
      <c r="I79" s="13" t="n">
        <f aca="false">серпень!I79</f>
        <v>4.1</v>
      </c>
      <c r="J79" s="14" t="n">
        <f aca="false">ROUND(G79*I79,2)</f>
        <v>201.72</v>
      </c>
      <c r="K79" s="14"/>
      <c r="L79" s="14"/>
      <c r="M79" s="14"/>
      <c r="N79" s="14" t="n">
        <f aca="false">ROUND((G79*I79)-K79-L79-M79,2)</f>
        <v>201.72</v>
      </c>
      <c r="O79" s="14"/>
      <c r="P79" s="14" t="n">
        <f aca="false">ROUND(IF(D79=0,IF((N79-E79-O79)&gt;0,(N79-E79-O79),0),IF((D79+N79-O79)&gt;0,(D79+N79-O79),0)),2)</f>
        <v>1815.48</v>
      </c>
      <c r="Q79" s="14" t="n">
        <f aca="false">ROUND(IF(E79=0,IF((D79+N79-O79)&lt;0,ABS(D79+N79-O79),0),IF((N79-E79-O79)&lt;0,ABS(N79-E79-O79),0)),2)</f>
        <v>0</v>
      </c>
    </row>
    <row r="80" customFormat="false" ht="15" hidden="false" customHeight="true" outlineLevel="0" collapsed="false">
      <c r="A80" s="12" t="s">
        <v>236</v>
      </c>
      <c r="B80" s="12" t="str">
        <f aca="false">серпень!B80</f>
        <v>Горова О.І.</v>
      </c>
      <c r="C80" s="12" t="s">
        <v>238</v>
      </c>
      <c r="D80" s="14" t="n">
        <f aca="false">серпень!P80</f>
        <v>2414.34</v>
      </c>
      <c r="E80" s="14" t="n">
        <f aca="false">серпень!Q80</f>
        <v>0</v>
      </c>
      <c r="F80" s="13" t="n">
        <f aca="false">серпень!F80</f>
        <v>0</v>
      </c>
      <c r="G80" s="13" t="n">
        <f aca="false">серпень!G80</f>
        <v>65.43</v>
      </c>
      <c r="H80" s="13" t="n">
        <f aca="false">серпень!H80</f>
        <v>0</v>
      </c>
      <c r="I80" s="13" t="n">
        <f aca="false">серпень!I80</f>
        <v>4.1</v>
      </c>
      <c r="J80" s="14" t="n">
        <f aca="false">ROUND(G80*I80,2)</f>
        <v>268.26</v>
      </c>
      <c r="K80" s="14"/>
      <c r="L80" s="14"/>
      <c r="M80" s="14"/>
      <c r="N80" s="14" t="n">
        <f aca="false">ROUND((G80*I80)-K80-L80-M80,2)</f>
        <v>268.26</v>
      </c>
      <c r="O80" s="14"/>
      <c r="P80" s="14" t="n">
        <f aca="false">ROUND(IF(D80=0,IF((N80-E80-O80)&gt;0,(N80-E80-O80),0),IF((D80+N80-O80)&gt;0,(D80+N80-O80),0)),2)</f>
        <v>2682.6</v>
      </c>
      <c r="Q80" s="14" t="n">
        <f aca="false">ROUND(IF(E80=0,IF((D80+N80-O80)&lt;0,ABS(D80+N80-O80),0),IF((N80-E80-O80)&lt;0,ABS(N80-E80-O80),0)),2)</f>
        <v>0</v>
      </c>
    </row>
    <row r="81" customFormat="false" ht="15" hidden="false" customHeight="true" outlineLevel="0" collapsed="false">
      <c r="A81" s="12" t="s">
        <v>239</v>
      </c>
      <c r="B81" s="12" t="str">
        <f aca="false">серпень!B81</f>
        <v>Рибакевич М.П.</v>
      </c>
      <c r="C81" s="12" t="s">
        <v>241</v>
      </c>
      <c r="D81" s="14" t="n">
        <f aca="false">серпень!P81</f>
        <v>3127.9</v>
      </c>
      <c r="E81" s="14" t="n">
        <f aca="false">серпень!Q81</f>
        <v>0</v>
      </c>
      <c r="F81" s="13" t="n">
        <f aca="false">серпень!F81</f>
        <v>0</v>
      </c>
      <c r="G81" s="13" t="n">
        <f aca="false">серпень!G81</f>
        <v>64.5</v>
      </c>
      <c r="H81" s="13" t="n">
        <f aca="false">серпень!H81</f>
        <v>0</v>
      </c>
      <c r="I81" s="13" t="n">
        <f aca="false">серпень!I81</f>
        <v>4.1</v>
      </c>
      <c r="J81" s="14" t="n">
        <f aca="false">ROUND(G81*I81,2)</f>
        <v>264.45</v>
      </c>
      <c r="K81" s="14"/>
      <c r="L81" s="14"/>
      <c r="M81" s="14"/>
      <c r="N81" s="14" t="n">
        <f aca="false">ROUND((G81*I81)-K81-L81-M81,2)</f>
        <v>264.45</v>
      </c>
      <c r="O81" s="14"/>
      <c r="P81" s="14" t="n">
        <f aca="false">ROUND(IF(D81=0,IF((N81-E81-O81)&gt;0,(N81-E81-O81),0),IF((D81+N81-O81)&gt;0,(D81+N81-O81),0)),2)</f>
        <v>3392.35</v>
      </c>
      <c r="Q81" s="14" t="n">
        <f aca="false">ROUND(IF(E81=0,IF((D81+N81-O81)&lt;0,ABS(D81+N81-O81),0),IF((N81-E81-O81)&lt;0,ABS(N81-E81-O81),0)),2)</f>
        <v>0</v>
      </c>
    </row>
    <row r="82" customFormat="false" ht="15" hidden="false" customHeight="true" outlineLevel="0" collapsed="false">
      <c r="A82" s="12" t="s">
        <v>242</v>
      </c>
      <c r="B82" s="12" t="str">
        <f aca="false">серпень!B82</f>
        <v>Башкалов В.В.</v>
      </c>
      <c r="C82" s="12" t="s">
        <v>244</v>
      </c>
      <c r="D82" s="14" t="n">
        <f aca="false">серпень!P82</f>
        <v>1663.32</v>
      </c>
      <c r="E82" s="14" t="n">
        <f aca="false">серпень!Q82</f>
        <v>0</v>
      </c>
      <c r="F82" s="13" t="n">
        <f aca="false">серпень!F82</f>
        <v>0</v>
      </c>
      <c r="G82" s="13" t="n">
        <f aca="false">серпень!G82</f>
        <v>50.8</v>
      </c>
      <c r="H82" s="13" t="n">
        <f aca="false">серпень!H82</f>
        <v>0</v>
      </c>
      <c r="I82" s="13" t="n">
        <f aca="false">серпень!I82</f>
        <v>4.1</v>
      </c>
      <c r="J82" s="14" t="n">
        <f aca="false">ROUND(G82*I82,2)</f>
        <v>208.28</v>
      </c>
      <c r="K82" s="14"/>
      <c r="L82" s="14"/>
      <c r="M82" s="14"/>
      <c r="N82" s="14" t="n">
        <f aca="false">ROUND((G82*I82)-K82-L82-M82,2)</f>
        <v>208.28</v>
      </c>
      <c r="O82" s="14"/>
      <c r="P82" s="14" t="n">
        <f aca="false">ROUND(IF(D82=0,IF((N82-E82-O82)&gt;0,(N82-E82-O82),0),IF((D82+N82-O82)&gt;0,(D82+N82-O82),0)),2)</f>
        <v>1871.6</v>
      </c>
      <c r="Q82" s="14" t="n">
        <f aca="false">ROUND(IF(E82=0,IF((D82+N82-O82)&lt;0,ABS(D82+N82-O82),0),IF((N82-E82-O82)&lt;0,ABS(N82-E82-O82),0)),2)</f>
        <v>0</v>
      </c>
    </row>
    <row r="83" customFormat="false" ht="15" hidden="false" customHeight="true" outlineLevel="0" collapsed="false">
      <c r="A83" s="12" t="s">
        <v>245</v>
      </c>
      <c r="B83" s="12" t="str">
        <f aca="false">серпень!B83</f>
        <v>Тіхенко Г.Д.</v>
      </c>
      <c r="C83" s="12" t="s">
        <v>247</v>
      </c>
      <c r="D83" s="14" t="n">
        <f aca="false">серпень!P83</f>
        <v>4862.23</v>
      </c>
      <c r="E83" s="14" t="n">
        <f aca="false">серпень!Q83</f>
        <v>0</v>
      </c>
      <c r="F83" s="13" t="n">
        <f aca="false">серпень!F83</f>
        <v>0</v>
      </c>
      <c r="G83" s="13" t="n">
        <f aca="false">серпень!G83</f>
        <v>34.9</v>
      </c>
      <c r="H83" s="13" t="n">
        <f aca="false">серпень!H83</f>
        <v>0</v>
      </c>
      <c r="I83" s="13" t="n">
        <f aca="false">серпень!I83</f>
        <v>4.1</v>
      </c>
      <c r="J83" s="14" t="n">
        <f aca="false">ROUND(G83*I83,2)</f>
        <v>143.09</v>
      </c>
      <c r="K83" s="14"/>
      <c r="L83" s="14"/>
      <c r="M83" s="14"/>
      <c r="N83" s="14" t="n">
        <f aca="false">ROUND((G83*I83)-K83-L83-M83,2)</f>
        <v>143.09</v>
      </c>
      <c r="O83" s="14"/>
      <c r="P83" s="14" t="n">
        <f aca="false">ROUND(IF(D83=0,IF((N83-E83-O83)&gt;0,(N83-E83-O83),0),IF((D83+N83-O83)&gt;0,(D83+N83-O83),0)),2)</f>
        <v>5005.32</v>
      </c>
      <c r="Q83" s="14" t="n">
        <f aca="false">ROUND(IF(E83=0,IF((D83+N83-O83)&lt;0,ABS(D83+N83-O83),0),IF((N83-E83-O83)&lt;0,ABS(N83-E83-O83),0)),2)</f>
        <v>0</v>
      </c>
    </row>
    <row r="84" customFormat="false" ht="15" hidden="false" customHeight="true" outlineLevel="0" collapsed="false">
      <c r="A84" s="12" t="s">
        <v>248</v>
      </c>
      <c r="B84" s="12" t="str">
        <f aca="false">серпень!B84</f>
        <v>Головченко В.Г.</v>
      </c>
      <c r="C84" s="12" t="s">
        <v>250</v>
      </c>
      <c r="D84" s="14" t="n">
        <f aca="false">серпень!P84</f>
        <v>2000.9</v>
      </c>
      <c r="E84" s="14" t="n">
        <f aca="false">серпень!Q84</f>
        <v>0</v>
      </c>
      <c r="F84" s="13" t="n">
        <f aca="false">серпень!F84</f>
        <v>0</v>
      </c>
      <c r="G84" s="13" t="n">
        <f aca="false">серпень!G84</f>
        <v>61</v>
      </c>
      <c r="H84" s="13" t="n">
        <f aca="false">серпень!H84</f>
        <v>0</v>
      </c>
      <c r="I84" s="13" t="n">
        <f aca="false">серпень!I84</f>
        <v>4.1</v>
      </c>
      <c r="J84" s="14" t="n">
        <f aca="false">ROUND(G84*I84,2)</f>
        <v>250.1</v>
      </c>
      <c r="K84" s="14"/>
      <c r="L84" s="14"/>
      <c r="M84" s="14"/>
      <c r="N84" s="14" t="n">
        <f aca="false">ROUND((G84*I84)-K84-L84-M84,2)</f>
        <v>250.1</v>
      </c>
      <c r="O84" s="14"/>
      <c r="P84" s="14" t="n">
        <f aca="false">ROUND(IF(D84=0,IF((N84-E84-O84)&gt;0,(N84-E84-O84),0),IF((D84+N84-O84)&gt;0,(D84+N84-O84),0)),2)</f>
        <v>2251</v>
      </c>
      <c r="Q84" s="14" t="n">
        <f aca="false">ROUND(IF(E84=0,IF((D84+N84-O84)&lt;0,ABS(D84+N84-O84),0),IF((N84-E84-O84)&lt;0,ABS(N84-E84-O84),0)),2)</f>
        <v>0</v>
      </c>
    </row>
    <row r="85" customFormat="false" ht="15" hidden="false" customHeight="true" outlineLevel="0" collapsed="false">
      <c r="A85" s="12" t="s">
        <v>251</v>
      </c>
      <c r="B85" s="12" t="str">
        <f aca="false">серпень!B85</f>
        <v>Семанішина Є.С.</v>
      </c>
      <c r="C85" s="12" t="s">
        <v>253</v>
      </c>
      <c r="D85" s="14" t="n">
        <f aca="false">серпень!P85</f>
        <v>2516.75</v>
      </c>
      <c r="E85" s="14" t="n">
        <f aca="false">серпень!Q85</f>
        <v>0</v>
      </c>
      <c r="F85" s="13" t="n">
        <f aca="false">серпень!F85</f>
        <v>0</v>
      </c>
      <c r="G85" s="13" t="n">
        <f aca="false">серпень!G85</f>
        <v>64.5</v>
      </c>
      <c r="H85" s="13" t="n">
        <f aca="false">серпень!H85</f>
        <v>0</v>
      </c>
      <c r="I85" s="13" t="n">
        <f aca="false">серпень!I85</f>
        <v>4.1</v>
      </c>
      <c r="J85" s="14" t="n">
        <f aca="false">ROUND(G85*I85,2)</f>
        <v>264.45</v>
      </c>
      <c r="K85" s="14"/>
      <c r="L85" s="14"/>
      <c r="M85" s="14"/>
      <c r="N85" s="14" t="n">
        <f aca="false">ROUND((G85*I85)-K85-L85-M85,2)</f>
        <v>264.45</v>
      </c>
      <c r="O85" s="14"/>
      <c r="P85" s="14" t="n">
        <f aca="false">ROUND(IF(D85=0,IF((N85-E85-O85)&gt;0,(N85-E85-O85),0),IF((D85+N85-O85)&gt;0,(D85+N85-O85),0)),2)</f>
        <v>2781.2</v>
      </c>
      <c r="Q85" s="14" t="n">
        <f aca="false">ROUND(IF(E85=0,IF((D85+N85-O85)&lt;0,ABS(D85+N85-O85),0),IF((N85-E85-O85)&lt;0,ABS(N85-E85-O85),0)),2)</f>
        <v>0</v>
      </c>
    </row>
    <row r="86" customFormat="false" ht="15" hidden="false" customHeight="true" outlineLevel="0" collapsed="false">
      <c r="A86" s="12" t="s">
        <v>254</v>
      </c>
      <c r="B86" s="12" t="str">
        <f aca="false">серпень!B86</f>
        <v>Зінченко Ю.В.</v>
      </c>
      <c r="C86" s="12" t="s">
        <v>256</v>
      </c>
      <c r="D86" s="14" t="n">
        <f aca="false">серпень!P86</f>
        <v>1601.3</v>
      </c>
      <c r="E86" s="14" t="n">
        <f aca="false">серпень!Q86</f>
        <v>0</v>
      </c>
      <c r="F86" s="13" t="n">
        <f aca="false">серпень!F86</f>
        <v>0</v>
      </c>
      <c r="G86" s="13" t="n">
        <f aca="false">серпень!G86</f>
        <v>49.3</v>
      </c>
      <c r="H86" s="13" t="n">
        <f aca="false">серпень!H86</f>
        <v>0</v>
      </c>
      <c r="I86" s="13" t="n">
        <f aca="false">серпень!I86</f>
        <v>4.1</v>
      </c>
      <c r="J86" s="14" t="n">
        <f aca="false">ROUND(G86*I86,2)</f>
        <v>202.13</v>
      </c>
      <c r="K86" s="14"/>
      <c r="L86" s="14"/>
      <c r="M86" s="14"/>
      <c r="N86" s="14" t="n">
        <f aca="false">ROUND((G86*I86)-K86-L86-M86,2)</f>
        <v>202.13</v>
      </c>
      <c r="O86" s="14"/>
      <c r="P86" s="14" t="n">
        <f aca="false">ROUND(IF(D86=0,IF((N86-E86-O86)&gt;0,(N86-E86-O86),0),IF((D86+N86-O86)&gt;0,(D86+N86-O86),0)),2)</f>
        <v>1803.43</v>
      </c>
      <c r="Q86" s="14" t="n">
        <f aca="false">ROUND(IF(E86=0,IF((D86+N86-O86)&lt;0,ABS(D86+N86-O86),0),IF((N86-E86-O86)&lt;0,ABS(N86-E86-O86),0)),2)</f>
        <v>0</v>
      </c>
    </row>
    <row r="87" customFormat="false" ht="15" hidden="false" customHeight="true" outlineLevel="0" collapsed="false">
      <c r="A87" s="12" t="s">
        <v>257</v>
      </c>
      <c r="B87" s="12" t="str">
        <f aca="false">серпень!B87</f>
        <v>Рилова Г.П.</v>
      </c>
      <c r="C87" s="12" t="s">
        <v>259</v>
      </c>
      <c r="D87" s="14" t="n">
        <f aca="false">серпень!P87</f>
        <v>1291.5</v>
      </c>
      <c r="E87" s="14" t="n">
        <f aca="false">серпень!Q87</f>
        <v>0</v>
      </c>
      <c r="F87" s="13" t="n">
        <f aca="false">серпень!F87</f>
        <v>0</v>
      </c>
      <c r="G87" s="13" t="n">
        <f aca="false">серпень!G87</f>
        <v>35</v>
      </c>
      <c r="H87" s="13" t="n">
        <f aca="false">серпень!H87</f>
        <v>0</v>
      </c>
      <c r="I87" s="13" t="n">
        <f aca="false">серпень!I87</f>
        <v>4.1</v>
      </c>
      <c r="J87" s="14" t="n">
        <f aca="false">ROUND(G87*I87,2)</f>
        <v>143.5</v>
      </c>
      <c r="K87" s="14"/>
      <c r="L87" s="14"/>
      <c r="M87" s="14"/>
      <c r="N87" s="14" t="n">
        <f aca="false">ROUND((G87*I87)-K87-L87-M87,2)</f>
        <v>143.5</v>
      </c>
      <c r="O87" s="14"/>
      <c r="P87" s="14" t="n">
        <f aca="false">ROUND(IF(D87=0,IF((N87-E87-O87)&gt;0,(N87-E87-O87),0),IF((D87+N87-O87)&gt;0,(D87+N87-O87),0)),2)</f>
        <v>1435</v>
      </c>
      <c r="Q87" s="14" t="n">
        <f aca="false">ROUND(IF(E87=0,IF((D87+N87-O87)&lt;0,ABS(D87+N87-O87),0),IF((N87-E87-O87)&lt;0,ABS(N87-E87-O87),0)),2)</f>
        <v>0</v>
      </c>
    </row>
    <row r="88" customFormat="false" ht="15" hidden="false" customHeight="true" outlineLevel="0" collapsed="false">
      <c r="A88" s="12" t="s">
        <v>260</v>
      </c>
      <c r="B88" s="12" t="str">
        <f aca="false">серпень!B88</f>
        <v>Ленський І.О.</v>
      </c>
      <c r="C88" s="12" t="s">
        <v>262</v>
      </c>
      <c r="D88" s="14" t="n">
        <f aca="false">серпень!P88</f>
        <v>2280.42</v>
      </c>
      <c r="E88" s="14" t="n">
        <f aca="false">серпень!Q88</f>
        <v>0</v>
      </c>
      <c r="F88" s="13" t="n">
        <f aca="false">серпень!F88</f>
        <v>0</v>
      </c>
      <c r="G88" s="13" t="n">
        <f aca="false">серпень!G88</f>
        <v>61.8</v>
      </c>
      <c r="H88" s="13" t="n">
        <f aca="false">серпень!H88</f>
        <v>0</v>
      </c>
      <c r="I88" s="13" t="n">
        <f aca="false">серпень!I88</f>
        <v>4.1</v>
      </c>
      <c r="J88" s="14" t="n">
        <f aca="false">ROUND(G88*I88,2)</f>
        <v>253.38</v>
      </c>
      <c r="K88" s="14"/>
      <c r="L88" s="14"/>
      <c r="M88" s="14"/>
      <c r="N88" s="14" t="n">
        <f aca="false">ROUND((G88*I88)-K88-L88-M88,2)</f>
        <v>253.38</v>
      </c>
      <c r="O88" s="14"/>
      <c r="P88" s="14" t="n">
        <f aca="false">ROUND(IF(D88=0,IF((N88-E88-O88)&gt;0,(N88-E88-O88),0),IF((D88+N88-O88)&gt;0,(D88+N88-O88),0)),2)</f>
        <v>2533.8</v>
      </c>
      <c r="Q88" s="14" t="n">
        <f aca="false">ROUND(IF(E88=0,IF((D88+N88-O88)&lt;0,ABS(D88+N88-O88),0),IF((N88-E88-O88)&lt;0,ABS(N88-E88-O88),0)),2)</f>
        <v>0</v>
      </c>
    </row>
    <row r="89" customFormat="false" ht="15" hidden="false" customHeight="true" outlineLevel="0" collapsed="false">
      <c r="A89" s="12" t="s">
        <v>263</v>
      </c>
      <c r="B89" s="12" t="str">
        <f aca="false">серпень!B89</f>
        <v>Слюсар О.О.</v>
      </c>
      <c r="C89" s="12" t="s">
        <v>265</v>
      </c>
      <c r="D89" s="14" t="n">
        <f aca="false">серпень!P89</f>
        <v>14705.63</v>
      </c>
      <c r="E89" s="14" t="n">
        <f aca="false">серпень!Q89</f>
        <v>0</v>
      </c>
      <c r="F89" s="13" t="n">
        <f aca="false">серпень!F89</f>
        <v>0</v>
      </c>
      <c r="G89" s="13" t="n">
        <f aca="false">серпень!G89</f>
        <v>65.81</v>
      </c>
      <c r="H89" s="13" t="n">
        <f aca="false">серпень!H89</f>
        <v>0</v>
      </c>
      <c r="I89" s="13" t="n">
        <f aca="false">серпень!I89</f>
        <v>4.1</v>
      </c>
      <c r="J89" s="14" t="n">
        <f aca="false">ROUND(G89*I89,2)</f>
        <v>269.82</v>
      </c>
      <c r="K89" s="14"/>
      <c r="L89" s="14"/>
      <c r="M89" s="14"/>
      <c r="N89" s="14" t="n">
        <f aca="false">ROUND((G89*I89)-K89-L89-M89,2)</f>
        <v>269.82</v>
      </c>
      <c r="O89" s="14"/>
      <c r="P89" s="14" t="n">
        <f aca="false">ROUND(IF(D89=0,IF((N89-E89-O89)&gt;0,(N89-E89-O89),0),IF((D89+N89-O89)&gt;0,(D89+N89-O89),0)),2)</f>
        <v>14975.45</v>
      </c>
      <c r="Q89" s="14" t="n">
        <f aca="false">ROUND(IF(E89=0,IF((D89+N89-O89)&lt;0,ABS(D89+N89-O89),0),IF((N89-E89-O89)&lt;0,ABS(N89-E89-O89),0)),2)</f>
        <v>0</v>
      </c>
    </row>
    <row r="90" customFormat="false" ht="15" hidden="false" customHeight="true" outlineLevel="0" collapsed="false">
      <c r="A90" s="12" t="s">
        <v>266</v>
      </c>
      <c r="B90" s="12" t="str">
        <f aca="false">серпень!B90</f>
        <v>Кісельов Г.О.</v>
      </c>
      <c r="C90" s="12" t="s">
        <v>268</v>
      </c>
      <c r="D90" s="14" t="n">
        <f aca="false">серпень!P90</f>
        <v>1017.47</v>
      </c>
      <c r="E90" s="14" t="n">
        <f aca="false">серпень!Q90</f>
        <v>0</v>
      </c>
      <c r="F90" s="13" t="n">
        <f aca="false">серпень!F90</f>
        <v>0</v>
      </c>
      <c r="G90" s="13" t="n">
        <f aca="false">серпень!G90</f>
        <v>49.7</v>
      </c>
      <c r="H90" s="13" t="n">
        <f aca="false">серпень!H90</f>
        <v>0</v>
      </c>
      <c r="I90" s="13" t="n">
        <f aca="false">серпень!I90</f>
        <v>4.1</v>
      </c>
      <c r="J90" s="14" t="n">
        <f aca="false">ROUND(G90*I90,2)</f>
        <v>203.77</v>
      </c>
      <c r="K90" s="14"/>
      <c r="L90" s="14"/>
      <c r="M90" s="14"/>
      <c r="N90" s="14" t="n">
        <f aca="false">ROUND((G90*I90)-K90-L90-M90,2)</f>
        <v>203.77</v>
      </c>
      <c r="O90" s="14"/>
      <c r="P90" s="14" t="n">
        <f aca="false">ROUND(IF(D90=0,IF((N90-E90-O90)&gt;0,(N90-E90-O90),0),IF((D90+N90-O90)&gt;0,(D90+N90-O90),0)),2)</f>
        <v>1221.24</v>
      </c>
      <c r="Q90" s="14" t="n">
        <f aca="false">ROUND(IF(E90=0,IF((D90+N90-O90)&lt;0,ABS(D90+N90-O90),0),IF((N90-E90-O90)&lt;0,ABS(N90-E90-O90),0)),2)</f>
        <v>0</v>
      </c>
    </row>
    <row r="91" customFormat="false" ht="15" hidden="false" customHeight="true" outlineLevel="0" collapsed="false">
      <c r="A91" s="12" t="s">
        <v>269</v>
      </c>
      <c r="B91" s="12" t="str">
        <f aca="false">серпень!B91</f>
        <v>Губанова Н.С.</v>
      </c>
      <c r="C91" s="12" t="s">
        <v>271</v>
      </c>
      <c r="D91" s="14" t="n">
        <f aca="false">серпень!P91</f>
        <v>6931.05</v>
      </c>
      <c r="E91" s="14" t="n">
        <f aca="false">серпень!Q91</f>
        <v>0</v>
      </c>
      <c r="F91" s="13" t="n">
        <f aca="false">серпень!F91</f>
        <v>0</v>
      </c>
      <c r="G91" s="13" t="n">
        <f aca="false">серпень!G91</f>
        <v>34.5</v>
      </c>
      <c r="H91" s="13" t="n">
        <f aca="false">серпень!H91</f>
        <v>0</v>
      </c>
      <c r="I91" s="13" t="n">
        <f aca="false">серпень!I91</f>
        <v>4.1</v>
      </c>
      <c r="J91" s="14" t="n">
        <f aca="false">ROUND(G91*I91,2)</f>
        <v>141.45</v>
      </c>
      <c r="K91" s="14"/>
      <c r="L91" s="14"/>
      <c r="M91" s="14"/>
      <c r="N91" s="14" t="n">
        <f aca="false">ROUND((G91*I91)-K91-L91-M91,2)</f>
        <v>141.45</v>
      </c>
      <c r="O91" s="14"/>
      <c r="P91" s="14" t="n">
        <f aca="false">ROUND(IF(D91=0,IF((N91-E91-O91)&gt;0,(N91-E91-O91),0),IF((D91+N91-O91)&gt;0,(D91+N91-O91),0)),2)</f>
        <v>7072.5</v>
      </c>
      <c r="Q91" s="14" t="n">
        <f aca="false">ROUND(IF(E91=0,IF((D91+N91-O91)&lt;0,ABS(D91+N91-O91),0),IF((N91-E91-O91)&lt;0,ABS(N91-E91-O91),0)),2)</f>
        <v>0</v>
      </c>
    </row>
    <row r="92" customFormat="false" ht="15" hidden="false" customHeight="true" outlineLevel="0" collapsed="false">
      <c r="A92" s="12" t="s">
        <v>272</v>
      </c>
      <c r="B92" s="12" t="str">
        <f aca="false">серпень!B92</f>
        <v>Попова А.В.</v>
      </c>
      <c r="C92" s="12" t="s">
        <v>274</v>
      </c>
      <c r="D92" s="14" t="n">
        <f aca="false">серпень!P92</f>
        <v>5803.15</v>
      </c>
      <c r="E92" s="14" t="n">
        <f aca="false">серпень!Q92</f>
        <v>0</v>
      </c>
      <c r="F92" s="13" t="n">
        <f aca="false">серпень!F92</f>
        <v>0</v>
      </c>
      <c r="G92" s="13" t="n">
        <f aca="false">серпень!G92</f>
        <v>62.4</v>
      </c>
      <c r="H92" s="13" t="n">
        <f aca="false">серпень!H92</f>
        <v>0</v>
      </c>
      <c r="I92" s="13" t="n">
        <f aca="false">серпень!I92</f>
        <v>4.1</v>
      </c>
      <c r="J92" s="14" t="n">
        <f aca="false">ROUND(G92*I92,2)</f>
        <v>255.84</v>
      </c>
      <c r="K92" s="14"/>
      <c r="L92" s="14"/>
      <c r="M92" s="14"/>
      <c r="N92" s="14" t="n">
        <f aca="false">ROUND((G92*I92)-K92-L92-M92,2)</f>
        <v>255.84</v>
      </c>
      <c r="O92" s="14"/>
      <c r="P92" s="14" t="n">
        <f aca="false">ROUND(IF(D92=0,IF((N92-E92-O92)&gt;0,(N92-E92-O92),0),IF((D92+N92-O92)&gt;0,(D92+N92-O92),0)),2)</f>
        <v>6058.99</v>
      </c>
      <c r="Q92" s="14" t="n">
        <f aca="false">ROUND(IF(E92=0,IF((D92+N92-O92)&lt;0,ABS(D92+N92-O92),0),IF((N92-E92-O92)&lt;0,ABS(N92-E92-O92),0)),2)</f>
        <v>0</v>
      </c>
    </row>
    <row r="93" customFormat="false" ht="15" hidden="false" customHeight="true" outlineLevel="0" collapsed="false">
      <c r="A93" s="12" t="s">
        <v>275</v>
      </c>
      <c r="B93" s="12" t="str">
        <f aca="false">серпень!B93</f>
        <v>Стародубець О.К.</v>
      </c>
      <c r="C93" s="12" t="s">
        <v>277</v>
      </c>
      <c r="D93" s="14" t="n">
        <f aca="false">серпень!P93</f>
        <v>2452.41</v>
      </c>
      <c r="E93" s="14" t="n">
        <f aca="false">серпень!Q93</f>
        <v>0</v>
      </c>
      <c r="F93" s="13" t="n">
        <f aca="false">серпень!F93</f>
        <v>0</v>
      </c>
      <c r="G93" s="13" t="n">
        <f aca="false">серпень!G93</f>
        <v>66.46</v>
      </c>
      <c r="H93" s="13" t="n">
        <f aca="false">серпень!H93</f>
        <v>0</v>
      </c>
      <c r="I93" s="13" t="n">
        <f aca="false">серпень!I93</f>
        <v>4.1</v>
      </c>
      <c r="J93" s="14" t="n">
        <f aca="false">ROUND(G93*I93,2)</f>
        <v>272.49</v>
      </c>
      <c r="K93" s="14"/>
      <c r="L93" s="14"/>
      <c r="M93" s="14"/>
      <c r="N93" s="14" t="n">
        <f aca="false">ROUND((G93*I93)-K93-L93-M93,2)</f>
        <v>272.49</v>
      </c>
      <c r="O93" s="14"/>
      <c r="P93" s="14" t="n">
        <f aca="false">ROUND(IF(D93=0,IF((N93-E93-O93)&gt;0,(N93-E93-O93),0),IF((D93+N93-O93)&gt;0,(D93+N93-O93),0)),2)</f>
        <v>2724.9</v>
      </c>
      <c r="Q93" s="14" t="n">
        <f aca="false">ROUND(IF(E93=0,IF((D93+N93-O93)&lt;0,ABS(D93+N93-O93),0),IF((N93-E93-O93)&lt;0,ABS(N93-E93-O93),0)),2)</f>
        <v>0</v>
      </c>
    </row>
    <row r="94" customFormat="false" ht="15" hidden="false" customHeight="true" outlineLevel="0" collapsed="false">
      <c r="A94" s="12" t="s">
        <v>278</v>
      </c>
      <c r="B94" s="12" t="str">
        <f aca="false">серпень!B94</f>
        <v>Сакун Т.А.</v>
      </c>
      <c r="C94" s="12" t="s">
        <v>280</v>
      </c>
      <c r="D94" s="14" t="n">
        <f aca="false">серпень!P94</f>
        <v>9417.74</v>
      </c>
      <c r="E94" s="14" t="n">
        <f aca="false">серпень!Q94</f>
        <v>0</v>
      </c>
      <c r="F94" s="13" t="n">
        <f aca="false">серпень!F94</f>
        <v>0</v>
      </c>
      <c r="G94" s="13" t="n">
        <f aca="false">серпень!G94</f>
        <v>49.73</v>
      </c>
      <c r="H94" s="13" t="n">
        <f aca="false">серпень!H94</f>
        <v>0</v>
      </c>
      <c r="I94" s="13" t="n">
        <f aca="false">серпень!I94</f>
        <v>4.1</v>
      </c>
      <c r="J94" s="14" t="n">
        <f aca="false">ROUND(G94*I94,2)</f>
        <v>203.89</v>
      </c>
      <c r="K94" s="14"/>
      <c r="L94" s="14"/>
      <c r="M94" s="14"/>
      <c r="N94" s="14" t="n">
        <f aca="false">ROUND((G94*I94)-K94-L94-M94,2)</f>
        <v>203.89</v>
      </c>
      <c r="O94" s="14"/>
      <c r="P94" s="14" t="n">
        <f aca="false">ROUND(IF(D94=0,IF((N94-E94-O94)&gt;0,(N94-E94-O94),0),IF((D94+N94-O94)&gt;0,(D94+N94-O94),0)),2)</f>
        <v>9621.63</v>
      </c>
      <c r="Q94" s="14" t="n">
        <f aca="false">ROUND(IF(E94=0,IF((D94+N94-O94)&lt;0,ABS(D94+N94-O94),0),IF((N94-E94-O94)&lt;0,ABS(N94-E94-O94),0)),2)</f>
        <v>0</v>
      </c>
    </row>
    <row r="95" customFormat="false" ht="15" hidden="false" customHeight="true" outlineLevel="0" collapsed="false">
      <c r="A95" s="12" t="s">
        <v>281</v>
      </c>
      <c r="B95" s="12" t="str">
        <f aca="false">серпень!B95</f>
        <v>Фатєєв Ю.О.</v>
      </c>
      <c r="C95" s="12" t="s">
        <v>283</v>
      </c>
      <c r="D95" s="14" t="n">
        <f aca="false">серпень!P95</f>
        <v>10088.41</v>
      </c>
      <c r="E95" s="14" t="n">
        <f aca="false">серпень!Q95</f>
        <v>0</v>
      </c>
      <c r="F95" s="13" t="n">
        <f aca="false">серпень!F95</f>
        <v>0</v>
      </c>
      <c r="G95" s="13" t="n">
        <f aca="false">серпень!G95</f>
        <v>34.9</v>
      </c>
      <c r="H95" s="13" t="n">
        <f aca="false">серпень!H95</f>
        <v>0</v>
      </c>
      <c r="I95" s="13" t="n">
        <f aca="false">серпень!I95</f>
        <v>4.1</v>
      </c>
      <c r="J95" s="14" t="n">
        <f aca="false">ROUND(G95*I95,2)</f>
        <v>143.09</v>
      </c>
      <c r="K95" s="14"/>
      <c r="L95" s="14"/>
      <c r="M95" s="14"/>
      <c r="N95" s="14" t="n">
        <f aca="false">ROUND((G95*I95)-K95-L95-M95,2)</f>
        <v>143.09</v>
      </c>
      <c r="O95" s="14"/>
      <c r="P95" s="14" t="n">
        <f aca="false">ROUND(IF(D95=0,IF((N95-E95-O95)&gt;0,(N95-E95-O95),0),IF((D95+N95-O95)&gt;0,(D95+N95-O95),0)),2)</f>
        <v>10231.5</v>
      </c>
      <c r="Q95" s="14" t="n">
        <f aca="false">ROUND(IF(E95=0,IF((D95+N95-O95)&lt;0,ABS(D95+N95-O95),0),IF((N95-E95-O95)&lt;0,ABS(N95-E95-O95),0)),2)</f>
        <v>0</v>
      </c>
    </row>
    <row r="96" customFormat="false" ht="15" hidden="false" customHeight="true" outlineLevel="0" collapsed="false">
      <c r="A96" s="12" t="s">
        <v>284</v>
      </c>
      <c r="B96" s="12" t="str">
        <f aca="false">серпень!B96</f>
        <v>Лукашов Є.В.</v>
      </c>
      <c r="C96" s="12" t="s">
        <v>286</v>
      </c>
      <c r="D96" s="14" t="n">
        <f aca="false">серпень!P96</f>
        <v>15407.71</v>
      </c>
      <c r="E96" s="14" t="n">
        <f aca="false">серпень!Q96</f>
        <v>0</v>
      </c>
      <c r="F96" s="13" t="n">
        <f aca="false">серпень!F96</f>
        <v>0</v>
      </c>
      <c r="G96" s="13" t="n">
        <f aca="false">серпень!G96</f>
        <v>61.9</v>
      </c>
      <c r="H96" s="13" t="n">
        <f aca="false">серпень!H96</f>
        <v>0</v>
      </c>
      <c r="I96" s="13" t="n">
        <f aca="false">серпень!I96</f>
        <v>4.1</v>
      </c>
      <c r="J96" s="14" t="n">
        <f aca="false">ROUND(G96*I96,2)</f>
        <v>253.79</v>
      </c>
      <c r="K96" s="14"/>
      <c r="L96" s="14"/>
      <c r="M96" s="14"/>
      <c r="N96" s="14" t="n">
        <f aca="false">ROUND((G96*I96)-K96-L96-M96,2)</f>
        <v>253.79</v>
      </c>
      <c r="O96" s="14"/>
      <c r="P96" s="14" t="n">
        <f aca="false">ROUND(IF(D96=0,IF((N96-E96-O96)&gt;0,(N96-E96-O96),0),IF((D96+N96-O96)&gt;0,(D96+N96-O96),0)),2)</f>
        <v>15661.5</v>
      </c>
      <c r="Q96" s="14" t="n">
        <f aca="false">ROUND(IF(E96=0,IF((D96+N96-O96)&lt;0,ABS(D96+N96-O96),0),IF((N96-E96-O96)&lt;0,ABS(N96-E96-O96),0)),2)</f>
        <v>0</v>
      </c>
    </row>
    <row r="97" customFormat="false" ht="15" hidden="false" customHeight="true" outlineLevel="0" collapsed="false">
      <c r="A97" s="12" t="s">
        <v>287</v>
      </c>
      <c r="B97" s="12" t="str">
        <f aca="false">серпень!B97</f>
        <v>Довбета В.М.</v>
      </c>
      <c r="C97" s="12" t="s">
        <v>289</v>
      </c>
      <c r="D97" s="14" t="n">
        <f aca="false">серпень!P97</f>
        <v>1869.6</v>
      </c>
      <c r="E97" s="14" t="n">
        <f aca="false">серпень!Q97</f>
        <v>0</v>
      </c>
      <c r="F97" s="13" t="n">
        <f aca="false">серпень!F97</f>
        <v>0</v>
      </c>
      <c r="G97" s="13" t="n">
        <f aca="false">серпень!G97</f>
        <v>65.3</v>
      </c>
      <c r="H97" s="13" t="n">
        <f aca="false">серпень!H97</f>
        <v>0</v>
      </c>
      <c r="I97" s="13" t="n">
        <f aca="false">серпень!I97</f>
        <v>4.1</v>
      </c>
      <c r="J97" s="14" t="n">
        <f aca="false">ROUND(G97*I97,2)</f>
        <v>267.73</v>
      </c>
      <c r="K97" s="14"/>
      <c r="L97" s="14"/>
      <c r="M97" s="14"/>
      <c r="N97" s="14" t="n">
        <f aca="false">ROUND((G97*I97)-K97-L97-M97,2)</f>
        <v>267.73</v>
      </c>
      <c r="O97" s="14"/>
      <c r="P97" s="14" t="n">
        <f aca="false">ROUND(IF(D97=0,IF((N97-E97-O97)&gt;0,(N97-E97-O97),0),IF((D97+N97-O97)&gt;0,(D97+N97-O97),0)),2)</f>
        <v>2137.33</v>
      </c>
      <c r="Q97" s="14" t="n">
        <f aca="false">ROUND(IF(E97=0,IF((D97+N97-O97)&lt;0,ABS(D97+N97-O97),0),IF((N97-E97-O97)&lt;0,ABS(N97-E97-O97),0)),2)</f>
        <v>0</v>
      </c>
    </row>
    <row r="98" customFormat="false" ht="15" hidden="false" customHeight="true" outlineLevel="0" collapsed="false">
      <c r="A98" s="12" t="s">
        <v>290</v>
      </c>
      <c r="B98" s="12" t="str">
        <f aca="false">серпень!B98</f>
        <v>Черняк К.В.</v>
      </c>
      <c r="C98" s="12" t="s">
        <v>292</v>
      </c>
      <c r="D98" s="14" t="n">
        <f aca="false">серпень!P98</f>
        <v>1394.65</v>
      </c>
      <c r="E98" s="14" t="n">
        <f aca="false">серпень!Q98</f>
        <v>0</v>
      </c>
      <c r="F98" s="13" t="n">
        <f aca="false">серпень!F98</f>
        <v>0</v>
      </c>
      <c r="G98" s="13" t="n">
        <f aca="false">серпень!G98</f>
        <v>49.48</v>
      </c>
      <c r="H98" s="13" t="n">
        <f aca="false">серпень!H98</f>
        <v>0</v>
      </c>
      <c r="I98" s="13" t="n">
        <f aca="false">серпень!I98</f>
        <v>4.1</v>
      </c>
      <c r="J98" s="14" t="n">
        <f aca="false">ROUND(G98*I98,2)</f>
        <v>202.87</v>
      </c>
      <c r="K98" s="14"/>
      <c r="L98" s="14"/>
      <c r="M98" s="14"/>
      <c r="N98" s="14" t="n">
        <f aca="false">ROUND((G98*I98)-K98-L98-M98,2)</f>
        <v>202.87</v>
      </c>
      <c r="O98" s="14"/>
      <c r="P98" s="14" t="n">
        <f aca="false">ROUND(IF(D98=0,IF((N98-E98-O98)&gt;0,(N98-E98-O98),0),IF((D98+N98-O98)&gt;0,(D98+N98-O98),0)),2)</f>
        <v>1597.52</v>
      </c>
      <c r="Q98" s="14" t="n">
        <f aca="false">ROUND(IF(E98=0,IF((D98+N98-O98)&lt;0,ABS(D98+N98-O98),0),IF((N98-E98-O98)&lt;0,ABS(N98-E98-O98),0)),2)</f>
        <v>0</v>
      </c>
    </row>
    <row r="99" customFormat="false" ht="15" hidden="false" customHeight="true" outlineLevel="0" collapsed="false">
      <c r="A99" s="12" t="s">
        <v>293</v>
      </c>
      <c r="B99" s="12" t="str">
        <f aca="false">серпень!B99</f>
        <v>Довбета С.П.</v>
      </c>
      <c r="C99" s="12" t="s">
        <v>295</v>
      </c>
      <c r="D99" s="14" t="n">
        <f aca="false">серпень!P99</f>
        <v>1148.14</v>
      </c>
      <c r="E99" s="14" t="n">
        <f aca="false">серпень!Q99</f>
        <v>0</v>
      </c>
      <c r="F99" s="13" t="n">
        <f aca="false">серпень!F99</f>
        <v>0</v>
      </c>
      <c r="G99" s="13" t="n">
        <f aca="false">серпень!G99</f>
        <v>35.1</v>
      </c>
      <c r="H99" s="13" t="n">
        <f aca="false">серпень!H99</f>
        <v>0</v>
      </c>
      <c r="I99" s="13" t="n">
        <f aca="false">серпень!I99</f>
        <v>4.1</v>
      </c>
      <c r="J99" s="14" t="n">
        <f aca="false">ROUND(G99*I99,2)</f>
        <v>143.91</v>
      </c>
      <c r="K99" s="14"/>
      <c r="L99" s="14"/>
      <c r="M99" s="14"/>
      <c r="N99" s="14" t="n">
        <f aca="false">ROUND((G99*I99)-K99-L99-M99,2)</f>
        <v>143.91</v>
      </c>
      <c r="O99" s="14"/>
      <c r="P99" s="14" t="n">
        <f aca="false">ROUND(IF(D99=0,IF((N99-E99-O99)&gt;0,(N99-E99-O99),0),IF((D99+N99-O99)&gt;0,(D99+N99-O99),0)),2)</f>
        <v>1292.05</v>
      </c>
      <c r="Q99" s="14" t="n">
        <f aca="false">ROUND(IF(E99=0,IF((D99+N99-O99)&lt;0,ABS(D99+N99-O99),0),IF((N99-E99-O99)&lt;0,ABS(N99-E99-O99),0)),2)</f>
        <v>0</v>
      </c>
    </row>
    <row r="100" customFormat="false" ht="15" hidden="false" customHeight="true" outlineLevel="0" collapsed="false">
      <c r="A100" s="12" t="s">
        <v>296</v>
      </c>
      <c r="B100" s="12" t="str">
        <f aca="false">серпень!B100</f>
        <v>Липка Г.Ю.</v>
      </c>
      <c r="C100" s="12" t="s">
        <v>298</v>
      </c>
      <c r="D100" s="14" t="n">
        <f aca="false">серпень!P100</f>
        <v>15028.96</v>
      </c>
      <c r="E100" s="14" t="n">
        <f aca="false">серпень!Q100</f>
        <v>0</v>
      </c>
      <c r="F100" s="13" t="n">
        <f aca="false">серпень!F100</f>
        <v>0</v>
      </c>
      <c r="G100" s="13" t="n">
        <f aca="false">серпень!G100</f>
        <v>63.2</v>
      </c>
      <c r="H100" s="13" t="n">
        <f aca="false">серпень!H100</f>
        <v>0</v>
      </c>
      <c r="I100" s="13" t="n">
        <f aca="false">серпень!I100</f>
        <v>4.1</v>
      </c>
      <c r="J100" s="14" t="n">
        <f aca="false">ROUND(G100*I100,2)</f>
        <v>259.12</v>
      </c>
      <c r="K100" s="14"/>
      <c r="L100" s="14"/>
      <c r="M100" s="14"/>
      <c r="N100" s="14" t="n">
        <f aca="false">ROUND((G100*I100)-K100-L100-M100,2)</f>
        <v>259.12</v>
      </c>
      <c r="O100" s="14"/>
      <c r="P100" s="14" t="n">
        <f aca="false">ROUND(IF(D100=0,IF((N100-E100-O100)&gt;0,(N100-E100-O100),0),IF((D100+N100-O100)&gt;0,(D100+N100-O100),0)),2)</f>
        <v>15288.08</v>
      </c>
      <c r="Q100" s="14" t="n">
        <f aca="false">ROUND(IF(E100=0,IF((D100+N100-O100)&lt;0,ABS(D100+N100-O100),0),IF((N100-E100-O100)&lt;0,ABS(N100-E100-O100),0)),2)</f>
        <v>0</v>
      </c>
    </row>
    <row r="101" customFormat="false" ht="15" hidden="false" customHeight="true" outlineLevel="0" collapsed="false">
      <c r="A101" s="12" t="s">
        <v>299</v>
      </c>
      <c r="B101" s="12" t="str">
        <f aca="false">серпень!B101</f>
        <v>Утьосов Д.М.</v>
      </c>
      <c r="C101" s="12" t="s">
        <v>301</v>
      </c>
      <c r="D101" s="14" t="n">
        <f aca="false">серпень!P101</f>
        <v>9562.92</v>
      </c>
      <c r="E101" s="14" t="n">
        <f aca="false">серпень!Q101</f>
        <v>0</v>
      </c>
      <c r="F101" s="13" t="n">
        <f aca="false">серпень!F101</f>
        <v>0</v>
      </c>
      <c r="G101" s="13" t="n">
        <f aca="false">серпень!G101</f>
        <v>66.1</v>
      </c>
      <c r="H101" s="13" t="n">
        <f aca="false">серпень!H101</f>
        <v>0</v>
      </c>
      <c r="I101" s="13" t="n">
        <f aca="false">серпень!I101</f>
        <v>4.1</v>
      </c>
      <c r="J101" s="14" t="n">
        <f aca="false">ROUND(G101*I101,2)</f>
        <v>271.01</v>
      </c>
      <c r="K101" s="14"/>
      <c r="L101" s="14"/>
      <c r="M101" s="14"/>
      <c r="N101" s="14" t="n">
        <f aca="false">ROUND((G101*I101)-K101-L101-M101,2)</f>
        <v>271.01</v>
      </c>
      <c r="O101" s="14"/>
      <c r="P101" s="14" t="n">
        <f aca="false">ROUND(IF(D101=0,IF((N101-E101-O101)&gt;0,(N101-E101-O101),0),IF((D101+N101-O101)&gt;0,(D101+N101-O101),0)),2)</f>
        <v>9833.93</v>
      </c>
      <c r="Q101" s="14" t="n">
        <f aca="false">ROUND(IF(E101=0,IF((D101+N101-O101)&lt;0,ABS(D101+N101-O101),0),IF((N101-E101-O101)&lt;0,ABS(N101-E101-O101),0)),2)</f>
        <v>0</v>
      </c>
    </row>
    <row r="102" customFormat="false" ht="15" hidden="false" customHeight="true" outlineLevel="0" collapsed="false">
      <c r="A102" s="12" t="s">
        <v>302</v>
      </c>
      <c r="B102" s="12" t="str">
        <f aca="false">серпень!B102</f>
        <v>Стеценко Д.М.</v>
      </c>
      <c r="C102" s="12" t="s">
        <v>304</v>
      </c>
      <c r="D102" s="14" t="n">
        <f aca="false">серпень!P102</f>
        <v>8983.99</v>
      </c>
      <c r="E102" s="14" t="n">
        <f aca="false">серпень!Q102</f>
        <v>0</v>
      </c>
      <c r="F102" s="13" t="n">
        <f aca="false">серпень!F102</f>
        <v>0</v>
      </c>
      <c r="G102" s="13" t="n">
        <f aca="false">серпень!G102</f>
        <v>49.8</v>
      </c>
      <c r="H102" s="13" t="n">
        <f aca="false">серпень!H102</f>
        <v>0</v>
      </c>
      <c r="I102" s="13" t="n">
        <f aca="false">серпень!I102</f>
        <v>4.1</v>
      </c>
      <c r="J102" s="14" t="n">
        <f aca="false">ROUND(G102*I102,2)</f>
        <v>204.18</v>
      </c>
      <c r="K102" s="14"/>
      <c r="L102" s="14"/>
      <c r="M102" s="14"/>
      <c r="N102" s="14" t="n">
        <f aca="false">ROUND((G102*I102)-K102-L102-M102,2)</f>
        <v>204.18</v>
      </c>
      <c r="O102" s="14"/>
      <c r="P102" s="14" t="n">
        <f aca="false">ROUND(IF(D102=0,IF((N102-E102-O102)&gt;0,(N102-E102-O102),0),IF((D102+N102-O102)&gt;0,(D102+N102-O102),0)),2)</f>
        <v>9188.17</v>
      </c>
      <c r="Q102" s="14" t="n">
        <f aca="false">ROUND(IF(E102=0,IF((D102+N102-O102)&lt;0,ABS(D102+N102-O102),0),IF((N102-E102-O102)&lt;0,ABS(N102-E102-O102),0)),2)</f>
        <v>0</v>
      </c>
    </row>
    <row r="103" customFormat="false" ht="15" hidden="false" customHeight="true" outlineLevel="0" collapsed="false">
      <c r="A103" s="12" t="s">
        <v>305</v>
      </c>
      <c r="B103" s="12" t="str">
        <f aca="false">серпень!B103</f>
        <v>Задніпряна О.М.</v>
      </c>
      <c r="C103" s="12" t="s">
        <v>307</v>
      </c>
      <c r="D103" s="14" t="n">
        <f aca="false">серпень!P103</f>
        <v>7378.32</v>
      </c>
      <c r="E103" s="14" t="n">
        <f aca="false">серпень!Q103</f>
        <v>0</v>
      </c>
      <c r="F103" s="13" t="n">
        <f aca="false">серпень!F103</f>
        <v>0</v>
      </c>
      <c r="G103" s="13" t="n">
        <f aca="false">серпень!G103</f>
        <v>34.6</v>
      </c>
      <c r="H103" s="13" t="n">
        <f aca="false">серпень!H103</f>
        <v>0</v>
      </c>
      <c r="I103" s="13" t="n">
        <f aca="false">серпень!I103</f>
        <v>4.1</v>
      </c>
      <c r="J103" s="14" t="n">
        <f aca="false">ROUND(G103*I103,2)</f>
        <v>141.86</v>
      </c>
      <c r="K103" s="14"/>
      <c r="L103" s="14"/>
      <c r="M103" s="14"/>
      <c r="N103" s="14" t="n">
        <f aca="false">ROUND((G103*I103)-K103-L103-M103,2)</f>
        <v>141.86</v>
      </c>
      <c r="O103" s="14"/>
      <c r="P103" s="14" t="n">
        <f aca="false">ROUND(IF(D103=0,IF((N103-E103-O103)&gt;0,(N103-E103-O103),0),IF((D103+N103-O103)&gt;0,(D103+N103-O103),0)),2)</f>
        <v>7520.18</v>
      </c>
      <c r="Q103" s="14" t="n">
        <f aca="false">ROUND(IF(E103=0,IF((D103+N103-O103)&lt;0,ABS(D103+N103-O103),0),IF((N103-E103-O103)&lt;0,ABS(N103-E103-O103),0)),2)</f>
        <v>0</v>
      </c>
    </row>
    <row r="104" customFormat="false" ht="15" hidden="false" customHeight="true" outlineLevel="0" collapsed="false">
      <c r="A104" s="12" t="s">
        <v>308</v>
      </c>
      <c r="B104" s="12" t="str">
        <f aca="false">серпень!B104</f>
        <v>Геращенко М.Д.</v>
      </c>
      <c r="C104" s="12" t="s">
        <v>310</v>
      </c>
      <c r="D104" s="14" t="n">
        <f aca="false">серпень!P104</f>
        <v>2053.28</v>
      </c>
      <c r="E104" s="14" t="n">
        <f aca="false">серпень!Q104</f>
        <v>0</v>
      </c>
      <c r="F104" s="13" t="n">
        <f aca="false">серпень!F104</f>
        <v>0</v>
      </c>
      <c r="G104" s="13" t="n">
        <f aca="false">серпень!G104</f>
        <v>62.6</v>
      </c>
      <c r="H104" s="13" t="n">
        <f aca="false">серпень!H104</f>
        <v>0</v>
      </c>
      <c r="I104" s="13" t="n">
        <f aca="false">серпень!I104</f>
        <v>4.1</v>
      </c>
      <c r="J104" s="14" t="n">
        <f aca="false">ROUND(G104*I104,2)</f>
        <v>256.66</v>
      </c>
      <c r="K104" s="14"/>
      <c r="L104" s="14"/>
      <c r="M104" s="14"/>
      <c r="N104" s="14" t="n">
        <f aca="false">ROUND((G104*I104)-K104-L104-M104,2)</f>
        <v>256.66</v>
      </c>
      <c r="O104" s="14"/>
      <c r="P104" s="14" t="n">
        <f aca="false">ROUND(IF(D104=0,IF((N104-E104-O104)&gt;0,(N104-E104-O104),0),IF((D104+N104-O104)&gt;0,(D104+N104-O104),0)),2)</f>
        <v>2309.94</v>
      </c>
      <c r="Q104" s="14" t="n">
        <f aca="false">ROUND(IF(E104=0,IF((D104+N104-O104)&lt;0,ABS(D104+N104-O104),0),IF((N104-E104-O104)&lt;0,ABS(N104-E104-O104),0)),2)</f>
        <v>0</v>
      </c>
    </row>
    <row r="105" customFormat="false" ht="15" hidden="false" customHeight="true" outlineLevel="0" collapsed="false">
      <c r="A105" s="12" t="s">
        <v>311</v>
      </c>
      <c r="B105" s="12" t="str">
        <f aca="false">серпень!B105</f>
        <v>Горб В.М.</v>
      </c>
      <c r="C105" s="12" t="s">
        <v>313</v>
      </c>
      <c r="D105" s="14" t="n">
        <f aca="false">серпень!P105</f>
        <v>13439.31</v>
      </c>
      <c r="E105" s="14" t="n">
        <f aca="false">серпень!Q105</f>
        <v>0</v>
      </c>
      <c r="F105" s="13" t="n">
        <f aca="false">серпень!F105</f>
        <v>0</v>
      </c>
      <c r="G105" s="13" t="n">
        <f aca="false">серпень!G105</f>
        <v>65.57</v>
      </c>
      <c r="H105" s="13" t="n">
        <f aca="false">серпень!H105</f>
        <v>0</v>
      </c>
      <c r="I105" s="13" t="n">
        <f aca="false">серпень!I105</f>
        <v>4.1</v>
      </c>
      <c r="J105" s="14" t="n">
        <f aca="false">ROUND(G105*I105,2)</f>
        <v>268.84</v>
      </c>
      <c r="K105" s="14"/>
      <c r="L105" s="14"/>
      <c r="M105" s="14"/>
      <c r="N105" s="14" t="n">
        <f aca="false">ROUND((G105*I105)-K105-L105-M105,2)</f>
        <v>268.84</v>
      </c>
      <c r="O105" s="14"/>
      <c r="P105" s="14" t="n">
        <f aca="false">ROUND(IF(D105=0,IF((N105-E105-O105)&gt;0,(N105-E105-O105),0),IF((D105+N105-O105)&gt;0,(D105+N105-O105),0)),2)</f>
        <v>13708.15</v>
      </c>
      <c r="Q105" s="14" t="n">
        <f aca="false">ROUND(IF(E105=0,IF((D105+N105-O105)&lt;0,ABS(D105+N105-O105),0),IF((N105-E105-O105)&lt;0,ABS(N105-E105-O105),0)),2)</f>
        <v>0</v>
      </c>
    </row>
    <row r="106" customFormat="false" ht="15" hidden="false" customHeight="true" outlineLevel="0" collapsed="false">
      <c r="A106" s="12" t="s">
        <v>314</v>
      </c>
      <c r="B106" s="12" t="str">
        <f aca="false">серпень!B106</f>
        <v>Нойок Г.К.</v>
      </c>
      <c r="C106" s="12" t="s">
        <v>316</v>
      </c>
      <c r="D106" s="14" t="n">
        <f aca="false">серпень!P106</f>
        <v>8997.59</v>
      </c>
      <c r="E106" s="14" t="n">
        <f aca="false">серпень!Q106</f>
        <v>0</v>
      </c>
      <c r="F106" s="13" t="n">
        <f aca="false">серпень!F106</f>
        <v>0</v>
      </c>
      <c r="G106" s="13" t="n">
        <f aca="false">серпень!G106</f>
        <v>49.8</v>
      </c>
      <c r="H106" s="13" t="n">
        <f aca="false">серпень!H106</f>
        <v>0</v>
      </c>
      <c r="I106" s="13" t="n">
        <f aca="false">серпень!I106</f>
        <v>4.1</v>
      </c>
      <c r="J106" s="14" t="n">
        <f aca="false">ROUND(G106*I106,2)</f>
        <v>204.18</v>
      </c>
      <c r="K106" s="14"/>
      <c r="L106" s="14"/>
      <c r="M106" s="14"/>
      <c r="N106" s="14" t="n">
        <f aca="false">ROUND((G106*I106)-K106-L106-M106,2)</f>
        <v>204.18</v>
      </c>
      <c r="O106" s="14"/>
      <c r="P106" s="14" t="n">
        <f aca="false">ROUND(IF(D106=0,IF((N106-E106-O106)&gt;0,(N106-E106-O106),0),IF((D106+N106-O106)&gt;0,(D106+N106-O106),0)),2)</f>
        <v>9201.77</v>
      </c>
      <c r="Q106" s="14" t="n">
        <f aca="false">ROUND(IF(E106=0,IF((D106+N106-O106)&lt;0,ABS(D106+N106-O106),0),IF((N106-E106-O106)&lt;0,ABS(N106-E106-O106),0)),2)</f>
        <v>0</v>
      </c>
    </row>
    <row r="107" customFormat="false" ht="15" hidden="false" customHeight="true" outlineLevel="0" collapsed="false">
      <c r="A107" s="12" t="s">
        <v>317</v>
      </c>
      <c r="B107" s="12" t="str">
        <f aca="false">серпень!B107</f>
        <v>Сафонова О.В.</v>
      </c>
      <c r="C107" s="12" t="s">
        <v>319</v>
      </c>
      <c r="D107" s="14" t="n">
        <f aca="false">серпень!P107</f>
        <v>7108.68</v>
      </c>
      <c r="E107" s="14" t="n">
        <f aca="false">серпень!Q107</f>
        <v>0</v>
      </c>
      <c r="F107" s="13" t="n">
        <f aca="false">серпень!F107</f>
        <v>0</v>
      </c>
      <c r="G107" s="13" t="n">
        <f aca="false">серпень!G107</f>
        <v>34.9</v>
      </c>
      <c r="H107" s="13" t="n">
        <f aca="false">серпень!H107</f>
        <v>0</v>
      </c>
      <c r="I107" s="13" t="n">
        <f aca="false">серпень!I107</f>
        <v>4.1</v>
      </c>
      <c r="J107" s="14" t="n">
        <f aca="false">ROUND(G107*I107,2)</f>
        <v>143.09</v>
      </c>
      <c r="K107" s="14"/>
      <c r="L107" s="14"/>
      <c r="M107" s="14"/>
      <c r="N107" s="14" t="n">
        <f aca="false">ROUND((G107*I107)-K107-L107-M107,2)</f>
        <v>143.09</v>
      </c>
      <c r="O107" s="14"/>
      <c r="P107" s="14" t="n">
        <f aca="false">ROUND(IF(D107=0,IF((N107-E107-O107)&gt;0,(N107-E107-O107),0),IF((D107+N107-O107)&gt;0,(D107+N107-O107),0)),2)</f>
        <v>7251.77</v>
      </c>
      <c r="Q107" s="14" t="n">
        <f aca="false">ROUND(IF(E107=0,IF((D107+N107-O107)&lt;0,ABS(D107+N107-O107),0),IF((N107-E107-O107)&lt;0,ABS(N107-E107-O107),0)),2)</f>
        <v>0</v>
      </c>
    </row>
    <row r="108" customFormat="false" ht="15" hidden="false" customHeight="true" outlineLevel="0" collapsed="false">
      <c r="A108" s="12" t="s">
        <v>320</v>
      </c>
      <c r="B108" s="12" t="str">
        <f aca="false">серпень!B108</f>
        <v>Вінарська Н.П.</v>
      </c>
      <c r="C108" s="12" t="s">
        <v>322</v>
      </c>
      <c r="D108" s="14" t="n">
        <f aca="false">серпень!P108</f>
        <v>14156.24</v>
      </c>
      <c r="E108" s="14" t="n">
        <f aca="false">серпень!Q108</f>
        <v>0</v>
      </c>
      <c r="F108" s="13" t="n">
        <f aca="false">серпень!F108</f>
        <v>0</v>
      </c>
      <c r="G108" s="13" t="n">
        <f aca="false">серпень!G108</f>
        <v>62.78</v>
      </c>
      <c r="H108" s="13" t="n">
        <f aca="false">серпень!H108</f>
        <v>0</v>
      </c>
      <c r="I108" s="13" t="n">
        <f aca="false">серпень!I108</f>
        <v>4.1</v>
      </c>
      <c r="J108" s="14" t="n">
        <f aca="false">ROUND(G108*I108,2)</f>
        <v>257.4</v>
      </c>
      <c r="K108" s="14"/>
      <c r="L108" s="14"/>
      <c r="M108" s="14"/>
      <c r="N108" s="14" t="n">
        <f aca="false">ROUND((G108*I108)-K108-L108-M108,2)</f>
        <v>257.4</v>
      </c>
      <c r="O108" s="14"/>
      <c r="P108" s="14" t="n">
        <f aca="false">ROUND(IF(D108=0,IF((N108-E108-O108)&gt;0,(N108-E108-O108),0),IF((D108+N108-O108)&gt;0,(D108+N108-O108),0)),2)</f>
        <v>14413.64</v>
      </c>
      <c r="Q108" s="14" t="n">
        <f aca="false">ROUND(IF(E108=0,IF((D108+N108-O108)&lt;0,ABS(D108+N108-O108),0),IF((N108-E108-O108)&lt;0,ABS(N108-E108-O108),0)),2)</f>
        <v>0</v>
      </c>
    </row>
    <row r="109" customFormat="false" ht="15" hidden="false" customHeight="true" outlineLevel="0" collapsed="false">
      <c r="A109" s="12" t="s">
        <v>323</v>
      </c>
      <c r="B109" s="12" t="str">
        <f aca="false">серпень!B109</f>
        <v>Чернова Н.І.</v>
      </c>
      <c r="C109" s="12" t="s">
        <v>325</v>
      </c>
      <c r="D109" s="14" t="n">
        <f aca="false">серпень!P109</f>
        <v>14867.52</v>
      </c>
      <c r="E109" s="14" t="n">
        <f aca="false">серпень!Q109</f>
        <v>0</v>
      </c>
      <c r="F109" s="13" t="n">
        <f aca="false">серпень!F109</f>
        <v>0</v>
      </c>
      <c r="G109" s="13" t="n">
        <f aca="false">серпень!G109</f>
        <v>66.29</v>
      </c>
      <c r="H109" s="13" t="n">
        <f aca="false">серпень!H109</f>
        <v>0</v>
      </c>
      <c r="I109" s="13" t="n">
        <f aca="false">серпень!I109</f>
        <v>4.1</v>
      </c>
      <c r="J109" s="14" t="n">
        <f aca="false">ROUND(G109*I109,2)</f>
        <v>271.79</v>
      </c>
      <c r="K109" s="14"/>
      <c r="L109" s="14"/>
      <c r="M109" s="14"/>
      <c r="N109" s="14" t="n">
        <f aca="false">ROUND((G109*I109)-K109-L109-M109,2)</f>
        <v>271.79</v>
      </c>
      <c r="O109" s="14"/>
      <c r="P109" s="14" t="n">
        <f aca="false">ROUND(IF(D109=0,IF((N109-E109-O109)&gt;0,(N109-E109-O109),0),IF((D109+N109-O109)&gt;0,(D109+N109-O109),0)),2)</f>
        <v>15139.31</v>
      </c>
      <c r="Q109" s="14" t="n">
        <f aca="false">ROUND(IF(E109=0,IF((D109+N109-O109)&lt;0,ABS(D109+N109-O109),0),IF((N109-E109-O109)&lt;0,ABS(N109-E109-O109),0)),2)</f>
        <v>0</v>
      </c>
    </row>
    <row r="110" customFormat="false" ht="15" hidden="false" customHeight="true" outlineLevel="0" collapsed="false">
      <c r="A110" s="12" t="s">
        <v>326</v>
      </c>
      <c r="B110" s="12" t="str">
        <f aca="false">серпень!B110</f>
        <v>Кошева Н.П</v>
      </c>
      <c r="C110" s="12" t="s">
        <v>328</v>
      </c>
      <c r="D110" s="14" t="n">
        <f aca="false">серпень!P110</f>
        <v>10889</v>
      </c>
      <c r="E110" s="14" t="n">
        <f aca="false">серпень!Q110</f>
        <v>0</v>
      </c>
      <c r="F110" s="13" t="n">
        <f aca="false">серпень!F110</f>
        <v>0</v>
      </c>
      <c r="G110" s="13" t="n">
        <f aca="false">серпень!G110</f>
        <v>50</v>
      </c>
      <c r="H110" s="13" t="n">
        <f aca="false">серпень!H110</f>
        <v>0</v>
      </c>
      <c r="I110" s="13" t="n">
        <f aca="false">серпень!I110</f>
        <v>4.1</v>
      </c>
      <c r="J110" s="14" t="n">
        <f aca="false">ROUND(G110*I110,2)</f>
        <v>205</v>
      </c>
      <c r="K110" s="14"/>
      <c r="L110" s="14"/>
      <c r="M110" s="14"/>
      <c r="N110" s="14" t="n">
        <f aca="false">ROUND((G110*I110)-K110-L110-M110,2)</f>
        <v>205</v>
      </c>
      <c r="O110" s="14"/>
      <c r="P110" s="14" t="n">
        <f aca="false">ROUND(IF(D110=0,IF((N110-E110-O110)&gt;0,(N110-E110-O110),0),IF((D110+N110-O110)&gt;0,(D110+N110-O110),0)),2)</f>
        <v>11094</v>
      </c>
      <c r="Q110" s="14" t="n">
        <f aca="false">ROUND(IF(E110=0,IF((D110+N110-O110)&lt;0,ABS(D110+N110-O110),0),IF((N110-E110-O110)&lt;0,ABS(N110-E110-O110),0)),2)</f>
        <v>0</v>
      </c>
    </row>
    <row r="111" customFormat="false" ht="15" hidden="false" customHeight="true" outlineLevel="0" collapsed="false">
      <c r="A111" s="12" t="s">
        <v>329</v>
      </c>
      <c r="B111" s="12" t="str">
        <f aca="false">серпень!B111</f>
        <v>Уривський Д.Б.</v>
      </c>
      <c r="C111" s="12" t="s">
        <v>331</v>
      </c>
      <c r="D111" s="14" t="n">
        <f aca="false">серпень!P111</f>
        <v>7969.09</v>
      </c>
      <c r="E111" s="14" t="n">
        <f aca="false">серпень!Q111</f>
        <v>0</v>
      </c>
      <c r="F111" s="13" t="n">
        <f aca="false">серпень!F111</f>
        <v>0</v>
      </c>
      <c r="G111" s="13" t="n">
        <f aca="false">серпень!G111</f>
        <v>35</v>
      </c>
      <c r="H111" s="13" t="n">
        <f aca="false">серпень!H111</f>
        <v>0</v>
      </c>
      <c r="I111" s="13" t="n">
        <f aca="false">серпень!I111</f>
        <v>4.1</v>
      </c>
      <c r="J111" s="14" t="n">
        <f aca="false">ROUND(G111*I111,2)</f>
        <v>143.5</v>
      </c>
      <c r="K111" s="14"/>
      <c r="L111" s="14"/>
      <c r="M111" s="14"/>
      <c r="N111" s="14" t="n">
        <f aca="false">ROUND((G111*I111)-K111-L111-M111,2)</f>
        <v>143.5</v>
      </c>
      <c r="O111" s="14"/>
      <c r="P111" s="14" t="n">
        <f aca="false">ROUND(IF(D111=0,IF((N111-E111-O111)&gt;0,(N111-E111-O111),0),IF((D111+N111-O111)&gt;0,(D111+N111-O111),0)),2)</f>
        <v>8112.59</v>
      </c>
      <c r="Q111" s="14" t="n">
        <f aca="false">ROUND(IF(E111=0,IF((D111+N111-O111)&lt;0,ABS(D111+N111-O111),0),IF((N111-E111-O111)&lt;0,ABS(N111-E111-O111),0)),2)</f>
        <v>0</v>
      </c>
    </row>
    <row r="112" customFormat="false" ht="15" hidden="false" customHeight="true" outlineLevel="0" collapsed="false">
      <c r="A112" s="12" t="s">
        <v>332</v>
      </c>
      <c r="B112" s="12" t="str">
        <f aca="false">серпень!B112</f>
        <v>АДПСУ (Чорноморець В.М.)</v>
      </c>
      <c r="C112" s="12" t="s">
        <v>334</v>
      </c>
      <c r="D112" s="14" t="n">
        <f aca="false">серпень!P112</f>
        <v>5010.2</v>
      </c>
      <c r="E112" s="14" t="n">
        <f aca="false">серпень!Q112</f>
        <v>0</v>
      </c>
      <c r="F112" s="13" t="n">
        <f aca="false">серпень!F112</f>
        <v>0</v>
      </c>
      <c r="G112" s="13" t="n">
        <f aca="false">серпень!G112</f>
        <v>61.1</v>
      </c>
      <c r="H112" s="13" t="n">
        <f aca="false">серпень!H112</f>
        <v>0</v>
      </c>
      <c r="I112" s="13" t="n">
        <f aca="false">серпень!I112</f>
        <v>4.1</v>
      </c>
      <c r="J112" s="14" t="n">
        <f aca="false">ROUND(G112*I112,2)</f>
        <v>250.51</v>
      </c>
      <c r="K112" s="14"/>
      <c r="L112" s="14"/>
      <c r="M112" s="14"/>
      <c r="N112" s="14" t="n">
        <f aca="false">ROUND((G112*I112)-K112-L112-M112,2)</f>
        <v>250.51</v>
      </c>
      <c r="O112" s="14"/>
      <c r="P112" s="14" t="n">
        <f aca="false">ROUND(IF(D112=0,IF((N112-E112-O112)&gt;0,(N112-E112-O112),0),IF((D112+N112-O112)&gt;0,(D112+N112-O112),0)),2)</f>
        <v>5260.71</v>
      </c>
      <c r="Q112" s="14" t="n">
        <f aca="false">ROUND(IF(E112=0,IF((D112+N112-O112)&lt;0,ABS(D112+N112-O112),0),IF((N112-E112-O112)&lt;0,ABS(N112-E112-O112),0)),2)</f>
        <v>0</v>
      </c>
    </row>
    <row r="113" customFormat="false" ht="15" hidden="false" customHeight="true" outlineLevel="0" collapsed="false">
      <c r="A113" s="12" t="s">
        <v>335</v>
      </c>
      <c r="B113" s="12" t="str">
        <f aca="false">серпень!B113</f>
        <v>Дмитренко Г.В.</v>
      </c>
      <c r="C113" s="12" t="s">
        <v>337</v>
      </c>
      <c r="D113" s="14" t="n">
        <f aca="false">серпень!P113</f>
        <v>13614.17</v>
      </c>
      <c r="E113" s="14" t="n">
        <f aca="false">серпень!Q113</f>
        <v>0</v>
      </c>
      <c r="F113" s="13" t="n">
        <f aca="false">серпень!F113</f>
        <v>0</v>
      </c>
      <c r="G113" s="13" t="n">
        <f aca="false">серпень!G113</f>
        <v>64.89</v>
      </c>
      <c r="H113" s="13" t="n">
        <f aca="false">серпень!H113</f>
        <v>0</v>
      </c>
      <c r="I113" s="13" t="n">
        <f aca="false">серпень!I113</f>
        <v>4.1</v>
      </c>
      <c r="J113" s="14" t="n">
        <f aca="false">ROUND(G113*I113,2)</f>
        <v>266.05</v>
      </c>
      <c r="K113" s="14"/>
      <c r="L113" s="14"/>
      <c r="M113" s="14"/>
      <c r="N113" s="14" t="n">
        <f aca="false">ROUND((G113*I113)-K113-L113-M113,2)</f>
        <v>266.05</v>
      </c>
      <c r="O113" s="14"/>
      <c r="P113" s="14" t="n">
        <f aca="false">ROUND(IF(D113=0,IF((N113-E113-O113)&gt;0,(N113-E113-O113),0),IF((D113+N113-O113)&gt;0,(D113+N113-O113),0)),2)</f>
        <v>13880.22</v>
      </c>
      <c r="Q113" s="14" t="n">
        <f aca="false">ROUND(IF(E113=0,IF((D113+N113-O113)&lt;0,ABS(D113+N113-O113),0),IF((N113-E113-O113)&lt;0,ABS(N113-E113-O113),0)),2)</f>
        <v>0</v>
      </c>
    </row>
    <row r="114" customFormat="false" ht="15" hidden="false" customHeight="true" outlineLevel="0" collapsed="false">
      <c r="A114" s="12" t="s">
        <v>338</v>
      </c>
      <c r="B114" s="12" t="str">
        <f aca="false">серпень!B114</f>
        <v>Номерова Т.В.</v>
      </c>
      <c r="C114" s="12" t="s">
        <v>340</v>
      </c>
      <c r="D114" s="14" t="n">
        <f aca="false">серпень!P114</f>
        <v>1433.72</v>
      </c>
      <c r="E114" s="14" t="n">
        <f aca="false">серпень!Q114</f>
        <v>0</v>
      </c>
      <c r="F114" s="13" t="n">
        <f aca="false">серпень!F114</f>
        <v>0</v>
      </c>
      <c r="G114" s="13" t="n">
        <f aca="false">серпень!G114</f>
        <v>49.96</v>
      </c>
      <c r="H114" s="13" t="n">
        <f aca="false">серпень!H114</f>
        <v>0</v>
      </c>
      <c r="I114" s="13" t="n">
        <f aca="false">серпень!I114</f>
        <v>4.1</v>
      </c>
      <c r="J114" s="14" t="n">
        <f aca="false">ROUND(G114*I114,2)</f>
        <v>204.84</v>
      </c>
      <c r="K114" s="14"/>
      <c r="L114" s="14"/>
      <c r="M114" s="14"/>
      <c r="N114" s="14" t="n">
        <f aca="false">ROUND((G114*I114)-K114-L114-M114,2)</f>
        <v>204.84</v>
      </c>
      <c r="O114" s="14"/>
      <c r="P114" s="14" t="n">
        <f aca="false">ROUND(IF(D114=0,IF((N114-E114-O114)&gt;0,(N114-E114-O114),0),IF((D114+N114-O114)&gt;0,(D114+N114-O114),0)),2)</f>
        <v>1638.56</v>
      </c>
      <c r="Q114" s="14" t="n">
        <f aca="false">ROUND(IF(E114=0,IF((D114+N114-O114)&lt;0,ABS(D114+N114-O114),0),IF((N114-E114-O114)&lt;0,ABS(N114-E114-O114),0)),2)</f>
        <v>0</v>
      </c>
    </row>
    <row r="115" customFormat="false" ht="15" hidden="false" customHeight="true" outlineLevel="0" collapsed="false">
      <c r="A115" s="12" t="s">
        <v>341</v>
      </c>
      <c r="B115" s="12" t="str">
        <f aca="false">серпень!B115</f>
        <v>Самойлова О.В.</v>
      </c>
      <c r="C115" s="12" t="s">
        <v>343</v>
      </c>
      <c r="D115" s="14" t="n">
        <f aca="false">серпень!P115</f>
        <v>1131.6</v>
      </c>
      <c r="E115" s="14" t="n">
        <f aca="false">серпень!Q115</f>
        <v>0</v>
      </c>
      <c r="F115" s="13" t="n">
        <f aca="false">серпень!F115</f>
        <v>0</v>
      </c>
      <c r="G115" s="13" t="n">
        <f aca="false">серпень!G115</f>
        <v>34.5</v>
      </c>
      <c r="H115" s="13" t="n">
        <f aca="false">серпень!H115</f>
        <v>0</v>
      </c>
      <c r="I115" s="13" t="n">
        <f aca="false">серпень!I115</f>
        <v>4.1</v>
      </c>
      <c r="J115" s="14" t="n">
        <f aca="false">ROUND(G115*I115,2)</f>
        <v>141.45</v>
      </c>
      <c r="K115" s="14"/>
      <c r="L115" s="14"/>
      <c r="M115" s="14"/>
      <c r="N115" s="14" t="n">
        <f aca="false">ROUND((G115*I115)-K115-L115-M115,2)</f>
        <v>141.45</v>
      </c>
      <c r="O115" s="14"/>
      <c r="P115" s="14" t="n">
        <f aca="false">ROUND(IF(D115=0,IF((N115-E115-O115)&gt;0,(N115-E115-O115),0),IF((D115+N115-O115)&gt;0,(D115+N115-O115),0)),2)</f>
        <v>1273.05</v>
      </c>
      <c r="Q115" s="14" t="n">
        <f aca="false">ROUND(IF(E115=0,IF((D115+N115-O115)&lt;0,ABS(D115+N115-O115),0),IF((N115-E115-O115)&lt;0,ABS(N115-E115-O115),0)),2)</f>
        <v>0</v>
      </c>
    </row>
    <row r="116" customFormat="false" ht="15" hidden="false" customHeight="true" outlineLevel="0" collapsed="false">
      <c r="A116" s="12" t="s">
        <v>344</v>
      </c>
      <c r="B116" s="12" t="str">
        <f aca="false">серпень!B116</f>
        <v>Випенко О.І.</v>
      </c>
      <c r="C116" s="12" t="s">
        <v>346</v>
      </c>
      <c r="D116" s="14" t="n">
        <f aca="false">серпень!P116</f>
        <v>17204.16</v>
      </c>
      <c r="E116" s="14" t="n">
        <f aca="false">серпень!Q116</f>
        <v>0</v>
      </c>
      <c r="F116" s="13" t="n">
        <f aca="false">серпень!F116</f>
        <v>0</v>
      </c>
      <c r="G116" s="13" t="n">
        <f aca="false">серпень!G116</f>
        <v>62.9</v>
      </c>
      <c r="H116" s="13" t="n">
        <f aca="false">серпень!H116</f>
        <v>0</v>
      </c>
      <c r="I116" s="13" t="n">
        <f aca="false">серпень!I116</f>
        <v>4.1</v>
      </c>
      <c r="J116" s="14" t="n">
        <f aca="false">ROUND(G116*I116,2)</f>
        <v>257.89</v>
      </c>
      <c r="K116" s="14"/>
      <c r="L116" s="14"/>
      <c r="M116" s="14"/>
      <c r="N116" s="14" t="n">
        <f aca="false">ROUND((G116*I116)-K116-L116-M116,2)</f>
        <v>257.89</v>
      </c>
      <c r="O116" s="14"/>
      <c r="P116" s="14" t="n">
        <f aca="false">ROUND(IF(D116=0,IF((N116-E116-O116)&gt;0,(N116-E116-O116),0),IF((D116+N116-O116)&gt;0,(D116+N116-O116),0)),2)</f>
        <v>17462.05</v>
      </c>
      <c r="Q116" s="14" t="n">
        <f aca="false">ROUND(IF(E116=0,IF((D116+N116-O116)&lt;0,ABS(D116+N116-O116),0),IF((N116-E116-O116)&lt;0,ABS(N116-E116-O116),0)),2)</f>
        <v>0</v>
      </c>
    </row>
    <row r="117" customFormat="false" ht="15" hidden="false" customHeight="true" outlineLevel="0" collapsed="false">
      <c r="A117" s="12" t="s">
        <v>347</v>
      </c>
      <c r="B117" s="12" t="str">
        <f aca="false">серпень!B117</f>
        <v>Саприкін Ю.О.</v>
      </c>
      <c r="C117" s="12" t="s">
        <v>349</v>
      </c>
      <c r="D117" s="14" t="n">
        <f aca="false">серпень!P117</f>
        <v>3586.68</v>
      </c>
      <c r="E117" s="14" t="n">
        <f aca="false">серпень!Q117</f>
        <v>0</v>
      </c>
      <c r="F117" s="13" t="n">
        <f aca="false">серпень!F117</f>
        <v>0</v>
      </c>
      <c r="G117" s="13" t="n">
        <f aca="false">серпень!G117</f>
        <v>97.2</v>
      </c>
      <c r="H117" s="13" t="n">
        <f aca="false">серпень!H117</f>
        <v>0</v>
      </c>
      <c r="I117" s="13" t="n">
        <f aca="false">серпень!I117</f>
        <v>4.1</v>
      </c>
      <c r="J117" s="14" t="n">
        <f aca="false">ROUND(G117*I117,2)</f>
        <v>398.52</v>
      </c>
      <c r="K117" s="14"/>
      <c r="L117" s="14"/>
      <c r="M117" s="14"/>
      <c r="N117" s="14" t="n">
        <f aca="false">ROUND((G117*I117)-K117-L117-M117,2)</f>
        <v>398.52</v>
      </c>
      <c r="O117" s="14"/>
      <c r="P117" s="14" t="n">
        <f aca="false">ROUND(IF(D117=0,IF((N117-E117-O117)&gt;0,(N117-E117-O117),0),IF((D117+N117-O117)&gt;0,(D117+N117-O117),0)),2)</f>
        <v>3985.2</v>
      </c>
      <c r="Q117" s="14" t="n">
        <f aca="false">ROUND(IF(E117=0,IF((D117+N117-O117)&lt;0,ABS(D117+N117-O117),0),IF((N117-E117-O117)&lt;0,ABS(N117-E117-O117),0)),2)</f>
        <v>0</v>
      </c>
    </row>
    <row r="118" customFormat="false" ht="15" hidden="false" customHeight="true" outlineLevel="0" collapsed="false">
      <c r="A118" s="12" t="s">
        <v>350</v>
      </c>
      <c r="B118" s="12" t="str">
        <f aca="false">серпень!B118</f>
        <v>Мовчан В.М.</v>
      </c>
      <c r="C118" s="12" t="s">
        <v>352</v>
      </c>
      <c r="D118" s="14" t="n">
        <f aca="false">серпень!P118</f>
        <v>1599.04</v>
      </c>
      <c r="E118" s="14" t="n">
        <f aca="false">серпень!Q118</f>
        <v>0</v>
      </c>
      <c r="F118" s="13" t="n">
        <f aca="false">серпень!F118</f>
        <v>0</v>
      </c>
      <c r="G118" s="13" t="n">
        <f aca="false">серпень!G118</f>
        <v>48.75</v>
      </c>
      <c r="H118" s="13" t="n">
        <f aca="false">серпень!H118</f>
        <v>0</v>
      </c>
      <c r="I118" s="13" t="n">
        <f aca="false">серпень!I118</f>
        <v>4.1</v>
      </c>
      <c r="J118" s="14" t="n">
        <f aca="false">ROUND(G118*I118,2)</f>
        <v>199.88</v>
      </c>
      <c r="K118" s="14"/>
      <c r="L118" s="14"/>
      <c r="M118" s="14"/>
      <c r="N118" s="14" t="n">
        <f aca="false">ROUND((G118*I118)-K118-L118-M118,2)</f>
        <v>199.88</v>
      </c>
      <c r="O118" s="14"/>
      <c r="P118" s="14" t="n">
        <f aca="false">ROUND(IF(D118=0,IF((N118-E118-O118)&gt;0,(N118-E118-O118),0),IF((D118+N118-O118)&gt;0,(D118+N118-O118),0)),2)</f>
        <v>1798.92</v>
      </c>
      <c r="Q118" s="14" t="n">
        <f aca="false">ROUND(IF(E118=0,IF((D118+N118-O118)&lt;0,ABS(D118+N118-O118),0),IF((N118-E118-O118)&lt;0,ABS(N118-E118-O118),0)),2)</f>
        <v>0</v>
      </c>
    </row>
    <row r="119" customFormat="false" ht="15" hidden="false" customHeight="true" outlineLevel="0" collapsed="false">
      <c r="A119" s="12" t="s">
        <v>353</v>
      </c>
      <c r="B119" s="12" t="str">
        <f aca="false">серпень!B119</f>
        <v>Величко Н.М.</v>
      </c>
      <c r="C119" s="12" t="s">
        <v>355</v>
      </c>
      <c r="D119" s="14" t="n">
        <f aca="false">серпень!P119</f>
        <v>2273.44</v>
      </c>
      <c r="E119" s="14" t="n">
        <f aca="false">серпень!Q119</f>
        <v>0</v>
      </c>
      <c r="F119" s="13" t="n">
        <f aca="false">серпень!F119</f>
        <v>0</v>
      </c>
      <c r="G119" s="13" t="n">
        <f aca="false">серпень!G119</f>
        <v>63.8</v>
      </c>
      <c r="H119" s="13" t="n">
        <f aca="false">серпень!H119</f>
        <v>0</v>
      </c>
      <c r="I119" s="13" t="n">
        <f aca="false">серпень!I119</f>
        <v>4.1</v>
      </c>
      <c r="J119" s="14" t="n">
        <f aca="false">ROUND(G119*I119,2)</f>
        <v>261.58</v>
      </c>
      <c r="K119" s="14"/>
      <c r="L119" s="14"/>
      <c r="M119" s="14"/>
      <c r="N119" s="14" t="n">
        <f aca="false">ROUND((G119*I119)-K119-L119-M119,2)</f>
        <v>261.58</v>
      </c>
      <c r="O119" s="14"/>
      <c r="P119" s="14" t="n">
        <f aca="false">ROUND(IF(D119=0,IF((N119-E119-O119)&gt;0,(N119-E119-O119),0),IF((D119+N119-O119)&gt;0,(D119+N119-O119),0)),2)</f>
        <v>2535.02</v>
      </c>
      <c r="Q119" s="14" t="n">
        <f aca="false">ROUND(IF(E119=0,IF((D119+N119-O119)&lt;0,ABS(D119+N119-O119),0),IF((N119-E119-O119)&lt;0,ABS(N119-E119-O119),0)),2)</f>
        <v>0</v>
      </c>
    </row>
    <row r="120" customFormat="false" ht="15" hidden="false" customHeight="true" outlineLevel="0" collapsed="false">
      <c r="A120" s="12" t="s">
        <v>356</v>
      </c>
      <c r="B120" s="12" t="str">
        <f aca="false">серпень!B120</f>
        <v>Бухлов С.В.</v>
      </c>
      <c r="C120" s="12" t="s">
        <v>358</v>
      </c>
      <c r="D120" s="14" t="n">
        <f aca="false">серпень!P120</f>
        <v>19287.53</v>
      </c>
      <c r="E120" s="14" t="n">
        <f aca="false">серпень!Q120</f>
        <v>0</v>
      </c>
      <c r="F120" s="13" t="n">
        <f aca="false">серпень!F120</f>
        <v>0</v>
      </c>
      <c r="G120" s="13" t="n">
        <f aca="false">серпень!G120</f>
        <v>62.6</v>
      </c>
      <c r="H120" s="13" t="n">
        <f aca="false">серпень!H120</f>
        <v>0</v>
      </c>
      <c r="I120" s="13" t="n">
        <f aca="false">серпень!I120</f>
        <v>4.1</v>
      </c>
      <c r="J120" s="14" t="n">
        <f aca="false">ROUND(G120*I120,2)</f>
        <v>256.66</v>
      </c>
      <c r="K120" s="14"/>
      <c r="L120" s="14"/>
      <c r="M120" s="14"/>
      <c r="N120" s="14" t="n">
        <f aca="false">ROUND((G120*I120)-K120-L120-M120,2)</f>
        <v>256.66</v>
      </c>
      <c r="O120" s="14"/>
      <c r="P120" s="14" t="n">
        <f aca="false">ROUND(IF(D120=0,IF((N120-E120-O120)&gt;0,(N120-E120-O120),0),IF((D120+N120-O120)&gt;0,(D120+N120-O120),0)),2)</f>
        <v>19544.19</v>
      </c>
      <c r="Q120" s="14" t="n">
        <f aca="false">ROUND(IF(E120=0,IF((D120+N120-O120)&lt;0,ABS(D120+N120-O120),0),IF((N120-E120-O120)&lt;0,ABS(N120-E120-O120),0)),2)</f>
        <v>0</v>
      </c>
    </row>
    <row r="121" customFormat="false" ht="15" hidden="false" customHeight="true" outlineLevel="0" collapsed="false">
      <c r="A121" s="12" t="s">
        <v>359</v>
      </c>
      <c r="B121" s="12" t="str">
        <f aca="false">серпень!B121</f>
        <v>Перепеліцина Т.Ю.</v>
      </c>
      <c r="C121" s="12" t="s">
        <v>361</v>
      </c>
      <c r="D121" s="14" t="n">
        <f aca="false">серпень!P121</f>
        <v>3541.35</v>
      </c>
      <c r="E121" s="14" t="n">
        <f aca="false">серпень!Q121</f>
        <v>0</v>
      </c>
      <c r="F121" s="13" t="n">
        <f aca="false">серпень!F121</f>
        <v>0</v>
      </c>
      <c r="G121" s="13" t="n">
        <f aca="false">серпень!G121</f>
        <v>34.7</v>
      </c>
      <c r="H121" s="13" t="n">
        <f aca="false">серпень!H121</f>
        <v>0</v>
      </c>
      <c r="I121" s="13" t="n">
        <f aca="false">серпень!I121</f>
        <v>4.1</v>
      </c>
      <c r="J121" s="14" t="n">
        <f aca="false">ROUND(G121*I121,2)</f>
        <v>142.27</v>
      </c>
      <c r="K121" s="14"/>
      <c r="L121" s="14"/>
      <c r="M121" s="14"/>
      <c r="N121" s="14" t="n">
        <f aca="false">ROUND((G121*I121)-K121-L121-M121,2)</f>
        <v>142.27</v>
      </c>
      <c r="O121" s="14"/>
      <c r="P121" s="14" t="n">
        <f aca="false">ROUND(IF(D121=0,IF((N121-E121-O121)&gt;0,(N121-E121-O121),0),IF((D121+N121-O121)&gt;0,(D121+N121-O121),0)),2)</f>
        <v>3683.62</v>
      </c>
      <c r="Q121" s="14" t="n">
        <f aca="false">ROUND(IF(E121=0,IF((D121+N121-O121)&lt;0,ABS(D121+N121-O121),0),IF((N121-E121-O121)&lt;0,ABS(N121-E121-O121),0)),2)</f>
        <v>0</v>
      </c>
    </row>
    <row r="122" customFormat="false" ht="15" hidden="false" customHeight="true" outlineLevel="0" collapsed="false">
      <c r="A122" s="12" t="s">
        <v>362</v>
      </c>
      <c r="B122" s="12" t="str">
        <f aca="false">серпень!B122</f>
        <v>Свєтлова Т.Ю.</v>
      </c>
      <c r="C122" s="12" t="s">
        <v>364</v>
      </c>
      <c r="D122" s="14" t="n">
        <f aca="false">серпень!P122</f>
        <v>4871</v>
      </c>
      <c r="E122" s="14" t="n">
        <f aca="false">серпень!Q122</f>
        <v>0</v>
      </c>
      <c r="F122" s="13" t="n">
        <f aca="false">серпень!F122</f>
        <v>0</v>
      </c>
      <c r="G122" s="13" t="n">
        <f aca="false">серпень!G122</f>
        <v>49.72</v>
      </c>
      <c r="H122" s="13" t="n">
        <f aca="false">серпень!H122</f>
        <v>0</v>
      </c>
      <c r="I122" s="13" t="n">
        <f aca="false">серпень!I122</f>
        <v>4.1</v>
      </c>
      <c r="J122" s="14" t="n">
        <f aca="false">ROUND(G122*I122,2)</f>
        <v>203.85</v>
      </c>
      <c r="K122" s="14"/>
      <c r="L122" s="14"/>
      <c r="M122" s="14"/>
      <c r="N122" s="14" t="n">
        <f aca="false">ROUND((G122*I122)-K122-L122-M122,2)</f>
        <v>203.85</v>
      </c>
      <c r="O122" s="14"/>
      <c r="P122" s="14" t="n">
        <f aca="false">ROUND(IF(D122=0,IF((N122-E122-O122)&gt;0,(N122-E122-O122),0),IF((D122+N122-O122)&gt;0,(D122+N122-O122),0)),2)</f>
        <v>5074.85</v>
      </c>
      <c r="Q122" s="14" t="n">
        <f aca="false">ROUND(IF(E122=0,IF((D122+N122-O122)&lt;0,ABS(D122+N122-O122),0),IF((N122-E122-O122)&lt;0,ABS(N122-E122-O122),0)),2)</f>
        <v>0</v>
      </c>
    </row>
    <row r="123" customFormat="false" ht="15" hidden="false" customHeight="true" outlineLevel="0" collapsed="false">
      <c r="A123" s="12" t="s">
        <v>365</v>
      </c>
      <c r="B123" s="12" t="str">
        <f aca="false">серпень!B123</f>
        <v>Маркова О.М.</v>
      </c>
      <c r="C123" s="12" t="s">
        <v>367</v>
      </c>
      <c r="D123" s="14" t="n">
        <f aca="false">серпень!P123</f>
        <v>2186.74</v>
      </c>
      <c r="E123" s="14" t="n">
        <f aca="false">серпень!Q123</f>
        <v>0</v>
      </c>
      <c r="F123" s="13" t="n">
        <f aca="false">серпень!F123</f>
        <v>0</v>
      </c>
      <c r="G123" s="13" t="n">
        <f aca="false">серпень!G123</f>
        <v>65.1</v>
      </c>
      <c r="H123" s="13" t="n">
        <f aca="false">серпень!H123</f>
        <v>0</v>
      </c>
      <c r="I123" s="13" t="n">
        <f aca="false">серпень!I123</f>
        <v>4.1</v>
      </c>
      <c r="J123" s="14" t="n">
        <f aca="false">ROUND(G123*I123,2)</f>
        <v>266.91</v>
      </c>
      <c r="K123" s="14"/>
      <c r="L123" s="14"/>
      <c r="M123" s="14"/>
      <c r="N123" s="14" t="n">
        <f aca="false">ROUND((G123*I123)-K123-L123-M123,2)</f>
        <v>266.91</v>
      </c>
      <c r="O123" s="14"/>
      <c r="P123" s="14" t="n">
        <f aca="false">ROUND(IF(D123=0,IF((N123-E123-O123)&gt;0,(N123-E123-O123),0),IF((D123+N123-O123)&gt;0,(D123+N123-O123),0)),2)</f>
        <v>2453.65</v>
      </c>
      <c r="Q123" s="14" t="n">
        <f aca="false">ROUND(IF(E123=0,IF((D123+N123-O123)&lt;0,ABS(D123+N123-O123),0),IF((N123-E123-O123)&lt;0,ABS(N123-E123-O123),0)),2)</f>
        <v>0</v>
      </c>
    </row>
    <row r="124" customFormat="false" ht="15" hidden="false" customHeight="true" outlineLevel="0" collapsed="false">
      <c r="A124" s="12" t="s">
        <v>368</v>
      </c>
      <c r="B124" s="12" t="str">
        <f aca="false">серпень!B124</f>
        <v>Ракитська А.М.</v>
      </c>
      <c r="C124" s="12" t="s">
        <v>370</v>
      </c>
      <c r="D124" s="14" t="n">
        <f aca="false">серпень!P124</f>
        <v>2032.2</v>
      </c>
      <c r="E124" s="14" t="n">
        <f aca="false">серпень!Q124</f>
        <v>0</v>
      </c>
      <c r="F124" s="13" t="n">
        <f aca="false">серпень!F124</f>
        <v>0</v>
      </c>
      <c r="G124" s="13" t="n">
        <f aca="false">серпень!G124</f>
        <v>62.18</v>
      </c>
      <c r="H124" s="13" t="n">
        <f aca="false">серпень!H124</f>
        <v>0</v>
      </c>
      <c r="I124" s="13" t="n">
        <f aca="false">серпень!I124</f>
        <v>4.1</v>
      </c>
      <c r="J124" s="14" t="n">
        <f aca="false">ROUND(G124*I124,2)</f>
        <v>254.94</v>
      </c>
      <c r="K124" s="14"/>
      <c r="L124" s="14"/>
      <c r="M124" s="14"/>
      <c r="N124" s="14" t="n">
        <f aca="false">ROUND((G124*I124)-K124-L124-M124,2)</f>
        <v>254.94</v>
      </c>
      <c r="O124" s="14"/>
      <c r="P124" s="14" t="n">
        <f aca="false">ROUND(IF(D124=0,IF((N124-E124-O124)&gt;0,(N124-E124-O124),0),IF((D124+N124-O124)&gt;0,(D124+N124-O124),0)),2)</f>
        <v>2287.14</v>
      </c>
      <c r="Q124" s="14" t="n">
        <f aca="false">ROUND(IF(E124=0,IF((D124+N124-O124)&lt;0,ABS(D124+N124-O124),0),IF((N124-E124-O124)&lt;0,ABS(N124-E124-O124),0)),2)</f>
        <v>0</v>
      </c>
    </row>
    <row r="125" customFormat="false" ht="15" hidden="false" customHeight="true" outlineLevel="0" collapsed="false">
      <c r="A125" s="12" t="s">
        <v>371</v>
      </c>
      <c r="B125" s="12" t="str">
        <f aca="false">серпень!B125</f>
        <v>Гусак К.С.</v>
      </c>
      <c r="C125" s="12" t="s">
        <v>373</v>
      </c>
      <c r="D125" s="14" t="n">
        <f aca="false">серпень!P125</f>
        <v>7832.28</v>
      </c>
      <c r="E125" s="14" t="n">
        <f aca="false">серпень!Q125</f>
        <v>0</v>
      </c>
      <c r="F125" s="13" t="n">
        <f aca="false">серпень!F125</f>
        <v>0</v>
      </c>
      <c r="G125" s="13" t="n">
        <f aca="false">серпень!G125</f>
        <v>35.1</v>
      </c>
      <c r="H125" s="13" t="n">
        <f aca="false">серпень!H125</f>
        <v>0</v>
      </c>
      <c r="I125" s="13" t="n">
        <f aca="false">серпень!I125</f>
        <v>4.1</v>
      </c>
      <c r="J125" s="14" t="n">
        <f aca="false">ROUND(G125*I125,2)</f>
        <v>143.91</v>
      </c>
      <c r="K125" s="14"/>
      <c r="L125" s="14"/>
      <c r="M125" s="14"/>
      <c r="N125" s="14" t="n">
        <f aca="false">ROUND((G125*I125)-K125-L125-M125,2)</f>
        <v>143.91</v>
      </c>
      <c r="O125" s="14"/>
      <c r="P125" s="14" t="n">
        <f aca="false">ROUND(IF(D125=0,IF((N125-E125-O125)&gt;0,(N125-E125-O125),0),IF((D125+N125-O125)&gt;0,(D125+N125-O125),0)),2)</f>
        <v>7976.19</v>
      </c>
      <c r="Q125" s="14" t="n">
        <f aca="false">ROUND(IF(E125=0,IF((D125+N125-O125)&lt;0,ABS(D125+N125-O125),0),IF((N125-E125-O125)&lt;0,ABS(N125-E125-O125),0)),2)</f>
        <v>0</v>
      </c>
    </row>
    <row r="126" customFormat="false" ht="15" hidden="false" customHeight="true" outlineLevel="0" collapsed="false">
      <c r="A126" s="12" t="s">
        <v>374</v>
      </c>
      <c r="B126" s="12" t="str">
        <f aca="false">серпень!B126</f>
        <v>Пісоченко М.Г.</v>
      </c>
      <c r="C126" s="12" t="s">
        <v>376</v>
      </c>
      <c r="D126" s="14" t="n">
        <f aca="false">серпень!P126</f>
        <v>1837.62</v>
      </c>
      <c r="E126" s="14" t="n">
        <f aca="false">серпень!Q126</f>
        <v>0</v>
      </c>
      <c r="F126" s="13" t="n">
        <f aca="false">серпень!F126</f>
        <v>0</v>
      </c>
      <c r="G126" s="13" t="n">
        <f aca="false">серпень!G126</f>
        <v>49.8</v>
      </c>
      <c r="H126" s="13" t="n">
        <f aca="false">серпень!H126</f>
        <v>0</v>
      </c>
      <c r="I126" s="13" t="n">
        <f aca="false">серпень!I126</f>
        <v>4.1</v>
      </c>
      <c r="J126" s="14" t="n">
        <f aca="false">ROUND(G126*I126,2)</f>
        <v>204.18</v>
      </c>
      <c r="K126" s="14"/>
      <c r="L126" s="14"/>
      <c r="M126" s="14"/>
      <c r="N126" s="14" t="n">
        <f aca="false">ROUND((G126*I126)-K126-L126-M126,2)</f>
        <v>204.18</v>
      </c>
      <c r="O126" s="14"/>
      <c r="P126" s="14" t="n">
        <f aca="false">ROUND(IF(D126=0,IF((N126-E126-O126)&gt;0,(N126-E126-O126),0),IF((D126+N126-O126)&gt;0,(D126+N126-O126),0)),2)</f>
        <v>2041.8</v>
      </c>
      <c r="Q126" s="14" t="n">
        <f aca="false">ROUND(IF(E126=0,IF((D126+N126-O126)&lt;0,ABS(D126+N126-O126),0),IF((N126-E126-O126)&lt;0,ABS(N126-E126-O126),0)),2)</f>
        <v>0</v>
      </c>
    </row>
    <row r="127" customFormat="false" ht="15" hidden="false" customHeight="true" outlineLevel="0" collapsed="false">
      <c r="A127" s="12" t="s">
        <v>377</v>
      </c>
      <c r="B127" s="12" t="str">
        <f aca="false">серпень!B127</f>
        <v>Столяр О.М.</v>
      </c>
      <c r="C127" s="12" t="s">
        <v>379</v>
      </c>
      <c r="D127" s="14" t="n">
        <f aca="false">серпень!P127</f>
        <v>5086.87</v>
      </c>
      <c r="E127" s="14" t="n">
        <f aca="false">серпень!Q127</f>
        <v>0</v>
      </c>
      <c r="F127" s="13" t="n">
        <f aca="false">серпень!F127</f>
        <v>0</v>
      </c>
      <c r="G127" s="13" t="n">
        <f aca="false">серпень!G127</f>
        <v>65.3</v>
      </c>
      <c r="H127" s="13" t="n">
        <f aca="false">серпень!H127</f>
        <v>0</v>
      </c>
      <c r="I127" s="13" t="n">
        <f aca="false">серпень!I127</f>
        <v>4.1</v>
      </c>
      <c r="J127" s="14" t="n">
        <f aca="false">ROUND(G127*I127,2)</f>
        <v>267.73</v>
      </c>
      <c r="K127" s="14"/>
      <c r="L127" s="14"/>
      <c r="M127" s="14"/>
      <c r="N127" s="14" t="n">
        <f aca="false">ROUND((G127*I127)-K127-L127-M127,2)</f>
        <v>267.73</v>
      </c>
      <c r="O127" s="14"/>
      <c r="P127" s="14" t="n">
        <f aca="false">ROUND(IF(D127=0,IF((N127-E127-O127)&gt;0,(N127-E127-O127),0),IF((D127+N127-O127)&gt;0,(D127+N127-O127),0)),2)</f>
        <v>5354.6</v>
      </c>
      <c r="Q127" s="14" t="n">
        <f aca="false">ROUND(IF(E127=0,IF((D127+N127-O127)&lt;0,ABS(D127+N127-O127),0),IF((N127-E127-O127)&lt;0,ABS(N127-E127-O127),0)),2)</f>
        <v>0</v>
      </c>
    </row>
    <row r="128" customFormat="false" ht="15" hidden="false" customHeight="true" outlineLevel="0" collapsed="false">
      <c r="A128" s="12" t="s">
        <v>380</v>
      </c>
      <c r="B128" s="12" t="str">
        <f aca="false">серпень!B128</f>
        <v>Рєзніков В.П.</v>
      </c>
      <c r="C128" s="12" t="s">
        <v>382</v>
      </c>
      <c r="D128" s="14" t="n">
        <f aca="false">серпень!P128</f>
        <v>1724.69</v>
      </c>
      <c r="E128" s="14" t="n">
        <f aca="false">серпень!Q128</f>
        <v>0</v>
      </c>
      <c r="F128" s="13" t="n">
        <f aca="false">серпень!F128</f>
        <v>0</v>
      </c>
      <c r="G128" s="13" t="n">
        <f aca="false">серпень!G128</f>
        <v>62.44</v>
      </c>
      <c r="H128" s="13" t="n">
        <f aca="false">серпень!H128</f>
        <v>0</v>
      </c>
      <c r="I128" s="13" t="n">
        <f aca="false">серпень!I128</f>
        <v>4.1</v>
      </c>
      <c r="J128" s="14" t="n">
        <f aca="false">ROUND(G128*I128,2)</f>
        <v>256</v>
      </c>
      <c r="K128" s="14"/>
      <c r="L128" s="14"/>
      <c r="M128" s="14"/>
      <c r="N128" s="14" t="n">
        <f aca="false">ROUND((G128*I128)-K128-L128-M128,2)</f>
        <v>256</v>
      </c>
      <c r="O128" s="14"/>
      <c r="P128" s="14" t="n">
        <f aca="false">ROUND(IF(D128=0,IF((N128-E128-O128)&gt;0,(N128-E128-O128),0),IF((D128+N128-O128)&gt;0,(D128+N128-O128),0)),2)</f>
        <v>1980.69</v>
      </c>
      <c r="Q128" s="14" t="n">
        <f aca="false">ROUND(IF(E128=0,IF((D128+N128-O128)&lt;0,ABS(D128+N128-O128),0),IF((N128-E128-O128)&lt;0,ABS(N128-E128-O128),0)),2)</f>
        <v>0</v>
      </c>
    </row>
    <row r="129" customFormat="false" ht="15" hidden="false" customHeight="true" outlineLevel="0" collapsed="false">
      <c r="A129" s="12" t="s">
        <v>383</v>
      </c>
      <c r="B129" s="12" t="str">
        <f aca="false">серпень!B129</f>
        <v>Золотоверха Я.І.</v>
      </c>
      <c r="C129" s="12" t="s">
        <v>385</v>
      </c>
      <c r="D129" s="14" t="n">
        <f aca="false">серпень!P129</f>
        <v>1167.68</v>
      </c>
      <c r="E129" s="14" t="n">
        <f aca="false">серпень!Q129</f>
        <v>0</v>
      </c>
      <c r="F129" s="13" t="n">
        <f aca="false">серпень!F129</f>
        <v>0</v>
      </c>
      <c r="G129" s="13" t="n">
        <f aca="false">серпень!G129</f>
        <v>35.6</v>
      </c>
      <c r="H129" s="13" t="n">
        <f aca="false">серпень!H129</f>
        <v>0</v>
      </c>
      <c r="I129" s="13" t="n">
        <f aca="false">серпень!I129</f>
        <v>4.1</v>
      </c>
      <c r="J129" s="14" t="n">
        <f aca="false">ROUND(G129*I129,2)</f>
        <v>145.96</v>
      </c>
      <c r="K129" s="14"/>
      <c r="L129" s="14"/>
      <c r="M129" s="14"/>
      <c r="N129" s="14" t="n">
        <f aca="false">ROUND((G129*I129)-K129-L129-M129,2)</f>
        <v>145.96</v>
      </c>
      <c r="O129" s="14"/>
      <c r="P129" s="14" t="n">
        <f aca="false">ROUND(IF(D129=0,IF((N129-E129-O129)&gt;0,(N129-E129-O129),0),IF((D129+N129-O129)&gt;0,(D129+N129-O129),0)),2)</f>
        <v>1313.64</v>
      </c>
      <c r="Q129" s="14" t="n">
        <f aca="false">ROUND(IF(E129=0,IF((D129+N129-O129)&lt;0,ABS(D129+N129-O129),0),IF((N129-E129-O129)&lt;0,ABS(N129-E129-O129),0)),2)</f>
        <v>0</v>
      </c>
    </row>
    <row r="130" customFormat="false" ht="15" hidden="false" customHeight="true" outlineLevel="0" collapsed="false">
      <c r="A130" s="12" t="s">
        <v>386</v>
      </c>
      <c r="B130" s="12" t="str">
        <f aca="false">серпень!B130</f>
        <v>Бурлаков А.В.</v>
      </c>
      <c r="C130" s="12" t="s">
        <v>388</v>
      </c>
      <c r="D130" s="14" t="n">
        <f aca="false">серпень!P130</f>
        <v>1833.7</v>
      </c>
      <c r="E130" s="14" t="n">
        <f aca="false">серпень!Q130</f>
        <v>0</v>
      </c>
      <c r="F130" s="13" t="n">
        <f aca="false">серпень!F130</f>
        <v>0</v>
      </c>
      <c r="G130" s="13" t="n">
        <f aca="false">серпень!G130</f>
        <v>49.7</v>
      </c>
      <c r="H130" s="13" t="n">
        <f aca="false">серпень!H130</f>
        <v>0</v>
      </c>
      <c r="I130" s="13" t="n">
        <f aca="false">серпень!I130</f>
        <v>4.1</v>
      </c>
      <c r="J130" s="14" t="n">
        <f aca="false">ROUND(G130*I130,2)</f>
        <v>203.77</v>
      </c>
      <c r="K130" s="14"/>
      <c r="L130" s="14"/>
      <c r="M130" s="14"/>
      <c r="N130" s="14" t="n">
        <f aca="false">ROUND((G130*I130)-K130-L130-M130,2)</f>
        <v>203.77</v>
      </c>
      <c r="O130" s="14"/>
      <c r="P130" s="14" t="n">
        <f aca="false">ROUND(IF(D130=0,IF((N130-E130-O130)&gt;0,(N130-E130-O130),0),IF((D130+N130-O130)&gt;0,(D130+N130-O130),0)),2)</f>
        <v>2037.47</v>
      </c>
      <c r="Q130" s="14" t="n">
        <f aca="false">ROUND(IF(E130=0,IF((D130+N130-O130)&lt;0,ABS(D130+N130-O130),0),IF((N130-E130-O130)&lt;0,ABS(N130-E130-O130),0)),2)</f>
        <v>0</v>
      </c>
    </row>
    <row r="131" customFormat="false" ht="15" hidden="false" customHeight="true" outlineLevel="0" collapsed="false">
      <c r="A131" s="12" t="s">
        <v>389</v>
      </c>
      <c r="B131" s="12" t="str">
        <f aca="false">серпень!B131</f>
        <v>Сикула О.Ю.</v>
      </c>
      <c r="C131" s="12" t="s">
        <v>391</v>
      </c>
      <c r="D131" s="14" t="n">
        <f aca="false">серпень!P131</f>
        <v>6136.96</v>
      </c>
      <c r="E131" s="14" t="n">
        <f aca="false">серпень!Q131</f>
        <v>0</v>
      </c>
      <c r="F131" s="13" t="n">
        <f aca="false">серпень!F131</f>
        <v>0</v>
      </c>
      <c r="G131" s="13" t="n">
        <f aca="false">серпень!G131</f>
        <v>65.15</v>
      </c>
      <c r="H131" s="13" t="n">
        <f aca="false">серпень!H131</f>
        <v>0</v>
      </c>
      <c r="I131" s="13" t="n">
        <f aca="false">серпень!I131</f>
        <v>4.1</v>
      </c>
      <c r="J131" s="14" t="n">
        <f aca="false">ROUND(G131*I131,2)</f>
        <v>267.12</v>
      </c>
      <c r="K131" s="14"/>
      <c r="L131" s="14"/>
      <c r="M131" s="14"/>
      <c r="N131" s="14" t="n">
        <f aca="false">ROUND((G131*I131)-K131-L131-M131,2)</f>
        <v>267.12</v>
      </c>
      <c r="O131" s="14"/>
      <c r="P131" s="14" t="n">
        <f aca="false">ROUND(IF(D131=0,IF((N131-E131-O131)&gt;0,(N131-E131-O131),0),IF((D131+N131-O131)&gt;0,(D131+N131-O131),0)),2)</f>
        <v>6404.08</v>
      </c>
      <c r="Q131" s="14" t="n">
        <f aca="false">ROUND(IF(E131=0,IF((D131+N131-O131)&lt;0,ABS(D131+N131-O131),0),IF((N131-E131-O131)&lt;0,ABS(N131-E131-O131),0)),2)</f>
        <v>0</v>
      </c>
    </row>
    <row r="132" customFormat="false" ht="15" hidden="false" customHeight="true" outlineLevel="0" collapsed="false">
      <c r="A132" s="12" t="s">
        <v>392</v>
      </c>
      <c r="B132" s="12" t="str">
        <f aca="false">серпень!B132</f>
        <v>Арістов О.О.</v>
      </c>
      <c r="C132" s="12" t="s">
        <v>394</v>
      </c>
      <c r="D132" s="14" t="n">
        <f aca="false">серпень!P132</f>
        <v>2324.7</v>
      </c>
      <c r="E132" s="14" t="n">
        <f aca="false">серпень!Q132</f>
        <v>0</v>
      </c>
      <c r="F132" s="13" t="n">
        <f aca="false">серпень!F132</f>
        <v>0</v>
      </c>
      <c r="G132" s="13" t="n">
        <f aca="false">серпень!G132</f>
        <v>63</v>
      </c>
      <c r="H132" s="13" t="n">
        <f aca="false">серпень!H132</f>
        <v>0</v>
      </c>
      <c r="I132" s="13" t="n">
        <f aca="false">серпень!I132</f>
        <v>4.1</v>
      </c>
      <c r="J132" s="14" t="n">
        <f aca="false">ROUND(G132*I132,2)</f>
        <v>258.3</v>
      </c>
      <c r="K132" s="14"/>
      <c r="L132" s="14"/>
      <c r="M132" s="14"/>
      <c r="N132" s="14" t="n">
        <f aca="false">ROUND((G132*I132)-K132-L132-M132,2)</f>
        <v>258.3</v>
      </c>
      <c r="O132" s="14"/>
      <c r="P132" s="14" t="n">
        <f aca="false">ROUND(IF(D132=0,IF((N132-E132-O132)&gt;0,(N132-E132-O132),0),IF((D132+N132-O132)&gt;0,(D132+N132-O132),0)),2)</f>
        <v>2583</v>
      </c>
      <c r="Q132" s="14" t="n">
        <f aca="false">ROUND(IF(E132=0,IF((D132+N132-O132)&lt;0,ABS(D132+N132-O132),0),IF((N132-E132-O132)&lt;0,ABS(N132-E132-O132),0)),2)</f>
        <v>0</v>
      </c>
    </row>
    <row r="133" customFormat="false" ht="15" hidden="false" customHeight="true" outlineLevel="0" collapsed="false">
      <c r="A133" s="12" t="s">
        <v>395</v>
      </c>
      <c r="B133" s="12" t="str">
        <f aca="false">серпень!B133</f>
        <v>Бондаренко Т.О.</v>
      </c>
      <c r="C133" s="12" t="s">
        <v>397</v>
      </c>
      <c r="D133" s="14" t="n">
        <f aca="false">серпень!P133</f>
        <v>1138.16</v>
      </c>
      <c r="E133" s="14" t="n">
        <f aca="false">серпень!Q133</f>
        <v>0</v>
      </c>
      <c r="F133" s="13" t="n">
        <f aca="false">серпень!F133</f>
        <v>0</v>
      </c>
      <c r="G133" s="13" t="n">
        <f aca="false">серпень!G133</f>
        <v>34.7</v>
      </c>
      <c r="H133" s="13" t="n">
        <f aca="false">серпень!H133</f>
        <v>0</v>
      </c>
      <c r="I133" s="13" t="n">
        <f aca="false">серпень!I133</f>
        <v>4.1</v>
      </c>
      <c r="J133" s="14" t="n">
        <f aca="false">ROUND(G133*I133,2)</f>
        <v>142.27</v>
      </c>
      <c r="K133" s="14"/>
      <c r="L133" s="14"/>
      <c r="M133" s="14"/>
      <c r="N133" s="14" t="n">
        <f aca="false">ROUND((G133*I133)-K133-L133-M133,2)</f>
        <v>142.27</v>
      </c>
      <c r="O133" s="14"/>
      <c r="P133" s="14" t="n">
        <f aca="false">ROUND(IF(D133=0,IF((N133-E133-O133)&gt;0,(N133-E133-O133),0),IF((D133+N133-O133)&gt;0,(D133+N133-O133),0)),2)</f>
        <v>1280.43</v>
      </c>
      <c r="Q133" s="14" t="n">
        <f aca="false">ROUND(IF(E133=0,IF((D133+N133-O133)&lt;0,ABS(D133+N133-O133),0),IF((N133-E133-O133)&lt;0,ABS(N133-E133-O133),0)),2)</f>
        <v>0</v>
      </c>
    </row>
    <row r="134" customFormat="false" ht="15" hidden="false" customHeight="true" outlineLevel="0" collapsed="false">
      <c r="A134" s="12" t="s">
        <v>398</v>
      </c>
      <c r="B134" s="12" t="str">
        <f aca="false">серпень!B134</f>
        <v>Гайчев П.В.</v>
      </c>
      <c r="C134" s="12" t="s">
        <v>400</v>
      </c>
      <c r="D134" s="14" t="n">
        <f aca="false">серпень!P134</f>
        <v>1815.48</v>
      </c>
      <c r="E134" s="14" t="n">
        <f aca="false">серпень!Q134</f>
        <v>0</v>
      </c>
      <c r="F134" s="13" t="n">
        <f aca="false">серпень!F134</f>
        <v>0</v>
      </c>
      <c r="G134" s="13" t="n">
        <f aca="false">серпень!G134</f>
        <v>49.2</v>
      </c>
      <c r="H134" s="13" t="n">
        <f aca="false">серпень!H134</f>
        <v>0</v>
      </c>
      <c r="I134" s="13" t="n">
        <f aca="false">серпень!I134</f>
        <v>4.1</v>
      </c>
      <c r="J134" s="14" t="n">
        <f aca="false">ROUND(G134*I134,2)</f>
        <v>201.72</v>
      </c>
      <c r="K134" s="14"/>
      <c r="L134" s="14"/>
      <c r="M134" s="14"/>
      <c r="N134" s="14" t="n">
        <f aca="false">ROUND((G134*I134)-K134-L134-M134,2)</f>
        <v>201.72</v>
      </c>
      <c r="O134" s="14"/>
      <c r="P134" s="14" t="n">
        <f aca="false">ROUND(IF(D134=0,IF((N134-E134-O134)&gt;0,(N134-E134-O134),0),IF((D134+N134-O134)&gt;0,(D134+N134-O134),0)),2)</f>
        <v>2017.2</v>
      </c>
      <c r="Q134" s="14" t="n">
        <f aca="false">ROUND(IF(E134=0,IF((D134+N134-O134)&lt;0,ABS(D134+N134-O134),0),IF((N134-E134-O134)&lt;0,ABS(N134-E134-O134),0)),2)</f>
        <v>0</v>
      </c>
    </row>
    <row r="135" customFormat="false" ht="15" hidden="false" customHeight="true" outlineLevel="0" collapsed="false">
      <c r="A135" s="12" t="s">
        <v>401</v>
      </c>
      <c r="B135" s="12" t="str">
        <f aca="false">серпень!B135</f>
        <v>Радченко О.С.</v>
      </c>
      <c r="C135" s="12" t="s">
        <v>403</v>
      </c>
      <c r="D135" s="14" t="n">
        <f aca="false">серпень!P135</f>
        <v>2136.96</v>
      </c>
      <c r="E135" s="14" t="n">
        <f aca="false">серпень!Q135</f>
        <v>0</v>
      </c>
      <c r="F135" s="13" t="n">
        <f aca="false">серпень!F135</f>
        <v>0</v>
      </c>
      <c r="G135" s="13" t="n">
        <f aca="false">серпень!G135</f>
        <v>65.15</v>
      </c>
      <c r="H135" s="13" t="n">
        <f aca="false">серпень!H135</f>
        <v>0</v>
      </c>
      <c r="I135" s="13" t="n">
        <f aca="false">серпень!I135</f>
        <v>4.1</v>
      </c>
      <c r="J135" s="14" t="n">
        <f aca="false">ROUND(G135*I135,2)</f>
        <v>267.12</v>
      </c>
      <c r="K135" s="14"/>
      <c r="L135" s="14"/>
      <c r="M135" s="14"/>
      <c r="N135" s="14" t="n">
        <f aca="false">ROUND((G135*I135)-K135-L135-M135,2)</f>
        <v>267.12</v>
      </c>
      <c r="O135" s="14"/>
      <c r="P135" s="14" t="n">
        <f aca="false">ROUND(IF(D135=0,IF((N135-E135-O135)&gt;0,(N135-E135-O135),0),IF((D135+N135-O135)&gt;0,(D135+N135-O135),0)),2)</f>
        <v>2404.08</v>
      </c>
      <c r="Q135" s="14" t="n">
        <f aca="false">ROUND(IF(E135=0,IF((D135+N135-O135)&lt;0,ABS(D135+N135-O135),0),IF((N135-E135-O135)&lt;0,ABS(N135-E135-O135),0)),2)</f>
        <v>0</v>
      </c>
    </row>
    <row r="136" customFormat="false" ht="15" hidden="false" customHeight="true" outlineLevel="0" collapsed="false">
      <c r="A136" s="12" t="s">
        <v>404</v>
      </c>
      <c r="B136" s="12" t="str">
        <f aca="false">серпень!B136</f>
        <v>Шилін С.М.</v>
      </c>
      <c r="C136" s="12" t="s">
        <v>406</v>
      </c>
      <c r="D136" s="14" t="n">
        <f aca="false">серпень!P136</f>
        <v>3548.75</v>
      </c>
      <c r="E136" s="14" t="n">
        <f aca="false">серпень!Q136</f>
        <v>0</v>
      </c>
      <c r="F136" s="13" t="n">
        <f aca="false">серпень!F136</f>
        <v>0</v>
      </c>
      <c r="G136" s="13" t="n">
        <f aca="false">серпень!G136</f>
        <v>62.3</v>
      </c>
      <c r="H136" s="13" t="n">
        <f aca="false">серпень!H136</f>
        <v>0</v>
      </c>
      <c r="I136" s="13" t="n">
        <f aca="false">серпень!I136</f>
        <v>4.1</v>
      </c>
      <c r="J136" s="14" t="n">
        <f aca="false">ROUND(G136*I136,2)</f>
        <v>255.43</v>
      </c>
      <c r="K136" s="14"/>
      <c r="L136" s="14"/>
      <c r="M136" s="14"/>
      <c r="N136" s="14" t="n">
        <f aca="false">ROUND((G136*I136)-K136-L136-M136,2)</f>
        <v>255.43</v>
      </c>
      <c r="O136" s="14"/>
      <c r="P136" s="14" t="n">
        <f aca="false">ROUND(IF(D136=0,IF((N136-E136-O136)&gt;0,(N136-E136-O136),0),IF((D136+N136-O136)&gt;0,(D136+N136-O136),0)),2)</f>
        <v>3804.18</v>
      </c>
      <c r="Q136" s="14" t="n">
        <f aca="false">ROUND(IF(E136=0,IF((D136+N136-O136)&lt;0,ABS(D136+N136-O136),0),IF((N136-E136-O136)&lt;0,ABS(N136-E136-O136),0)),2)</f>
        <v>0</v>
      </c>
    </row>
    <row r="137" customFormat="false" ht="15" hidden="false" customHeight="true" outlineLevel="0" collapsed="false">
      <c r="A137" s="12" t="s">
        <v>407</v>
      </c>
      <c r="B137" s="12" t="str">
        <f aca="false">серпень!B137</f>
        <v>Корякін Л.М.</v>
      </c>
      <c r="C137" s="12" t="s">
        <v>409</v>
      </c>
      <c r="D137" s="14" t="n">
        <f aca="false">серпень!P137</f>
        <v>2681.38</v>
      </c>
      <c r="E137" s="14" t="n">
        <f aca="false">серпень!Q137</f>
        <v>0</v>
      </c>
      <c r="F137" s="13" t="n">
        <f aca="false">серпень!F137</f>
        <v>0</v>
      </c>
      <c r="G137" s="13" t="n">
        <f aca="false">серпень!G137</f>
        <v>35.3</v>
      </c>
      <c r="H137" s="13" t="n">
        <f aca="false">серпень!H137</f>
        <v>0</v>
      </c>
      <c r="I137" s="13" t="n">
        <f aca="false">серпень!I137</f>
        <v>4.1</v>
      </c>
      <c r="J137" s="14" t="n">
        <f aca="false">ROUND(G137*I137,2)</f>
        <v>144.73</v>
      </c>
      <c r="K137" s="14"/>
      <c r="L137" s="14"/>
      <c r="M137" s="14"/>
      <c r="N137" s="14" t="n">
        <f aca="false">ROUND((G137*I137)-K137-L137-M137,2)</f>
        <v>144.73</v>
      </c>
      <c r="O137" s="14"/>
      <c r="P137" s="14" t="n">
        <f aca="false">ROUND(IF(D137=0,IF((N137-E137-O137)&gt;0,(N137-E137-O137),0),IF((D137+N137-O137)&gt;0,(D137+N137-O137),0)),2)</f>
        <v>2826.11</v>
      </c>
      <c r="Q137" s="14" t="n">
        <f aca="false">ROUND(IF(E137=0,IF((D137+N137-O137)&lt;0,ABS(D137+N137-O137),0),IF((N137-E137-O137)&lt;0,ABS(N137-E137-O137),0)),2)</f>
        <v>0</v>
      </c>
    </row>
    <row r="138" customFormat="false" ht="15" hidden="false" customHeight="true" outlineLevel="0" collapsed="false">
      <c r="A138" s="12" t="s">
        <v>410</v>
      </c>
      <c r="B138" s="12" t="str">
        <f aca="false">серпень!B138</f>
        <v>Кривошеєва Л.М.</v>
      </c>
      <c r="C138" s="12" t="s">
        <v>412</v>
      </c>
      <c r="D138" s="14" t="n">
        <f aca="false">серпень!P138</f>
        <v>4132.82</v>
      </c>
      <c r="E138" s="14" t="n">
        <f aca="false">серпень!Q138</f>
        <v>0</v>
      </c>
      <c r="F138" s="13" t="n">
        <f aca="false">серпень!F138</f>
        <v>0</v>
      </c>
      <c r="G138" s="13" t="n">
        <f aca="false">серпень!G138</f>
        <v>49.78</v>
      </c>
      <c r="H138" s="13" t="n">
        <f aca="false">серпень!H138</f>
        <v>0</v>
      </c>
      <c r="I138" s="13" t="n">
        <f aca="false">серпень!I138</f>
        <v>4.1</v>
      </c>
      <c r="J138" s="14" t="n">
        <f aca="false">ROUND(G138*I138,2)</f>
        <v>204.1</v>
      </c>
      <c r="K138" s="14"/>
      <c r="L138" s="14"/>
      <c r="M138" s="14"/>
      <c r="N138" s="14" t="n">
        <f aca="false">ROUND((G138*I138)-K138-L138-M138,2)</f>
        <v>204.1</v>
      </c>
      <c r="O138" s="14"/>
      <c r="P138" s="14" t="n">
        <f aca="false">ROUND(IF(D138=0,IF((N138-E138-O138)&gt;0,(N138-E138-O138),0),IF((D138+N138-O138)&gt;0,(D138+N138-O138),0)),2)</f>
        <v>4336.92</v>
      </c>
      <c r="Q138" s="14" t="n">
        <f aca="false">ROUND(IF(E138=0,IF((D138+N138-O138)&lt;0,ABS(D138+N138-O138),0),IF((N138-E138-O138)&lt;0,ABS(N138-E138-O138),0)),2)</f>
        <v>0</v>
      </c>
    </row>
    <row r="139" customFormat="false" ht="15" hidden="false" customHeight="true" outlineLevel="0" collapsed="false">
      <c r="A139" s="12" t="s">
        <v>413</v>
      </c>
      <c r="B139" s="12" t="str">
        <f aca="false">серпень!B139</f>
        <v>Харченко І.С.</v>
      </c>
      <c r="C139" s="12" t="s">
        <v>415</v>
      </c>
      <c r="D139" s="14" t="n">
        <f aca="false">серпень!P139</f>
        <v>1885.41</v>
      </c>
      <c r="E139" s="14" t="n">
        <f aca="false">серпень!Q139</f>
        <v>0</v>
      </c>
      <c r="F139" s="13" t="n">
        <f aca="false">серпень!F139</f>
        <v>0</v>
      </c>
      <c r="G139" s="13" t="n">
        <f aca="false">серпень!G139</f>
        <v>65.93</v>
      </c>
      <c r="H139" s="13" t="n">
        <f aca="false">серпень!H139</f>
        <v>0</v>
      </c>
      <c r="I139" s="13" t="n">
        <f aca="false">серпень!I139</f>
        <v>4.1</v>
      </c>
      <c r="J139" s="14" t="n">
        <f aca="false">ROUND(G139*I139,2)</f>
        <v>270.31</v>
      </c>
      <c r="K139" s="14"/>
      <c r="L139" s="14"/>
      <c r="M139" s="14"/>
      <c r="N139" s="14" t="n">
        <f aca="false">ROUND((G139*I139)-K139-L139-M139,2)</f>
        <v>270.31</v>
      </c>
      <c r="O139" s="14"/>
      <c r="P139" s="14" t="n">
        <f aca="false">ROUND(IF(D139=0,IF((N139-E139-O139)&gt;0,(N139-E139-O139),0),IF((D139+N139-O139)&gt;0,(D139+N139-O139),0)),2)</f>
        <v>2155.72</v>
      </c>
      <c r="Q139" s="14" t="n">
        <f aca="false">ROUND(IF(E139=0,IF((D139+N139-O139)&lt;0,ABS(D139+N139-O139),0),IF((N139-E139-O139)&lt;0,ABS(N139-E139-O139),0)),2)</f>
        <v>0</v>
      </c>
    </row>
    <row r="140" customFormat="false" ht="15" hidden="false" customHeight="true" outlineLevel="0" collapsed="false">
      <c r="A140" s="12" t="s">
        <v>416</v>
      </c>
      <c r="B140" s="12" t="str">
        <f aca="false">серпень!B140</f>
        <v>Куриленко І.О.</v>
      </c>
      <c r="C140" s="12" t="s">
        <v>418</v>
      </c>
      <c r="D140" s="14" t="n">
        <f aca="false">серпень!P140</f>
        <v>1789.76</v>
      </c>
      <c r="E140" s="14" t="n">
        <f aca="false">серпень!Q140</f>
        <v>0</v>
      </c>
      <c r="F140" s="13" t="n">
        <f aca="false">серпень!F140</f>
        <v>0</v>
      </c>
      <c r="G140" s="13" t="n">
        <f aca="false">серпень!G140</f>
        <v>62.36</v>
      </c>
      <c r="H140" s="13" t="n">
        <f aca="false">серпень!H140</f>
        <v>0</v>
      </c>
      <c r="I140" s="13" t="n">
        <f aca="false">серпень!I140</f>
        <v>4.1</v>
      </c>
      <c r="J140" s="14" t="n">
        <f aca="false">ROUND(G140*I140,2)</f>
        <v>255.68</v>
      </c>
      <c r="K140" s="14"/>
      <c r="L140" s="14"/>
      <c r="M140" s="14"/>
      <c r="N140" s="14" t="n">
        <f aca="false">ROUND((G140*I140)-K140-L140-M140,2)</f>
        <v>255.68</v>
      </c>
      <c r="O140" s="14"/>
      <c r="P140" s="14" t="n">
        <f aca="false">ROUND(IF(D140=0,IF((N140-E140-O140)&gt;0,(N140-E140-O140),0),IF((D140+N140-O140)&gt;0,(D140+N140-O140),0)),2)</f>
        <v>2045.44</v>
      </c>
      <c r="Q140" s="14" t="n">
        <f aca="false">ROUND(IF(E140=0,IF((D140+N140-O140)&lt;0,ABS(D140+N140-O140),0),IF((N140-E140-O140)&lt;0,ABS(N140-E140-O140),0)),2)</f>
        <v>0</v>
      </c>
    </row>
    <row r="141" customFormat="false" ht="15" hidden="false" customHeight="true" outlineLevel="0" collapsed="false">
      <c r="A141" s="12" t="s">
        <v>419</v>
      </c>
      <c r="B141" s="12" t="str">
        <f aca="false">серпень!B141</f>
        <v>Єлсукова В.М.</v>
      </c>
      <c r="C141" s="12" t="s">
        <v>421</v>
      </c>
      <c r="D141" s="14" t="n">
        <f aca="false">серпень!P141</f>
        <v>8058.96</v>
      </c>
      <c r="E141" s="14" t="n">
        <f aca="false">серпень!Q141</f>
        <v>0</v>
      </c>
      <c r="F141" s="13" t="n">
        <f aca="false">серпень!F141</f>
        <v>0</v>
      </c>
      <c r="G141" s="13" t="n">
        <f aca="false">серпень!G141</f>
        <v>35.1</v>
      </c>
      <c r="H141" s="13" t="n">
        <f aca="false">серпень!H141</f>
        <v>0</v>
      </c>
      <c r="I141" s="13" t="n">
        <f aca="false">серпень!I141</f>
        <v>4.1</v>
      </c>
      <c r="J141" s="14" t="n">
        <f aca="false">ROUND(G141*I141,2)</f>
        <v>143.91</v>
      </c>
      <c r="K141" s="14"/>
      <c r="L141" s="14"/>
      <c r="M141" s="14"/>
      <c r="N141" s="14" t="n">
        <f aca="false">ROUND((G141*I141)-K141-L141-M141,2)</f>
        <v>143.91</v>
      </c>
      <c r="O141" s="14"/>
      <c r="P141" s="14" t="n">
        <f aca="false">ROUND(IF(D141=0,IF((N141-E141-O141)&gt;0,(N141-E141-O141),0),IF((D141+N141-O141)&gt;0,(D141+N141-O141),0)),2)</f>
        <v>8202.87</v>
      </c>
      <c r="Q141" s="14" t="n">
        <f aca="false">ROUND(IF(E141=0,IF((D141+N141-O141)&lt;0,ABS(D141+N141-O141),0),IF((N141-E141-O141)&lt;0,ABS(N141-E141-O141),0)),2)</f>
        <v>0</v>
      </c>
    </row>
    <row r="142" customFormat="false" ht="15" hidden="false" customHeight="true" outlineLevel="0" collapsed="false">
      <c r="A142" s="12" t="s">
        <v>422</v>
      </c>
      <c r="B142" s="12" t="str">
        <f aca="false">серпень!B142</f>
        <v>Пімонова М.В.</v>
      </c>
      <c r="C142" s="12" t="s">
        <v>424</v>
      </c>
      <c r="D142" s="14" t="n">
        <f aca="false">серпень!P142</f>
        <v>9897.15</v>
      </c>
      <c r="E142" s="14" t="n">
        <f aca="false">серпень!Q142</f>
        <v>0</v>
      </c>
      <c r="F142" s="13" t="n">
        <f aca="false">серпень!F142</f>
        <v>0</v>
      </c>
      <c r="G142" s="13" t="n">
        <f aca="false">серпень!G142</f>
        <v>49.47</v>
      </c>
      <c r="H142" s="13" t="n">
        <f aca="false">серпень!H142</f>
        <v>0</v>
      </c>
      <c r="I142" s="13" t="n">
        <f aca="false">серпень!I142</f>
        <v>4.1</v>
      </c>
      <c r="J142" s="14" t="n">
        <f aca="false">ROUND(G142*I142,2)</f>
        <v>202.83</v>
      </c>
      <c r="K142" s="14"/>
      <c r="L142" s="14"/>
      <c r="M142" s="14"/>
      <c r="N142" s="14" t="n">
        <f aca="false">ROUND((G142*I142)-K142-L142-M142,2)</f>
        <v>202.83</v>
      </c>
      <c r="O142" s="14"/>
      <c r="P142" s="14" t="n">
        <f aca="false">ROUND(IF(D142=0,IF((N142-E142-O142)&gt;0,(N142-E142-O142),0),IF((D142+N142-O142)&gt;0,(D142+N142-O142),0)),2)</f>
        <v>10099.98</v>
      </c>
      <c r="Q142" s="14" t="n">
        <f aca="false">ROUND(IF(E142=0,IF((D142+N142-O142)&lt;0,ABS(D142+N142-O142),0),IF((N142-E142-O142)&lt;0,ABS(N142-E142-O142),0)),2)</f>
        <v>0</v>
      </c>
    </row>
    <row r="143" customFormat="false" ht="15" hidden="false" customHeight="true" outlineLevel="0" collapsed="false">
      <c r="A143" s="12" t="s">
        <v>425</v>
      </c>
      <c r="B143" s="12" t="str">
        <f aca="false">серпень!B143</f>
        <v>Осипенко В.В.</v>
      </c>
      <c r="C143" s="12" t="s">
        <v>427</v>
      </c>
      <c r="D143" s="14" t="n">
        <f aca="false">серпень!P143</f>
        <v>12918.35</v>
      </c>
      <c r="E143" s="14" t="n">
        <f aca="false">серпень!Q143</f>
        <v>0</v>
      </c>
      <c r="F143" s="13" t="n">
        <f aca="false">серпень!F143</f>
        <v>0</v>
      </c>
      <c r="G143" s="13" t="n">
        <f aca="false">серпень!G143</f>
        <v>65.65</v>
      </c>
      <c r="H143" s="13" t="n">
        <f aca="false">серпень!H143</f>
        <v>0</v>
      </c>
      <c r="I143" s="13" t="n">
        <f aca="false">серпень!I143</f>
        <v>4.1</v>
      </c>
      <c r="J143" s="14" t="n">
        <f aca="false">ROUND(G143*I143,2)</f>
        <v>269.17</v>
      </c>
      <c r="K143" s="14"/>
      <c r="L143" s="14"/>
      <c r="M143" s="14"/>
      <c r="N143" s="14" t="n">
        <f aca="false">ROUND((G143*I143)-K143-L143-M143,2)</f>
        <v>269.17</v>
      </c>
      <c r="O143" s="14"/>
      <c r="P143" s="14" t="n">
        <f aca="false">ROUND(IF(D143=0,IF((N143-E143-O143)&gt;0,(N143-E143-O143),0),IF((D143+N143-O143)&gt;0,(D143+N143-O143),0)),2)</f>
        <v>13187.52</v>
      </c>
      <c r="Q143" s="14" t="n">
        <f aca="false">ROUND(IF(E143=0,IF((D143+N143-O143)&lt;0,ABS(D143+N143-O143),0),IF((N143-E143-O143)&lt;0,ABS(N143-E143-O143),0)),2)</f>
        <v>0</v>
      </c>
    </row>
    <row r="144" customFormat="false" ht="15" hidden="false" customHeight="true" outlineLevel="0" collapsed="false">
      <c r="A144" s="12" t="s">
        <v>428</v>
      </c>
      <c r="B144" s="12" t="str">
        <f aca="false">серпень!B144</f>
        <v>Друзь О.О.</v>
      </c>
      <c r="C144" s="12" t="s">
        <v>430</v>
      </c>
      <c r="D144" s="14" t="n">
        <f aca="false">серпень!P144</f>
        <v>12984.43</v>
      </c>
      <c r="E144" s="14" t="n">
        <f aca="false">серпень!Q144</f>
        <v>0</v>
      </c>
      <c r="F144" s="13" t="n">
        <f aca="false">серпень!F144</f>
        <v>0</v>
      </c>
      <c r="G144" s="13" t="n">
        <f aca="false">серпень!G144</f>
        <v>62.1</v>
      </c>
      <c r="H144" s="13" t="n">
        <f aca="false">серпень!H144</f>
        <v>0</v>
      </c>
      <c r="I144" s="13" t="n">
        <f aca="false">серпень!I144</f>
        <v>4.1</v>
      </c>
      <c r="J144" s="14" t="n">
        <f aca="false">ROUND(G144*I144,2)</f>
        <v>254.61</v>
      </c>
      <c r="K144" s="14"/>
      <c r="L144" s="14"/>
      <c r="M144" s="14"/>
      <c r="N144" s="14" t="n">
        <f aca="false">ROUND((G144*I144)-K144-L144-M144,2)</f>
        <v>254.61</v>
      </c>
      <c r="O144" s="14"/>
      <c r="P144" s="14" t="n">
        <f aca="false">ROUND(IF(D144=0,IF((N144-E144-O144)&gt;0,(N144-E144-O144),0),IF((D144+N144-O144)&gt;0,(D144+N144-O144),0)),2)</f>
        <v>13239.04</v>
      </c>
      <c r="Q144" s="14" t="n">
        <f aca="false">ROUND(IF(E144=0,IF((D144+N144-O144)&lt;0,ABS(D144+N144-O144),0),IF((N144-E144-O144)&lt;0,ABS(N144-E144-O144),0)),2)</f>
        <v>0</v>
      </c>
    </row>
    <row r="145" customFormat="false" ht="15" hidden="false" customHeight="true" outlineLevel="0" collapsed="false">
      <c r="A145" s="12" t="s">
        <v>431</v>
      </c>
      <c r="B145" s="12" t="str">
        <f aca="false">серпень!B145</f>
        <v>Вовченко Р.І.</v>
      </c>
      <c r="C145" s="12" t="s">
        <v>433</v>
      </c>
      <c r="D145" s="14" t="n">
        <f aca="false">серпень!P145</f>
        <v>4693.28</v>
      </c>
      <c r="E145" s="14" t="n">
        <f aca="false">серпень!Q145</f>
        <v>0</v>
      </c>
      <c r="F145" s="13" t="n">
        <f aca="false">серпень!F145</f>
        <v>0</v>
      </c>
      <c r="G145" s="13" t="n">
        <f aca="false">серпень!G145</f>
        <v>35.2</v>
      </c>
      <c r="H145" s="13" t="n">
        <f aca="false">серпень!H145</f>
        <v>0</v>
      </c>
      <c r="I145" s="13" t="n">
        <f aca="false">серпень!I145</f>
        <v>4.1</v>
      </c>
      <c r="J145" s="14" t="n">
        <f aca="false">ROUND(G145*I145,2)</f>
        <v>144.32</v>
      </c>
      <c r="K145" s="14"/>
      <c r="L145" s="14"/>
      <c r="M145" s="14"/>
      <c r="N145" s="14" t="n">
        <f aca="false">ROUND((G145*I145)-K145-L145-M145,2)</f>
        <v>144.32</v>
      </c>
      <c r="O145" s="14"/>
      <c r="P145" s="14" t="n">
        <f aca="false">ROUND(IF(D145=0,IF((N145-E145-O145)&gt;0,(N145-E145-O145),0),IF((D145+N145-O145)&gt;0,(D145+N145-O145),0)),2)</f>
        <v>4837.6</v>
      </c>
      <c r="Q145" s="14" t="n">
        <f aca="false">ROUND(IF(E145=0,IF((D145+N145-O145)&lt;0,ABS(D145+N145-O145),0),IF((N145-E145-O145)&lt;0,ABS(N145-E145-O145),0)),2)</f>
        <v>0</v>
      </c>
    </row>
    <row r="146" customFormat="false" ht="15" hidden="false" customHeight="true" outlineLevel="0" collapsed="false">
      <c r="A146" s="12" t="s">
        <v>434</v>
      </c>
      <c r="B146" s="12" t="str">
        <f aca="false">серпень!B146</f>
        <v>Плакун Д.В.</v>
      </c>
      <c r="C146" s="12" t="s">
        <v>436</v>
      </c>
      <c r="D146" s="14" t="n">
        <f aca="false">серпень!P146</f>
        <v>2045.9</v>
      </c>
      <c r="E146" s="14" t="n">
        <f aca="false">серпень!Q146</f>
        <v>0</v>
      </c>
      <c r="F146" s="13" t="n">
        <f aca="false">серпень!F146</f>
        <v>0</v>
      </c>
      <c r="G146" s="13" t="n">
        <f aca="false">серпень!G146</f>
        <v>49.9</v>
      </c>
      <c r="H146" s="13" t="n">
        <f aca="false">серпень!H146</f>
        <v>0</v>
      </c>
      <c r="I146" s="13" t="n">
        <f aca="false">серпень!I146</f>
        <v>4.1</v>
      </c>
      <c r="J146" s="14" t="n">
        <f aca="false">ROUND(G146*I146,2)</f>
        <v>204.59</v>
      </c>
      <c r="K146" s="14"/>
      <c r="L146" s="14"/>
      <c r="M146" s="14"/>
      <c r="N146" s="14" t="n">
        <f aca="false">ROUND((G146*I146)-K146-L146-M146,2)</f>
        <v>204.59</v>
      </c>
      <c r="O146" s="14"/>
      <c r="P146" s="14" t="n">
        <f aca="false">ROUND(IF(D146=0,IF((N146-E146-O146)&gt;0,(N146-E146-O146),0),IF((D146+N146-O146)&gt;0,(D146+N146-O146),0)),2)</f>
        <v>2250.49</v>
      </c>
      <c r="Q146" s="14" t="n">
        <f aca="false">ROUND(IF(E146=0,IF((D146+N146-O146)&lt;0,ABS(D146+N146-O146),0),IF((N146-E146-O146)&lt;0,ABS(N146-E146-O146),0)),2)</f>
        <v>0</v>
      </c>
    </row>
    <row r="147" customFormat="false" ht="15" hidden="false" customHeight="true" outlineLevel="0" collapsed="false">
      <c r="A147" s="12" t="s">
        <v>437</v>
      </c>
      <c r="B147" s="12" t="str">
        <f aca="false">серпень!B147</f>
        <v>Гаврилова Ю.О.</v>
      </c>
      <c r="C147" s="12" t="s">
        <v>439</v>
      </c>
      <c r="D147" s="14" t="n">
        <f aca="false">серпень!P147</f>
        <v>6793.98</v>
      </c>
      <c r="E147" s="14" t="n">
        <f aca="false">серпень!Q147</f>
        <v>0</v>
      </c>
      <c r="F147" s="13" t="n">
        <f aca="false">серпень!F147</f>
        <v>0</v>
      </c>
      <c r="G147" s="13" t="n">
        <f aca="false">серпень!G147</f>
        <v>65.8</v>
      </c>
      <c r="H147" s="13" t="n">
        <f aca="false">серпень!H147</f>
        <v>0</v>
      </c>
      <c r="I147" s="13" t="n">
        <f aca="false">серпень!I147</f>
        <v>4.1</v>
      </c>
      <c r="J147" s="14" t="n">
        <f aca="false">ROUND(G147*I147,2)</f>
        <v>269.78</v>
      </c>
      <c r="K147" s="14"/>
      <c r="L147" s="14"/>
      <c r="M147" s="14"/>
      <c r="N147" s="14" t="n">
        <f aca="false">ROUND((G147*I147)-K147-L147-M147,2)</f>
        <v>269.78</v>
      </c>
      <c r="O147" s="14"/>
      <c r="P147" s="14" t="n">
        <f aca="false">ROUND(IF(D147=0,IF((N147-E147-O147)&gt;0,(N147-E147-O147),0),IF((D147+N147-O147)&gt;0,(D147+N147-O147),0)),2)</f>
        <v>7063.76</v>
      </c>
      <c r="Q147" s="14" t="n">
        <f aca="false">ROUND(IF(E147=0,IF((D147+N147-O147)&lt;0,ABS(D147+N147-O147),0),IF((N147-E147-O147)&lt;0,ABS(N147-E147-O147),0)),2)</f>
        <v>0</v>
      </c>
    </row>
    <row r="148" customFormat="false" ht="15" hidden="false" customHeight="true" outlineLevel="0" collapsed="false">
      <c r="A148" s="12" t="s">
        <v>440</v>
      </c>
      <c r="B148" s="12" t="str">
        <f aca="false">серпень!B148</f>
        <v>Корзун Г.М.</v>
      </c>
      <c r="C148" s="12" t="s">
        <v>442</v>
      </c>
      <c r="D148" s="14" t="n">
        <f aca="false">серпень!P148</f>
        <v>3329.8</v>
      </c>
      <c r="E148" s="14" t="n">
        <f aca="false">серпень!Q148</f>
        <v>0</v>
      </c>
      <c r="F148" s="13" t="n">
        <f aca="false">серпень!F148</f>
        <v>0</v>
      </c>
      <c r="G148" s="13" t="n">
        <f aca="false">серпень!G148</f>
        <v>63.2</v>
      </c>
      <c r="H148" s="13" t="n">
        <f aca="false">серпень!H148</f>
        <v>0</v>
      </c>
      <c r="I148" s="13" t="n">
        <f aca="false">серпень!I148</f>
        <v>4.1</v>
      </c>
      <c r="J148" s="14" t="n">
        <f aca="false">ROUND(G148*I148,2)</f>
        <v>259.12</v>
      </c>
      <c r="K148" s="14"/>
      <c r="L148" s="14"/>
      <c r="M148" s="14"/>
      <c r="N148" s="14" t="n">
        <f aca="false">ROUND((G148*I148)-K148-L148-M148,2)</f>
        <v>259.12</v>
      </c>
      <c r="O148" s="14"/>
      <c r="P148" s="14" t="n">
        <f aca="false">ROUND(IF(D148=0,IF((N148-E148-O148)&gt;0,(N148-E148-O148),0),IF((D148+N148-O148)&gt;0,(D148+N148-O148),0)),2)</f>
        <v>3588.92</v>
      </c>
      <c r="Q148" s="14" t="n">
        <f aca="false">ROUND(IF(E148=0,IF((D148+N148-O148)&lt;0,ABS(D148+N148-O148),0),IF((N148-E148-O148)&lt;0,ABS(N148-E148-O148),0)),2)</f>
        <v>0</v>
      </c>
    </row>
    <row r="149" customFormat="false" ht="15" hidden="false" customHeight="true" outlineLevel="0" collapsed="false">
      <c r="A149" s="12" t="s">
        <v>443</v>
      </c>
      <c r="B149" s="12" t="str">
        <f aca="false">серпень!B149</f>
        <v>Бондаренко Л.Л.</v>
      </c>
      <c r="C149" s="12" t="s">
        <v>445</v>
      </c>
      <c r="D149" s="14" t="n">
        <f aca="false">серпень!P149</f>
        <v>5150.71</v>
      </c>
      <c r="E149" s="14" t="n">
        <f aca="false">серпень!Q149</f>
        <v>0</v>
      </c>
      <c r="F149" s="13" t="n">
        <f aca="false">серпень!F149</f>
        <v>0</v>
      </c>
      <c r="G149" s="13" t="n">
        <f aca="false">серпень!G149</f>
        <v>34.9</v>
      </c>
      <c r="H149" s="13" t="n">
        <f aca="false">серпень!H149</f>
        <v>0</v>
      </c>
      <c r="I149" s="13" t="n">
        <f aca="false">серпень!I149</f>
        <v>4.1</v>
      </c>
      <c r="J149" s="14" t="n">
        <f aca="false">ROUND(G149*I149,2)</f>
        <v>143.09</v>
      </c>
      <c r="K149" s="14"/>
      <c r="L149" s="14"/>
      <c r="M149" s="14"/>
      <c r="N149" s="14" t="n">
        <f aca="false">ROUND((G149*I149)-K149-L149-M149,2)</f>
        <v>143.09</v>
      </c>
      <c r="O149" s="14"/>
      <c r="P149" s="14" t="n">
        <f aca="false">ROUND(IF(D149=0,IF((N149-E149-O149)&gt;0,(N149-E149-O149),0),IF((D149+N149-O149)&gt;0,(D149+N149-O149),0)),2)</f>
        <v>5293.8</v>
      </c>
      <c r="Q149" s="14" t="n">
        <f aca="false">ROUND(IF(E149=0,IF((D149+N149-O149)&lt;0,ABS(D149+N149-O149),0),IF((N149-E149-O149)&lt;0,ABS(N149-E149-O149),0)),2)</f>
        <v>0</v>
      </c>
    </row>
    <row r="150" customFormat="false" ht="15" hidden="false" customHeight="true" outlineLevel="0" collapsed="false">
      <c r="A150" s="12" t="s">
        <v>446</v>
      </c>
      <c r="B150" s="12" t="str">
        <f aca="false">серпень!B150</f>
        <v>Капелюш Н.А.</v>
      </c>
      <c r="C150" s="12" t="s">
        <v>448</v>
      </c>
      <c r="D150" s="14" t="n">
        <f aca="false">серпень!P150</f>
        <v>11158.56</v>
      </c>
      <c r="E150" s="14" t="n">
        <f aca="false">серпень!Q150</f>
        <v>0</v>
      </c>
      <c r="F150" s="13" t="n">
        <f aca="false">серпень!F150</f>
        <v>0</v>
      </c>
      <c r="G150" s="13" t="n">
        <f aca="false">серпень!G150</f>
        <v>50.4</v>
      </c>
      <c r="H150" s="13" t="n">
        <f aca="false">серпень!H150</f>
        <v>0</v>
      </c>
      <c r="I150" s="13" t="n">
        <f aca="false">серпень!I150</f>
        <v>4.1</v>
      </c>
      <c r="J150" s="14" t="n">
        <f aca="false">ROUND(G150*I150,2)</f>
        <v>206.64</v>
      </c>
      <c r="K150" s="14"/>
      <c r="L150" s="14"/>
      <c r="M150" s="14"/>
      <c r="N150" s="14" t="n">
        <f aca="false">ROUND((G150*I150)-K150-L150-M150,2)</f>
        <v>206.64</v>
      </c>
      <c r="O150" s="14"/>
      <c r="P150" s="14" t="n">
        <f aca="false">ROUND(IF(D150=0,IF((N150-E150-O150)&gt;0,(N150-E150-O150),0),IF((D150+N150-O150)&gt;0,(D150+N150-O150),0)),2)</f>
        <v>11365.2</v>
      </c>
      <c r="Q150" s="14" t="n">
        <f aca="false">ROUND(IF(E150=0,IF((D150+N150-O150)&lt;0,ABS(D150+N150-O150),0),IF((N150-E150-O150)&lt;0,ABS(N150-E150-O150),0)),2)</f>
        <v>0</v>
      </c>
    </row>
    <row r="151" customFormat="false" ht="15" hidden="false" customHeight="true" outlineLevel="0" collapsed="false">
      <c r="A151" s="12" t="s">
        <v>449</v>
      </c>
      <c r="B151" s="12" t="str">
        <f aca="false">серпень!B151</f>
        <v>Кістрінь Л.П.</v>
      </c>
      <c r="C151" s="12" t="s">
        <v>451</v>
      </c>
      <c r="D151" s="14" t="n">
        <f aca="false">серпень!P151</f>
        <v>14757.33</v>
      </c>
      <c r="E151" s="14" t="n">
        <f aca="false">серпень!Q151</f>
        <v>0</v>
      </c>
      <c r="F151" s="13" t="n">
        <f aca="false">серпень!F151</f>
        <v>0</v>
      </c>
      <c r="G151" s="13" t="n">
        <f aca="false">серпень!G151</f>
        <v>65.2</v>
      </c>
      <c r="H151" s="13" t="n">
        <f aca="false">серпень!H151</f>
        <v>0</v>
      </c>
      <c r="I151" s="13" t="n">
        <f aca="false">серпень!I151</f>
        <v>4.1</v>
      </c>
      <c r="J151" s="14" t="n">
        <f aca="false">ROUND(G151*I151,2)</f>
        <v>267.32</v>
      </c>
      <c r="K151" s="14"/>
      <c r="L151" s="14"/>
      <c r="M151" s="14"/>
      <c r="N151" s="14" t="n">
        <f aca="false">ROUND((G151*I151)-K151-L151-M151,2)</f>
        <v>267.32</v>
      </c>
      <c r="O151" s="14"/>
      <c r="P151" s="14" t="n">
        <f aca="false">ROUND(IF(D151=0,IF((N151-E151-O151)&gt;0,(N151-E151-O151),0),IF((D151+N151-O151)&gt;0,(D151+N151-O151),0)),2)</f>
        <v>15024.65</v>
      </c>
      <c r="Q151" s="14" t="n">
        <f aca="false">ROUND(IF(E151=0,IF((D151+N151-O151)&lt;0,ABS(D151+N151-O151),0),IF((N151-E151-O151)&lt;0,ABS(N151-E151-O151),0)),2)</f>
        <v>0</v>
      </c>
    </row>
    <row r="152" customFormat="false" ht="15" hidden="false" customHeight="true" outlineLevel="0" collapsed="false">
      <c r="A152" s="12" t="s">
        <v>452</v>
      </c>
      <c r="B152" s="12" t="str">
        <f aca="false">серпень!B152</f>
        <v>Козьміна І.В.</v>
      </c>
      <c r="C152" s="12" t="s">
        <v>454</v>
      </c>
      <c r="D152" s="14" t="n">
        <f aca="false">серпень!P152</f>
        <v>3971.1</v>
      </c>
      <c r="E152" s="14" t="n">
        <f aca="false">серпень!Q152</f>
        <v>0</v>
      </c>
      <c r="F152" s="13" t="n">
        <f aca="false">серпень!F152</f>
        <v>0</v>
      </c>
      <c r="G152" s="13" t="n">
        <f aca="false">серпень!G152</f>
        <v>64.57</v>
      </c>
      <c r="H152" s="13" t="n">
        <f aca="false">серпень!H152</f>
        <v>0</v>
      </c>
      <c r="I152" s="13" t="n">
        <f aca="false">серпень!I152</f>
        <v>4.1</v>
      </c>
      <c r="J152" s="14" t="n">
        <f aca="false">ROUND(G152*I152,2)</f>
        <v>264.74</v>
      </c>
      <c r="K152" s="14"/>
      <c r="L152" s="14"/>
      <c r="M152" s="14"/>
      <c r="N152" s="14" t="n">
        <f aca="false">ROUND((G152*I152)-K152-L152-M152,2)</f>
        <v>264.74</v>
      </c>
      <c r="O152" s="14"/>
      <c r="P152" s="14" t="n">
        <f aca="false">ROUND(IF(D152=0,IF((N152-E152-O152)&gt;0,(N152-E152-O152),0),IF((D152+N152-O152)&gt;0,(D152+N152-O152),0)),2)</f>
        <v>4235.84</v>
      </c>
      <c r="Q152" s="14" t="n">
        <f aca="false">ROUND(IF(E152=0,IF((D152+N152-O152)&lt;0,ABS(D152+N152-O152),0),IF((N152-E152-O152)&lt;0,ABS(N152-E152-O152),0)),2)</f>
        <v>0</v>
      </c>
    </row>
    <row r="153" customFormat="false" ht="15" hidden="false" customHeight="true" outlineLevel="0" collapsed="false">
      <c r="A153" s="12" t="s">
        <v>455</v>
      </c>
      <c r="B153" s="12" t="str">
        <f aca="false">серпень!B153</f>
        <v>Чала С.С.</v>
      </c>
      <c r="C153" s="12" t="s">
        <v>457</v>
      </c>
      <c r="D153" s="14" t="n">
        <f aca="false">серпень!P153</f>
        <v>12637.57</v>
      </c>
      <c r="E153" s="14" t="n">
        <f aca="false">серпень!Q153</f>
        <v>0</v>
      </c>
      <c r="F153" s="13" t="n">
        <f aca="false">серпень!F153</f>
        <v>0</v>
      </c>
      <c r="G153" s="13" t="n">
        <f aca="false">серпень!G153</f>
        <v>48.7</v>
      </c>
      <c r="H153" s="13" t="n">
        <f aca="false">серпень!H153</f>
        <v>0</v>
      </c>
      <c r="I153" s="13" t="n">
        <f aca="false">серпень!I153</f>
        <v>4.1</v>
      </c>
      <c r="J153" s="14" t="n">
        <f aca="false">ROUND(G153*I153,2)</f>
        <v>199.67</v>
      </c>
      <c r="K153" s="14"/>
      <c r="L153" s="14"/>
      <c r="M153" s="14"/>
      <c r="N153" s="14" t="n">
        <f aca="false">ROUND((G153*I153)-K153-L153-M153,2)</f>
        <v>199.67</v>
      </c>
      <c r="O153" s="14"/>
      <c r="P153" s="14" t="n">
        <f aca="false">ROUND(IF(D153=0,IF((N153-E153-O153)&gt;0,(N153-E153-O153),0),IF((D153+N153-O153)&gt;0,(D153+N153-O153),0)),2)</f>
        <v>12837.24</v>
      </c>
      <c r="Q153" s="14" t="n">
        <f aca="false">ROUND(IF(E153=0,IF((D153+N153-O153)&lt;0,ABS(D153+N153-O153),0),IF((N153-E153-O153)&lt;0,ABS(N153-E153-O153),0)),2)</f>
        <v>0</v>
      </c>
    </row>
    <row r="154" customFormat="false" ht="15" hidden="false" customHeight="true" outlineLevel="0" collapsed="false">
      <c r="A154" s="12" t="s">
        <v>458</v>
      </c>
      <c r="B154" s="12" t="str">
        <f aca="false">серпень!B154</f>
        <v>Свєтайлова І.М.</v>
      </c>
      <c r="C154" s="12" t="s">
        <v>460</v>
      </c>
      <c r="D154" s="14" t="n">
        <f aca="false">серпень!P154</f>
        <v>2100.05</v>
      </c>
      <c r="E154" s="14" t="n">
        <f aca="false">серпень!Q154</f>
        <v>0</v>
      </c>
      <c r="F154" s="13" t="n">
        <f aca="false">серпень!F154</f>
        <v>0</v>
      </c>
      <c r="G154" s="13" t="n">
        <f aca="false">серпень!G154</f>
        <v>35.1</v>
      </c>
      <c r="H154" s="13" t="n">
        <f aca="false">серпень!H154</f>
        <v>0</v>
      </c>
      <c r="I154" s="13" t="n">
        <f aca="false">серпень!I154</f>
        <v>4.1</v>
      </c>
      <c r="J154" s="14" t="n">
        <f aca="false">ROUND(G154*I154,2)</f>
        <v>143.91</v>
      </c>
      <c r="K154" s="14"/>
      <c r="L154" s="14"/>
      <c r="M154" s="14"/>
      <c r="N154" s="14" t="n">
        <f aca="false">ROUND((G154*I154)-K154-L154-M154,2)</f>
        <v>143.91</v>
      </c>
      <c r="O154" s="14"/>
      <c r="P154" s="14" t="n">
        <f aca="false">ROUND(IF(D154=0,IF((N154-E154-O154)&gt;0,(N154-E154-O154),0),IF((D154+N154-O154)&gt;0,(D154+N154-O154),0)),2)</f>
        <v>2243.96</v>
      </c>
      <c r="Q154" s="14" t="n">
        <f aca="false">ROUND(IF(E154=0,IF((D154+N154-O154)&lt;0,ABS(D154+N154-O154),0),IF((N154-E154-O154)&lt;0,ABS(N154-E154-O154),0)),2)</f>
        <v>0</v>
      </c>
    </row>
    <row r="155" customFormat="false" ht="15" hidden="false" customHeight="true" outlineLevel="0" collapsed="false">
      <c r="A155" s="12" t="s">
        <v>461</v>
      </c>
      <c r="B155" s="12" t="str">
        <f aca="false">серпень!B155</f>
        <v>Неделько Д.І.</v>
      </c>
      <c r="C155" s="12" t="s">
        <v>463</v>
      </c>
      <c r="D155" s="14" t="n">
        <f aca="false">серпень!P155</f>
        <v>8346.32</v>
      </c>
      <c r="E155" s="14" t="n">
        <f aca="false">серпень!Q155</f>
        <v>0</v>
      </c>
      <c r="F155" s="13" t="n">
        <f aca="false">серпень!F155</f>
        <v>0</v>
      </c>
      <c r="G155" s="13" t="n">
        <f aca="false">серпень!G155</f>
        <v>53.57</v>
      </c>
      <c r="H155" s="13" t="n">
        <f aca="false">серпень!H155</f>
        <v>0</v>
      </c>
      <c r="I155" s="13" t="n">
        <f aca="false">серпень!I155</f>
        <v>4.1</v>
      </c>
      <c r="J155" s="14" t="n">
        <f aca="false">ROUND(G155*I155,2)</f>
        <v>219.64</v>
      </c>
      <c r="K155" s="14"/>
      <c r="L155" s="14"/>
      <c r="M155" s="14"/>
      <c r="N155" s="14" t="n">
        <f aca="false">ROUND((G155*I155)-K155-L155-M155,2)</f>
        <v>219.64</v>
      </c>
      <c r="O155" s="14"/>
      <c r="P155" s="14" t="n">
        <f aca="false">ROUND(IF(D155=0,IF((N155-E155-O155)&gt;0,(N155-E155-O155),0),IF((D155+N155-O155)&gt;0,(D155+N155-O155),0)),2)</f>
        <v>8565.96</v>
      </c>
      <c r="Q155" s="14" t="n">
        <f aca="false">ROUND(IF(E155=0,IF((D155+N155-O155)&lt;0,ABS(D155+N155-O155),0),IF((N155-E155-O155)&lt;0,ABS(N155-E155-O155),0)),2)</f>
        <v>0</v>
      </c>
    </row>
    <row r="156" customFormat="false" ht="15" hidden="false" customHeight="true" outlineLevel="0" collapsed="false">
      <c r="A156" s="12" t="s">
        <v>464</v>
      </c>
      <c r="B156" s="12" t="str">
        <f aca="false">серпень!B156</f>
        <v>Самойленко Л.К.</v>
      </c>
      <c r="C156" s="12" t="s">
        <v>466</v>
      </c>
      <c r="D156" s="14" t="n">
        <f aca="false">серпень!P156</f>
        <v>0</v>
      </c>
      <c r="E156" s="14" t="n">
        <f aca="false">серпень!Q156</f>
        <v>203.42</v>
      </c>
      <c r="F156" s="13" t="n">
        <f aca="false">серпень!F156</f>
        <v>0</v>
      </c>
      <c r="G156" s="13" t="n">
        <f aca="false">серпень!G156</f>
        <v>65.7</v>
      </c>
      <c r="H156" s="13" t="n">
        <f aca="false">серпень!H156</f>
        <v>0</v>
      </c>
      <c r="I156" s="13" t="n">
        <f aca="false">серпень!I156</f>
        <v>4.1</v>
      </c>
      <c r="J156" s="14" t="n">
        <f aca="false">ROUND(G156*I156,2)</f>
        <v>269.37</v>
      </c>
      <c r="K156" s="14"/>
      <c r="L156" s="14"/>
      <c r="M156" s="14"/>
      <c r="N156" s="14" t="n">
        <f aca="false">ROUND((G156*I156)-K156-L156-M156,2)</f>
        <v>269.37</v>
      </c>
      <c r="O156" s="14"/>
      <c r="P156" s="14" t="n">
        <f aca="false">ROUND(IF(D156=0,IF((N156-E156-O156)&gt;0,(N156-E156-O156),0),IF((D156+N156-O156)&gt;0,(D156+N156-O156),0)),2)</f>
        <v>65.95</v>
      </c>
      <c r="Q156" s="14" t="n">
        <f aca="false">ROUND(IF(E156=0,IF((D156+N156-O156)&lt;0,ABS(D156+N156-O156),0),IF((N156-E156-O156)&lt;0,ABS(N156-E156-O156),0)),2)</f>
        <v>0</v>
      </c>
    </row>
    <row r="157" customFormat="false" ht="15" hidden="false" customHeight="true" outlineLevel="0" collapsed="false">
      <c r="A157" s="12" t="s">
        <v>467</v>
      </c>
      <c r="B157" s="12" t="str">
        <f aca="false">серпень!B157</f>
        <v>Павлов Ю.В.</v>
      </c>
      <c r="C157" s="12" t="s">
        <v>469</v>
      </c>
      <c r="D157" s="14" t="n">
        <f aca="false">серпень!P157</f>
        <v>4058.18</v>
      </c>
      <c r="E157" s="14" t="n">
        <f aca="false">серпень!Q157</f>
        <v>0</v>
      </c>
      <c r="F157" s="13" t="n">
        <f aca="false">серпень!F157</f>
        <v>0</v>
      </c>
      <c r="G157" s="13" t="n">
        <f aca="false">серпень!G157</f>
        <v>49.78</v>
      </c>
      <c r="H157" s="13" t="n">
        <f aca="false">серпень!H157</f>
        <v>0</v>
      </c>
      <c r="I157" s="13" t="n">
        <f aca="false">серпень!I157</f>
        <v>4.1</v>
      </c>
      <c r="J157" s="14" t="n">
        <f aca="false">ROUND(G157*I157,2)</f>
        <v>204.1</v>
      </c>
      <c r="K157" s="14"/>
      <c r="L157" s="14"/>
      <c r="M157" s="14"/>
      <c r="N157" s="14" t="n">
        <f aca="false">ROUND((G157*I157)-K157-L157-M157,2)</f>
        <v>204.1</v>
      </c>
      <c r="O157" s="14"/>
      <c r="P157" s="14" t="n">
        <f aca="false">ROUND(IF(D157=0,IF((N157-E157-O157)&gt;0,(N157-E157-O157),0),IF((D157+N157-O157)&gt;0,(D157+N157-O157),0)),2)</f>
        <v>4262.28</v>
      </c>
      <c r="Q157" s="14" t="n">
        <f aca="false">ROUND(IF(E157=0,IF((D157+N157-O157)&lt;0,ABS(D157+N157-O157),0),IF((N157-E157-O157)&lt;0,ABS(N157-E157-O157),0)),2)</f>
        <v>0</v>
      </c>
    </row>
    <row r="158" customFormat="false" ht="15" hidden="false" customHeight="true" outlineLevel="0" collapsed="false">
      <c r="A158" s="12" t="s">
        <v>470</v>
      </c>
      <c r="B158" s="12" t="str">
        <f aca="false">серпень!B158</f>
        <v>Коваленко Т.М.</v>
      </c>
      <c r="C158" s="12" t="s">
        <v>472</v>
      </c>
      <c r="D158" s="14" t="n">
        <f aca="false">серпень!P158</f>
        <v>1435</v>
      </c>
      <c r="E158" s="14" t="n">
        <f aca="false">серпень!Q158</f>
        <v>0</v>
      </c>
      <c r="F158" s="13" t="n">
        <f aca="false">серпень!F158</f>
        <v>0</v>
      </c>
      <c r="G158" s="13" t="n">
        <f aca="false">серпень!G158</f>
        <v>35</v>
      </c>
      <c r="H158" s="13" t="n">
        <f aca="false">серпень!H158</f>
        <v>0</v>
      </c>
      <c r="I158" s="13" t="n">
        <f aca="false">серпень!I158</f>
        <v>4.1</v>
      </c>
      <c r="J158" s="14" t="n">
        <f aca="false">ROUND(G158*I158,2)</f>
        <v>143.5</v>
      </c>
      <c r="K158" s="14"/>
      <c r="L158" s="14"/>
      <c r="M158" s="14"/>
      <c r="N158" s="14" t="n">
        <f aca="false">ROUND((G158*I158)-K158-L158-M158,2)</f>
        <v>143.5</v>
      </c>
      <c r="O158" s="14"/>
      <c r="P158" s="14" t="n">
        <f aca="false">ROUND(IF(D158=0,IF((N158-E158-O158)&gt;0,(N158-E158-O158),0),IF((D158+N158-O158)&gt;0,(D158+N158-O158),0)),2)</f>
        <v>1578.5</v>
      </c>
      <c r="Q158" s="14" t="n">
        <f aca="false">ROUND(IF(E158=0,IF((D158+N158-O158)&lt;0,ABS(D158+N158-O158),0),IF((N158-E158-O158)&lt;0,ABS(N158-E158-O158),0)),2)</f>
        <v>0</v>
      </c>
    </row>
    <row r="159" customFormat="false" ht="15" hidden="false" customHeight="true" outlineLevel="0" collapsed="false">
      <c r="A159" s="12" t="s">
        <v>473</v>
      </c>
      <c r="B159" s="12" t="str">
        <f aca="false">серпень!B159</f>
        <v>Рощенко Л.Б.</v>
      </c>
      <c r="C159" s="12" t="s">
        <v>475</v>
      </c>
      <c r="D159" s="14" t="n">
        <f aca="false">серпень!P159</f>
        <v>11931.21</v>
      </c>
      <c r="E159" s="14" t="n">
        <f aca="false">серпень!Q159</f>
        <v>0</v>
      </c>
      <c r="F159" s="13" t="n">
        <f aca="false">серпень!F159</f>
        <v>0</v>
      </c>
      <c r="G159" s="13" t="n">
        <f aca="false">серпень!G159</f>
        <v>62.08</v>
      </c>
      <c r="H159" s="13" t="n">
        <f aca="false">серпень!H159</f>
        <v>0</v>
      </c>
      <c r="I159" s="13" t="n">
        <f aca="false">серпень!I159</f>
        <v>4.1</v>
      </c>
      <c r="J159" s="14" t="n">
        <f aca="false">ROUND(G159*I159,2)</f>
        <v>254.53</v>
      </c>
      <c r="K159" s="14"/>
      <c r="L159" s="14"/>
      <c r="M159" s="14"/>
      <c r="N159" s="14" t="n">
        <f aca="false">ROUND((G159*I159)-K159-L159-M159,2)</f>
        <v>254.53</v>
      </c>
      <c r="O159" s="14"/>
      <c r="P159" s="14" t="n">
        <f aca="false">ROUND(IF(D159=0,IF((N159-E159-O159)&gt;0,(N159-E159-O159),0),IF((D159+N159-O159)&gt;0,(D159+N159-O159),0)),2)</f>
        <v>12185.74</v>
      </c>
      <c r="Q159" s="14" t="n">
        <f aca="false">ROUND(IF(E159=0,IF((D159+N159-O159)&lt;0,ABS(D159+N159-O159),0),IF((N159-E159-O159)&lt;0,ABS(N159-E159-O159),0)),2)</f>
        <v>0</v>
      </c>
    </row>
    <row r="160" customFormat="false" ht="15" hidden="false" customHeight="true" outlineLevel="0" collapsed="false">
      <c r="A160" s="12" t="s">
        <v>476</v>
      </c>
      <c r="B160" s="12" t="str">
        <f aca="false">серпень!B160</f>
        <v>Галушко С.Т.</v>
      </c>
      <c r="C160" s="12" t="s">
        <v>478</v>
      </c>
      <c r="D160" s="14" t="n">
        <f aca="false">серпень!P160</f>
        <v>1890.21</v>
      </c>
      <c r="E160" s="14" t="n">
        <f aca="false">серпень!Q160</f>
        <v>0</v>
      </c>
      <c r="F160" s="13" t="n">
        <f aca="false">серпень!F160</f>
        <v>0</v>
      </c>
      <c r="G160" s="13" t="n">
        <f aca="false">серпень!G160</f>
        <v>65.86</v>
      </c>
      <c r="H160" s="13" t="n">
        <f aca="false">серпень!H160</f>
        <v>0</v>
      </c>
      <c r="I160" s="13" t="n">
        <f aca="false">серпень!I160</f>
        <v>4.1</v>
      </c>
      <c r="J160" s="14" t="n">
        <f aca="false">ROUND(G160*I160,2)</f>
        <v>270.03</v>
      </c>
      <c r="K160" s="14"/>
      <c r="L160" s="14"/>
      <c r="M160" s="14"/>
      <c r="N160" s="14" t="n">
        <f aca="false">ROUND((G160*I160)-K160-L160-M160,2)</f>
        <v>270.03</v>
      </c>
      <c r="O160" s="14"/>
      <c r="P160" s="14" t="n">
        <f aca="false">ROUND(IF(D160=0,IF((N160-E160-O160)&gt;0,(N160-E160-O160),0),IF((D160+N160-O160)&gt;0,(D160+N160-O160),0)),2)</f>
        <v>2160.24</v>
      </c>
      <c r="Q160" s="14" t="n">
        <f aca="false">ROUND(IF(E160=0,IF((D160+N160-O160)&lt;0,ABS(D160+N160-O160),0),IF((N160-E160-O160)&lt;0,ABS(N160-E160-O160),0)),2)</f>
        <v>0</v>
      </c>
    </row>
    <row r="161" customFormat="false" ht="15" hidden="false" customHeight="true" outlineLevel="0" collapsed="false">
      <c r="A161" s="12" t="s">
        <v>479</v>
      </c>
      <c r="B161" s="12" t="str">
        <f aca="false">серпень!B161</f>
        <v>Наумова Л.Я.</v>
      </c>
      <c r="C161" s="12" t="s">
        <v>481</v>
      </c>
      <c r="D161" s="14" t="n">
        <f aca="false">серпень!P161</f>
        <v>1600.8</v>
      </c>
      <c r="E161" s="14" t="n">
        <f aca="false">серпень!Q161</f>
        <v>0</v>
      </c>
      <c r="F161" s="13" t="n">
        <f aca="false">серпень!F161</f>
        <v>0</v>
      </c>
      <c r="G161" s="13" t="n">
        <f aca="false">серпень!G161</f>
        <v>49.95</v>
      </c>
      <c r="H161" s="13" t="n">
        <f aca="false">серпень!H161</f>
        <v>0</v>
      </c>
      <c r="I161" s="13" t="n">
        <f aca="false">серпень!I161</f>
        <v>4.1</v>
      </c>
      <c r="J161" s="14" t="n">
        <f aca="false">ROUND(G161*I161,2)</f>
        <v>204.8</v>
      </c>
      <c r="K161" s="14"/>
      <c r="L161" s="14"/>
      <c r="M161" s="14"/>
      <c r="N161" s="14" t="n">
        <f aca="false">ROUND((G161*I161)-K161-L161-M161,2)</f>
        <v>204.8</v>
      </c>
      <c r="O161" s="14"/>
      <c r="P161" s="14" t="n">
        <f aca="false">ROUND(IF(D161=0,IF((N161-E161-O161)&gt;0,(N161-E161-O161),0),IF((D161+N161-O161)&gt;0,(D161+N161-O161),0)),2)</f>
        <v>1805.6</v>
      </c>
      <c r="Q161" s="14" t="n">
        <f aca="false">ROUND(IF(E161=0,IF((D161+N161-O161)&lt;0,ABS(D161+N161-O161),0),IF((N161-E161-O161)&lt;0,ABS(N161-E161-O161),0)),2)</f>
        <v>0</v>
      </c>
    </row>
    <row r="162" customFormat="false" ht="15" hidden="false" customHeight="true" outlineLevel="0" collapsed="false">
      <c r="A162" s="12" t="s">
        <v>482</v>
      </c>
      <c r="B162" s="12" t="str">
        <f aca="false">серпень!B162</f>
        <v>Грєк В.С.</v>
      </c>
      <c r="C162" s="12" t="s">
        <v>484</v>
      </c>
      <c r="D162" s="14" t="n">
        <f aca="false">серпень!P162</f>
        <v>0</v>
      </c>
      <c r="E162" s="14" t="n">
        <f aca="false">серпень!Q162</f>
        <v>288.98</v>
      </c>
      <c r="F162" s="13" t="n">
        <f aca="false">серпень!F162</f>
        <v>0</v>
      </c>
      <c r="G162" s="13" t="n">
        <f aca="false">серпень!G162</f>
        <v>33.9</v>
      </c>
      <c r="H162" s="13" t="n">
        <f aca="false">серпень!H162</f>
        <v>0</v>
      </c>
      <c r="I162" s="13" t="n">
        <f aca="false">серпень!I162</f>
        <v>4.1</v>
      </c>
      <c r="J162" s="14" t="n">
        <f aca="false">ROUND(G162*I162,2)</f>
        <v>138.99</v>
      </c>
      <c r="K162" s="14"/>
      <c r="L162" s="14"/>
      <c r="M162" s="14"/>
      <c r="N162" s="14" t="n">
        <f aca="false">ROUND((G162*I162)-K162-L162-M162,2)</f>
        <v>138.99</v>
      </c>
      <c r="O162" s="14"/>
      <c r="P162" s="14" t="n">
        <f aca="false">ROUND(IF(D162=0,IF((N162-E162-O162)&gt;0,(N162-E162-O162),0),IF((D162+N162-O162)&gt;0,(D162+N162-O162),0)),2)</f>
        <v>0</v>
      </c>
      <c r="Q162" s="14" t="n">
        <f aca="false">ROUND(IF(E162=0,IF((D162+N162-O162)&lt;0,ABS(D162+N162-O162),0),IF((N162-E162-O162)&lt;0,ABS(N162-E162-O162),0)),2)</f>
        <v>149.99</v>
      </c>
    </row>
    <row r="163" customFormat="false" ht="15" hidden="false" customHeight="true" outlineLevel="0" collapsed="false">
      <c r="A163" s="12" t="s">
        <v>485</v>
      </c>
      <c r="B163" s="12" t="str">
        <f aca="false">серпень!B163</f>
        <v>Пермінов О.А.</v>
      </c>
      <c r="C163" s="12" t="s">
        <v>487</v>
      </c>
      <c r="D163" s="14" t="n">
        <f aca="false">серпень!P163</f>
        <v>2916.88</v>
      </c>
      <c r="E163" s="14" t="n">
        <f aca="false">серпень!Q163</f>
        <v>0</v>
      </c>
      <c r="F163" s="13" t="n">
        <f aca="false">серпень!F163</f>
        <v>0</v>
      </c>
      <c r="G163" s="13" t="n">
        <f aca="false">серпень!G163</f>
        <v>62.43</v>
      </c>
      <c r="H163" s="13" t="n">
        <f aca="false">серпень!H163</f>
        <v>0</v>
      </c>
      <c r="I163" s="13" t="n">
        <f aca="false">серпень!I163</f>
        <v>4.1</v>
      </c>
      <c r="J163" s="14" t="n">
        <f aca="false">ROUND(G163*I163,2)</f>
        <v>255.96</v>
      </c>
      <c r="K163" s="14"/>
      <c r="L163" s="14"/>
      <c r="M163" s="14"/>
      <c r="N163" s="14" t="n">
        <f aca="false">ROUND((G163*I163)-K163-L163-M163,2)</f>
        <v>255.96</v>
      </c>
      <c r="O163" s="14"/>
      <c r="P163" s="14" t="n">
        <f aca="false">ROUND(IF(D163=0,IF((N163-E163-O163)&gt;0,(N163-E163-O163),0),IF((D163+N163-O163)&gt;0,(D163+N163-O163),0)),2)</f>
        <v>3172.84</v>
      </c>
      <c r="Q163" s="14" t="n">
        <f aca="false">ROUND(IF(E163=0,IF((D163+N163-O163)&lt;0,ABS(D163+N163-O163),0),IF((N163-E163-O163)&lt;0,ABS(N163-E163-O163),0)),2)</f>
        <v>0</v>
      </c>
    </row>
    <row r="164" customFormat="false" ht="15" hidden="false" customHeight="true" outlineLevel="0" collapsed="false">
      <c r="A164" s="12" t="s">
        <v>488</v>
      </c>
      <c r="B164" s="12" t="str">
        <f aca="false">серпень!B164</f>
        <v>Рябчук Л.П.</v>
      </c>
      <c r="C164" s="12" t="s">
        <v>490</v>
      </c>
      <c r="D164" s="14" t="n">
        <f aca="false">серпень!P164</f>
        <v>9091.12</v>
      </c>
      <c r="E164" s="14" t="n">
        <f aca="false">серпень!Q164</f>
        <v>0</v>
      </c>
      <c r="F164" s="13" t="n">
        <f aca="false">серпень!F164</f>
        <v>0</v>
      </c>
      <c r="G164" s="13" t="n">
        <f aca="false">серпень!G164</f>
        <v>64.8</v>
      </c>
      <c r="H164" s="13" t="n">
        <f aca="false">серпень!H164</f>
        <v>0</v>
      </c>
      <c r="I164" s="13" t="n">
        <f aca="false">серпень!I164</f>
        <v>4.1</v>
      </c>
      <c r="J164" s="14" t="n">
        <f aca="false">ROUND(G164*I164,2)</f>
        <v>265.68</v>
      </c>
      <c r="K164" s="14"/>
      <c r="L164" s="14"/>
      <c r="M164" s="14"/>
      <c r="N164" s="14" t="n">
        <f aca="false">ROUND((G164*I164)-K164-L164-M164,2)</f>
        <v>265.68</v>
      </c>
      <c r="O164" s="14"/>
      <c r="P164" s="14" t="n">
        <f aca="false">ROUND(IF(D164=0,IF((N164-E164-O164)&gt;0,(N164-E164-O164),0),IF((D164+N164-O164)&gt;0,(D164+N164-O164),0)),2)</f>
        <v>9356.8</v>
      </c>
      <c r="Q164" s="14" t="n">
        <f aca="false">ROUND(IF(E164=0,IF((D164+N164-O164)&lt;0,ABS(D164+N164-O164),0),IF((N164-E164-O164)&lt;0,ABS(N164-E164-O164),0)),2)</f>
        <v>0</v>
      </c>
    </row>
    <row r="165" customFormat="false" ht="15" hidden="false" customHeight="true" outlineLevel="0" collapsed="false">
      <c r="A165" s="12" t="s">
        <v>491</v>
      </c>
      <c r="B165" s="12" t="str">
        <f aca="false">серпень!B165</f>
        <v>Копасова Л.Б.</v>
      </c>
      <c r="C165" s="12" t="s">
        <v>493</v>
      </c>
      <c r="D165" s="14" t="n">
        <f aca="false">серпень!P165</f>
        <v>1620.32</v>
      </c>
      <c r="E165" s="14" t="n">
        <f aca="false">серпень!Q165</f>
        <v>0</v>
      </c>
      <c r="F165" s="13" t="n">
        <f aca="false">серпень!F165</f>
        <v>0</v>
      </c>
      <c r="G165" s="13" t="n">
        <f aca="false">серпень!G165</f>
        <v>49.4</v>
      </c>
      <c r="H165" s="13" t="n">
        <f aca="false">серпень!H165</f>
        <v>0</v>
      </c>
      <c r="I165" s="13" t="n">
        <f aca="false">серпень!I165</f>
        <v>4.1</v>
      </c>
      <c r="J165" s="14" t="n">
        <f aca="false">ROUND(G165*I165,2)</f>
        <v>202.54</v>
      </c>
      <c r="K165" s="14"/>
      <c r="L165" s="14"/>
      <c r="M165" s="14"/>
      <c r="N165" s="14" t="n">
        <f aca="false">ROUND((G165*I165)-K165-L165-M165,2)</f>
        <v>202.54</v>
      </c>
      <c r="O165" s="14"/>
      <c r="P165" s="14" t="n">
        <f aca="false">ROUND(IF(D165=0,IF((N165-E165-O165)&gt;0,(N165-E165-O165),0),IF((D165+N165-O165)&gt;0,(D165+N165-O165),0)),2)</f>
        <v>1822.86</v>
      </c>
      <c r="Q165" s="14" t="n">
        <f aca="false">ROUND(IF(E165=0,IF((D165+N165-O165)&lt;0,ABS(D165+N165-O165),0),IF((N165-E165-O165)&lt;0,ABS(N165-E165-O165),0)),2)</f>
        <v>0</v>
      </c>
    </row>
    <row r="166" customFormat="false" ht="15" hidden="false" customHeight="true" outlineLevel="0" collapsed="false">
      <c r="A166" s="12" t="s">
        <v>494</v>
      </c>
      <c r="B166" s="12" t="str">
        <f aca="false">серпень!B166</f>
        <v>Киричинська Г.Я.</v>
      </c>
      <c r="C166" s="12" t="s">
        <v>496</v>
      </c>
      <c r="D166" s="14" t="n">
        <f aca="false">серпень!P166</f>
        <v>4776.43</v>
      </c>
      <c r="E166" s="14" t="n">
        <f aca="false">серпень!Q166</f>
        <v>0</v>
      </c>
      <c r="F166" s="13" t="n">
        <f aca="false">серпень!F166</f>
        <v>0</v>
      </c>
      <c r="G166" s="13" t="n">
        <f aca="false">серпень!G166</f>
        <v>35.1</v>
      </c>
      <c r="H166" s="13" t="n">
        <f aca="false">серпень!H166</f>
        <v>0</v>
      </c>
      <c r="I166" s="13" t="n">
        <f aca="false">серпень!I166</f>
        <v>4.1</v>
      </c>
      <c r="J166" s="14" t="n">
        <f aca="false">ROUND(G166*I166,2)</f>
        <v>143.91</v>
      </c>
      <c r="K166" s="14"/>
      <c r="L166" s="14"/>
      <c r="M166" s="14"/>
      <c r="N166" s="14" t="n">
        <f aca="false">ROUND((G166*I166)-K166-L166-M166,2)</f>
        <v>143.91</v>
      </c>
      <c r="O166" s="14"/>
      <c r="P166" s="14" t="n">
        <f aca="false">ROUND(IF(D166=0,IF((N166-E166-O166)&gt;0,(N166-E166-O166),0),IF((D166+N166-O166)&gt;0,(D166+N166-O166),0)),2)</f>
        <v>4920.34</v>
      </c>
      <c r="Q166" s="14" t="n">
        <f aca="false">ROUND(IF(E166=0,IF((D166+N166-O166)&lt;0,ABS(D166+N166-O166),0),IF((N166-E166-O166)&lt;0,ABS(N166-E166-O166),0)),2)</f>
        <v>0</v>
      </c>
    </row>
    <row r="167" customFormat="false" ht="15" hidden="false" customHeight="true" outlineLevel="0" collapsed="false">
      <c r="A167" s="12" t="s">
        <v>497</v>
      </c>
      <c r="B167" s="12" t="str">
        <f aca="false">серпень!B167</f>
        <v>Бутрій К.В.</v>
      </c>
      <c r="C167" s="12" t="s">
        <v>499</v>
      </c>
      <c r="D167" s="14" t="n">
        <f aca="false">серпень!P167</f>
        <v>3137.6</v>
      </c>
      <c r="E167" s="14" t="n">
        <f aca="false">серпень!Q167</f>
        <v>0</v>
      </c>
      <c r="F167" s="13" t="n">
        <f aca="false">серпень!F167</f>
        <v>0</v>
      </c>
      <c r="G167" s="13" t="n">
        <f aca="false">серпень!G167</f>
        <v>62.4</v>
      </c>
      <c r="H167" s="13" t="n">
        <f aca="false">серпень!H167</f>
        <v>0</v>
      </c>
      <c r="I167" s="13" t="n">
        <f aca="false">серпень!I167</f>
        <v>4.1</v>
      </c>
      <c r="J167" s="14" t="n">
        <f aca="false">ROUND(G167*I167,2)</f>
        <v>255.84</v>
      </c>
      <c r="K167" s="14"/>
      <c r="L167" s="14"/>
      <c r="M167" s="14"/>
      <c r="N167" s="14" t="n">
        <f aca="false">ROUND((G167*I167)-K167-L167-M167,2)</f>
        <v>255.84</v>
      </c>
      <c r="O167" s="14"/>
      <c r="P167" s="14" t="n">
        <f aca="false">ROUND(IF(D167=0,IF((N167-E167-O167)&gt;0,(N167-E167-O167),0),IF((D167+N167-O167)&gt;0,(D167+N167-O167),0)),2)</f>
        <v>3393.44</v>
      </c>
      <c r="Q167" s="14" t="n">
        <f aca="false">ROUND(IF(E167=0,IF((D167+N167-O167)&lt;0,ABS(D167+N167-O167),0),IF((N167-E167-O167)&lt;0,ABS(N167-E167-O167),0)),2)</f>
        <v>0</v>
      </c>
    </row>
    <row r="168" customFormat="false" ht="15" hidden="false" customHeight="true" outlineLevel="0" collapsed="false">
      <c r="A168" s="12" t="s">
        <v>500</v>
      </c>
      <c r="B168" s="12" t="str">
        <f aca="false">серпень!B168</f>
        <v>Кузьома Г.І.</v>
      </c>
      <c r="C168" s="12" t="s">
        <v>502</v>
      </c>
      <c r="D168" s="14" t="n">
        <f aca="false">серпень!P168</f>
        <v>2148.4</v>
      </c>
      <c r="E168" s="14" t="n">
        <f aca="false">серпень!Q168</f>
        <v>0</v>
      </c>
      <c r="F168" s="13" t="n">
        <f aca="false">серпень!F168</f>
        <v>0</v>
      </c>
      <c r="G168" s="13" t="n">
        <f aca="false">серпень!G168</f>
        <v>65.5</v>
      </c>
      <c r="H168" s="13" t="n">
        <f aca="false">серпень!H168</f>
        <v>0</v>
      </c>
      <c r="I168" s="13" t="n">
        <f aca="false">серпень!I168</f>
        <v>4.1</v>
      </c>
      <c r="J168" s="14" t="n">
        <f aca="false">ROUND(G168*I168,2)</f>
        <v>268.55</v>
      </c>
      <c r="K168" s="14"/>
      <c r="L168" s="14"/>
      <c r="M168" s="14"/>
      <c r="N168" s="14" t="n">
        <f aca="false">ROUND((G168*I168)-K168-L168-M168,2)</f>
        <v>268.55</v>
      </c>
      <c r="O168" s="14"/>
      <c r="P168" s="14" t="n">
        <f aca="false">ROUND(IF(D168=0,IF((N168-E168-O168)&gt;0,(N168-E168-O168),0),IF((D168+N168-O168)&gt;0,(D168+N168-O168),0)),2)</f>
        <v>2416.95</v>
      </c>
      <c r="Q168" s="14" t="n">
        <f aca="false">ROUND(IF(E168=0,IF((D168+N168-O168)&lt;0,ABS(D168+N168-O168),0),IF((N168-E168-O168)&lt;0,ABS(N168-E168-O168),0)),2)</f>
        <v>0</v>
      </c>
    </row>
    <row r="169" customFormat="false" ht="15" hidden="false" customHeight="true" outlineLevel="0" collapsed="false">
      <c r="A169" s="12" t="s">
        <v>503</v>
      </c>
      <c r="B169" s="12" t="str">
        <f aca="false">серпень!B169</f>
        <v>Павленко В.М.</v>
      </c>
      <c r="C169" s="12" t="s">
        <v>505</v>
      </c>
      <c r="D169" s="14" t="n">
        <f aca="false">серпень!P169</f>
        <v>1842.75</v>
      </c>
      <c r="E169" s="14" t="n">
        <f aca="false">серпень!Q169</f>
        <v>0</v>
      </c>
      <c r="F169" s="13" t="n">
        <f aca="false">серпень!F169</f>
        <v>0</v>
      </c>
      <c r="G169" s="13" t="n">
        <f aca="false">серпень!G169</f>
        <v>49.94</v>
      </c>
      <c r="H169" s="13" t="n">
        <f aca="false">серпень!H169</f>
        <v>0</v>
      </c>
      <c r="I169" s="13" t="n">
        <f aca="false">серпень!I169</f>
        <v>4.1</v>
      </c>
      <c r="J169" s="14" t="n">
        <f aca="false">ROUND(G169*I169,2)</f>
        <v>204.75</v>
      </c>
      <c r="K169" s="14"/>
      <c r="L169" s="14"/>
      <c r="M169" s="14"/>
      <c r="N169" s="14" t="n">
        <f aca="false">ROUND((G169*I169)-K169-L169-M169,2)</f>
        <v>204.75</v>
      </c>
      <c r="O169" s="14"/>
      <c r="P169" s="14" t="n">
        <f aca="false">ROUND(IF(D169=0,IF((N169-E169-O169)&gt;0,(N169-E169-O169),0),IF((D169+N169-O169)&gt;0,(D169+N169-O169),0)),2)</f>
        <v>2047.5</v>
      </c>
      <c r="Q169" s="14" t="n">
        <f aca="false">ROUND(IF(E169=0,IF((D169+N169-O169)&lt;0,ABS(D169+N169-O169),0),IF((N169-E169-O169)&lt;0,ABS(N169-E169-O169),0)),2)</f>
        <v>0</v>
      </c>
    </row>
    <row r="170" customFormat="false" ht="15" hidden="false" customHeight="true" outlineLevel="0" collapsed="false">
      <c r="A170" s="12" t="s">
        <v>506</v>
      </c>
      <c r="B170" s="12" t="str">
        <f aca="false">серпень!B170</f>
        <v>Качуровська С.А.</v>
      </c>
      <c r="C170" s="12" t="s">
        <v>508</v>
      </c>
      <c r="D170" s="14" t="n">
        <f aca="false">серпень!P170</f>
        <v>1148</v>
      </c>
      <c r="E170" s="14" t="n">
        <f aca="false">серпень!Q170</f>
        <v>0</v>
      </c>
      <c r="F170" s="13" t="n">
        <f aca="false">серпень!F170</f>
        <v>0</v>
      </c>
      <c r="G170" s="13" t="n">
        <f aca="false">серпень!G170</f>
        <v>35</v>
      </c>
      <c r="H170" s="13" t="n">
        <f aca="false">серпень!H170</f>
        <v>0</v>
      </c>
      <c r="I170" s="13" t="n">
        <f aca="false">серпень!I170</f>
        <v>4.1</v>
      </c>
      <c r="J170" s="14" t="n">
        <f aca="false">ROUND(G170*I170,2)</f>
        <v>143.5</v>
      </c>
      <c r="K170" s="14"/>
      <c r="L170" s="14"/>
      <c r="M170" s="14"/>
      <c r="N170" s="14" t="n">
        <f aca="false">ROUND((G170*I170)-K170-L170-M170,2)</f>
        <v>143.5</v>
      </c>
      <c r="O170" s="14"/>
      <c r="P170" s="14" t="n">
        <f aca="false">ROUND(IF(D170=0,IF((N170-E170-O170)&gt;0,(N170-E170-O170),0),IF((D170+N170-O170)&gt;0,(D170+N170-O170),0)),2)</f>
        <v>1291.5</v>
      </c>
      <c r="Q170" s="14" t="n">
        <f aca="false">ROUND(IF(E170=0,IF((D170+N170-O170)&lt;0,ABS(D170+N170-O170),0),IF((N170-E170-O170)&lt;0,ABS(N170-E170-O170),0)),2)</f>
        <v>0</v>
      </c>
    </row>
    <row r="171" customFormat="false" ht="15" hidden="false" customHeight="true" outlineLevel="0" collapsed="false">
      <c r="A171" s="12" t="s">
        <v>509</v>
      </c>
      <c r="B171" s="12" t="str">
        <f aca="false">серпень!B171</f>
        <v>Білецький Б.Г.</v>
      </c>
      <c r="C171" s="12" t="s">
        <v>511</v>
      </c>
      <c r="D171" s="14" t="n">
        <f aca="false">серпень!P171</f>
        <v>2045.44</v>
      </c>
      <c r="E171" s="14" t="n">
        <f aca="false">серпень!Q171</f>
        <v>0</v>
      </c>
      <c r="F171" s="13" t="n">
        <f aca="false">серпень!F171</f>
        <v>0</v>
      </c>
      <c r="G171" s="13" t="n">
        <f aca="false">серпень!G171</f>
        <v>62.36</v>
      </c>
      <c r="H171" s="13" t="n">
        <f aca="false">серпень!H171</f>
        <v>0</v>
      </c>
      <c r="I171" s="13" t="n">
        <f aca="false">серпень!I171</f>
        <v>4.1</v>
      </c>
      <c r="J171" s="14" t="n">
        <f aca="false">ROUND(G171*I171,2)</f>
        <v>255.68</v>
      </c>
      <c r="K171" s="14"/>
      <c r="L171" s="14"/>
      <c r="M171" s="14"/>
      <c r="N171" s="14" t="n">
        <f aca="false">ROUND((G171*I171)-K171-L171-M171,2)</f>
        <v>255.68</v>
      </c>
      <c r="O171" s="14"/>
      <c r="P171" s="14" t="n">
        <f aca="false">ROUND(IF(D171=0,IF((N171-E171-O171)&gt;0,(N171-E171-O171),0),IF((D171+N171-O171)&gt;0,(D171+N171-O171),0)),2)</f>
        <v>2301.12</v>
      </c>
      <c r="Q171" s="14" t="n">
        <f aca="false">ROUND(IF(E171=0,IF((D171+N171-O171)&lt;0,ABS(D171+N171-O171),0),IF((N171-E171-O171)&lt;0,ABS(N171-E171-O171),0)),2)</f>
        <v>0</v>
      </c>
    </row>
    <row r="172" customFormat="false" ht="15" hidden="false" customHeight="true" outlineLevel="0" collapsed="false">
      <c r="A172" s="12" t="s">
        <v>512</v>
      </c>
      <c r="B172" s="12" t="str">
        <f aca="false">серпень!B172</f>
        <v>Кузнєцова В.В.</v>
      </c>
      <c r="C172" s="12" t="s">
        <v>514</v>
      </c>
      <c r="D172" s="14" t="n">
        <f aca="false">серпень!P172</f>
        <v>9956.04</v>
      </c>
      <c r="E172" s="14" t="n">
        <f aca="false">серпень!Q172</f>
        <v>0</v>
      </c>
      <c r="F172" s="13" t="n">
        <f aca="false">серпень!F172</f>
        <v>0</v>
      </c>
      <c r="G172" s="13" t="n">
        <f aca="false">серпень!G172</f>
        <v>65.63</v>
      </c>
      <c r="H172" s="13" t="n">
        <f aca="false">серпень!H172</f>
        <v>0</v>
      </c>
      <c r="I172" s="13" t="n">
        <f aca="false">серпень!I172</f>
        <v>4.1</v>
      </c>
      <c r="J172" s="14" t="n">
        <f aca="false">ROUND(G172*I172,2)</f>
        <v>269.08</v>
      </c>
      <c r="K172" s="14"/>
      <c r="L172" s="14"/>
      <c r="M172" s="14"/>
      <c r="N172" s="14" t="n">
        <f aca="false">ROUND((G172*I172)-K172-L172-M172,2)</f>
        <v>269.08</v>
      </c>
      <c r="O172" s="14"/>
      <c r="P172" s="14" t="n">
        <f aca="false">ROUND(IF(D172=0,IF((N172-E172-O172)&gt;0,(N172-E172-O172),0),IF((D172+N172-O172)&gt;0,(D172+N172-O172),0)),2)</f>
        <v>10225.12</v>
      </c>
      <c r="Q172" s="14" t="n">
        <f aca="false">ROUND(IF(E172=0,IF((D172+N172-O172)&lt;0,ABS(D172+N172-O172),0),IF((N172-E172-O172)&lt;0,ABS(N172-E172-O172),0)),2)</f>
        <v>0</v>
      </c>
    </row>
    <row r="173" customFormat="false" ht="15" hidden="false" customHeight="true" outlineLevel="0" collapsed="false">
      <c r="A173" s="12" t="s">
        <v>515</v>
      </c>
      <c r="B173" s="12" t="str">
        <f aca="false">серпень!B173</f>
        <v>Сидоренко Б.Й.</v>
      </c>
      <c r="C173" s="12" t="s">
        <v>517</v>
      </c>
      <c r="D173" s="14" t="n">
        <f aca="false">серпень!P173</f>
        <v>17811.59</v>
      </c>
      <c r="E173" s="14" t="n">
        <f aca="false">серпень!Q173</f>
        <v>0</v>
      </c>
      <c r="F173" s="13" t="n">
        <f aca="false">серпень!F173</f>
        <v>0</v>
      </c>
      <c r="G173" s="13" t="n">
        <f aca="false">серпень!G173</f>
        <v>49.8</v>
      </c>
      <c r="H173" s="13" t="n">
        <f aca="false">серпень!H173</f>
        <v>0</v>
      </c>
      <c r="I173" s="13" t="n">
        <f aca="false">серпень!I173</f>
        <v>4.1</v>
      </c>
      <c r="J173" s="14" t="n">
        <f aca="false">ROUND(G173*I173,2)</f>
        <v>204.18</v>
      </c>
      <c r="K173" s="14"/>
      <c r="L173" s="14"/>
      <c r="M173" s="14"/>
      <c r="N173" s="14" t="n">
        <f aca="false">ROUND((G173*I173)-K173-L173-M173,2)</f>
        <v>204.18</v>
      </c>
      <c r="O173" s="14"/>
      <c r="P173" s="14" t="n">
        <f aca="false">ROUND(IF(D173=0,IF((N173-E173-O173)&gt;0,(N173-E173-O173),0),IF((D173+N173-O173)&gt;0,(D173+N173-O173),0)),2)</f>
        <v>18015.77</v>
      </c>
      <c r="Q173" s="14" t="n">
        <f aca="false">ROUND(IF(E173=0,IF((D173+N173-O173)&lt;0,ABS(D173+N173-O173),0),IF((N173-E173-O173)&lt;0,ABS(N173-E173-O173),0)),2)</f>
        <v>0</v>
      </c>
    </row>
    <row r="174" customFormat="false" ht="15" hidden="false" customHeight="true" outlineLevel="0" collapsed="false">
      <c r="A174" s="12" t="s">
        <v>518</v>
      </c>
      <c r="B174" s="12" t="str">
        <f aca="false">серпень!B174</f>
        <v>Кузнєцова О.А.</v>
      </c>
      <c r="C174" s="12" t="s">
        <v>520</v>
      </c>
      <c r="D174" s="14" t="n">
        <f aca="false">серпень!P174</f>
        <v>5166</v>
      </c>
      <c r="E174" s="14" t="n">
        <f aca="false">серпень!Q174</f>
        <v>0</v>
      </c>
      <c r="F174" s="13" t="n">
        <f aca="false">серпень!F174</f>
        <v>0</v>
      </c>
      <c r="G174" s="13" t="n">
        <f aca="false">серпень!G174</f>
        <v>35</v>
      </c>
      <c r="H174" s="13" t="n">
        <f aca="false">серпень!H174</f>
        <v>0</v>
      </c>
      <c r="I174" s="13" t="n">
        <f aca="false">серпень!I174</f>
        <v>4.1</v>
      </c>
      <c r="J174" s="14" t="n">
        <f aca="false">ROUND(G174*I174,2)</f>
        <v>143.5</v>
      </c>
      <c r="K174" s="14"/>
      <c r="L174" s="14"/>
      <c r="M174" s="14"/>
      <c r="N174" s="14" t="n">
        <f aca="false">ROUND((G174*I174)-K174-L174-M174,2)</f>
        <v>143.5</v>
      </c>
      <c r="O174" s="14"/>
      <c r="P174" s="14" t="n">
        <f aca="false">ROUND(IF(D174=0,IF((N174-E174-O174)&gt;0,(N174-E174-O174),0),IF((D174+N174-O174)&gt;0,(D174+N174-O174),0)),2)</f>
        <v>5309.5</v>
      </c>
      <c r="Q174" s="14" t="n">
        <f aca="false">ROUND(IF(E174=0,IF((D174+N174-O174)&lt;0,ABS(D174+N174-O174),0),IF((N174-E174-O174)&lt;0,ABS(N174-E174-O174),0)),2)</f>
        <v>0</v>
      </c>
    </row>
    <row r="175" customFormat="false" ht="15" hidden="false" customHeight="true" outlineLevel="0" collapsed="false">
      <c r="A175" s="12" t="s">
        <v>521</v>
      </c>
      <c r="B175" s="12" t="str">
        <f aca="false">серпень!B175</f>
        <v>Васильєва О.Г.</v>
      </c>
      <c r="C175" s="12" t="s">
        <v>523</v>
      </c>
      <c r="D175" s="14" t="n">
        <f aca="false">серпень!P175</f>
        <v>4125.46</v>
      </c>
      <c r="E175" s="14" t="n">
        <f aca="false">серпень!Q175</f>
        <v>0</v>
      </c>
      <c r="F175" s="13" t="n">
        <f aca="false">серпень!F175</f>
        <v>0</v>
      </c>
      <c r="G175" s="13" t="n">
        <f aca="false">серпень!G175</f>
        <v>61.7</v>
      </c>
      <c r="H175" s="13" t="n">
        <f aca="false">серпень!H175</f>
        <v>0</v>
      </c>
      <c r="I175" s="13" t="n">
        <f aca="false">серпень!I175</f>
        <v>4.1</v>
      </c>
      <c r="J175" s="14" t="n">
        <f aca="false">ROUND(G175*I175,2)</f>
        <v>252.97</v>
      </c>
      <c r="K175" s="14"/>
      <c r="L175" s="14"/>
      <c r="M175" s="14"/>
      <c r="N175" s="14" t="n">
        <f aca="false">ROUND((G175*I175)-K175-L175-M175,2)</f>
        <v>252.97</v>
      </c>
      <c r="O175" s="14"/>
      <c r="P175" s="14" t="n">
        <f aca="false">ROUND(IF(D175=0,IF((N175-E175-O175)&gt;0,(N175-E175-O175),0),IF((D175+N175-O175)&gt;0,(D175+N175-O175),0)),2)</f>
        <v>4378.43</v>
      </c>
      <c r="Q175" s="14" t="n">
        <f aca="false">ROUND(IF(E175=0,IF((D175+N175-O175)&lt;0,ABS(D175+N175-O175),0),IF((N175-E175-O175)&lt;0,ABS(N175-E175-O175),0)),2)</f>
        <v>0</v>
      </c>
    </row>
    <row r="176" customFormat="false" ht="15" hidden="false" customHeight="true" outlineLevel="0" collapsed="false">
      <c r="A176" s="12" t="s">
        <v>524</v>
      </c>
      <c r="B176" s="12" t="str">
        <f aca="false">серпень!B176</f>
        <v>Кудінова Л.М.</v>
      </c>
      <c r="C176" s="12" t="s">
        <v>526</v>
      </c>
      <c r="D176" s="14" t="n">
        <f aca="false">серпень!P176</f>
        <v>2419.92</v>
      </c>
      <c r="E176" s="14" t="n">
        <f aca="false">серпень!Q176</f>
        <v>0</v>
      </c>
      <c r="F176" s="13" t="n">
        <f aca="false">серпень!F176</f>
        <v>0</v>
      </c>
      <c r="G176" s="13" t="n">
        <f aca="false">серпень!G176</f>
        <v>65.58</v>
      </c>
      <c r="H176" s="13" t="n">
        <f aca="false">серпень!H176</f>
        <v>0</v>
      </c>
      <c r="I176" s="13" t="n">
        <f aca="false">серпень!I176</f>
        <v>4.1</v>
      </c>
      <c r="J176" s="14" t="n">
        <f aca="false">ROUND(G176*I176,2)</f>
        <v>268.88</v>
      </c>
      <c r="K176" s="14"/>
      <c r="L176" s="14"/>
      <c r="M176" s="14"/>
      <c r="N176" s="14" t="n">
        <f aca="false">ROUND((G176*I176)-K176-L176-M176,2)</f>
        <v>268.88</v>
      </c>
      <c r="O176" s="14"/>
      <c r="P176" s="14" t="n">
        <f aca="false">ROUND(IF(D176=0,IF((N176-E176-O176)&gt;0,(N176-E176-O176),0),IF((D176+N176-O176)&gt;0,(D176+N176-O176),0)),2)</f>
        <v>2688.8</v>
      </c>
      <c r="Q176" s="14" t="n">
        <f aca="false">ROUND(IF(E176=0,IF((D176+N176-O176)&lt;0,ABS(D176+N176-O176),0),IF((N176-E176-O176)&lt;0,ABS(N176-E176-O176),0)),2)</f>
        <v>0</v>
      </c>
    </row>
    <row r="177" customFormat="false" ht="15" hidden="false" customHeight="true" outlineLevel="0" collapsed="false">
      <c r="A177" s="12" t="s">
        <v>527</v>
      </c>
      <c r="B177" s="12" t="str">
        <f aca="false">серпень!B177</f>
        <v>Спільний І.В.</v>
      </c>
      <c r="C177" s="12" t="s">
        <v>529</v>
      </c>
      <c r="D177" s="14" t="n">
        <f aca="false">серпень!P177</f>
        <v>1623.6</v>
      </c>
      <c r="E177" s="14" t="n">
        <f aca="false">серпень!Q177</f>
        <v>0</v>
      </c>
      <c r="F177" s="13" t="n">
        <f aca="false">серпень!F177</f>
        <v>0</v>
      </c>
      <c r="G177" s="13" t="n">
        <f aca="false">серпень!G177</f>
        <v>49.5</v>
      </c>
      <c r="H177" s="13" t="n">
        <f aca="false">серпень!H177</f>
        <v>0</v>
      </c>
      <c r="I177" s="13" t="n">
        <f aca="false">серпень!I177</f>
        <v>4.1</v>
      </c>
      <c r="J177" s="14" t="n">
        <f aca="false">ROUND(G177*I177,2)</f>
        <v>202.95</v>
      </c>
      <c r="K177" s="14"/>
      <c r="L177" s="14"/>
      <c r="M177" s="14"/>
      <c r="N177" s="14" t="n">
        <f aca="false">ROUND((G177*I177)-K177-L177-M177,2)</f>
        <v>202.95</v>
      </c>
      <c r="O177" s="14"/>
      <c r="P177" s="14" t="n">
        <f aca="false">ROUND(IF(D177=0,IF((N177-E177-O177)&gt;0,(N177-E177-O177),0),IF((D177+N177-O177)&gt;0,(D177+N177-O177),0)),2)</f>
        <v>1826.55</v>
      </c>
      <c r="Q177" s="14" t="n">
        <f aca="false">ROUND(IF(E177=0,IF((D177+N177-O177)&lt;0,ABS(D177+N177-O177),0),IF((N177-E177-O177)&lt;0,ABS(N177-E177-O177),0)),2)</f>
        <v>0</v>
      </c>
    </row>
    <row r="178" customFormat="false" ht="15" hidden="false" customHeight="true" outlineLevel="0" collapsed="false">
      <c r="A178" s="12" t="s">
        <v>530</v>
      </c>
      <c r="B178" s="12" t="str">
        <f aca="false">серпень!B178</f>
        <v>Кружаліна Т.А.</v>
      </c>
      <c r="C178" s="12" t="s">
        <v>532</v>
      </c>
      <c r="D178" s="14" t="n">
        <f aca="false">серпень!P178</f>
        <v>1151.28</v>
      </c>
      <c r="E178" s="14" t="n">
        <f aca="false">серпень!Q178</f>
        <v>0</v>
      </c>
      <c r="F178" s="13" t="n">
        <f aca="false">серпень!F178</f>
        <v>0</v>
      </c>
      <c r="G178" s="13" t="n">
        <f aca="false">серпень!G178</f>
        <v>35.1</v>
      </c>
      <c r="H178" s="13" t="n">
        <f aca="false">серпень!H178</f>
        <v>0</v>
      </c>
      <c r="I178" s="13" t="n">
        <f aca="false">серпень!I178</f>
        <v>4.1</v>
      </c>
      <c r="J178" s="14" t="n">
        <f aca="false">ROUND(G178*I178,2)</f>
        <v>143.91</v>
      </c>
      <c r="K178" s="14"/>
      <c r="L178" s="14"/>
      <c r="M178" s="14"/>
      <c r="N178" s="14" t="n">
        <f aca="false">ROUND((G178*I178)-K178-L178-M178,2)</f>
        <v>143.91</v>
      </c>
      <c r="O178" s="14"/>
      <c r="P178" s="14" t="n">
        <f aca="false">ROUND(IF(D178=0,IF((N178-E178-O178)&gt;0,(N178-E178-O178),0),IF((D178+N178-O178)&gt;0,(D178+N178-O178),0)),2)</f>
        <v>1295.19</v>
      </c>
      <c r="Q178" s="14" t="n">
        <f aca="false">ROUND(IF(E178=0,IF((D178+N178-O178)&lt;0,ABS(D178+N178-O178),0),IF((N178-E178-O178)&lt;0,ABS(N178-E178-O178),0)),2)</f>
        <v>0</v>
      </c>
    </row>
    <row r="179" customFormat="false" ht="15" hidden="false" customHeight="true" outlineLevel="0" collapsed="false">
      <c r="A179" s="12" t="s">
        <v>533</v>
      </c>
      <c r="B179" s="12" t="str">
        <f aca="false">серпень!B179</f>
        <v>Григоренко Н.Е.</v>
      </c>
      <c r="C179" s="12" t="s">
        <v>535</v>
      </c>
      <c r="D179" s="14" t="n">
        <f aca="false">серпень!P179</f>
        <v>2063.44</v>
      </c>
      <c r="E179" s="14" t="n">
        <f aca="false">серпень!Q179</f>
        <v>0</v>
      </c>
      <c r="F179" s="13" t="n">
        <f aca="false">серпень!F179</f>
        <v>0</v>
      </c>
      <c r="G179" s="13" t="n">
        <f aca="false">серпень!G179</f>
        <v>62.91</v>
      </c>
      <c r="H179" s="13" t="n">
        <f aca="false">серпень!H179</f>
        <v>0</v>
      </c>
      <c r="I179" s="13" t="n">
        <f aca="false">серпень!I179</f>
        <v>4.1</v>
      </c>
      <c r="J179" s="14" t="n">
        <f aca="false">ROUND(G179*I179,2)</f>
        <v>257.93</v>
      </c>
      <c r="K179" s="14"/>
      <c r="L179" s="14"/>
      <c r="M179" s="14"/>
      <c r="N179" s="14" t="n">
        <f aca="false">ROUND((G179*I179)-K179-L179-M179,2)</f>
        <v>257.93</v>
      </c>
      <c r="O179" s="14"/>
      <c r="P179" s="14" t="n">
        <f aca="false">ROUND(IF(D179=0,IF((N179-E179-O179)&gt;0,(N179-E179-O179),0),IF((D179+N179-O179)&gt;0,(D179+N179-O179),0)),2)</f>
        <v>2321.37</v>
      </c>
      <c r="Q179" s="14" t="n">
        <f aca="false">ROUND(IF(E179=0,IF((D179+N179-O179)&lt;0,ABS(D179+N179-O179),0),IF((N179-E179-O179)&lt;0,ABS(N179-E179-O179),0)),2)</f>
        <v>0</v>
      </c>
    </row>
    <row r="180" customFormat="false" ht="15" hidden="false" customHeight="true" outlineLevel="0" collapsed="false">
      <c r="A180" s="12" t="s">
        <v>536</v>
      </c>
      <c r="B180" s="12" t="str">
        <f aca="false">серпень!B180</f>
        <v>Бондарчук В.В.</v>
      </c>
      <c r="C180" s="12" t="s">
        <v>538</v>
      </c>
      <c r="D180" s="14" t="n">
        <f aca="false">серпень!P180</f>
        <v>2165.76</v>
      </c>
      <c r="E180" s="14" t="n">
        <f aca="false">серпень!Q180</f>
        <v>0</v>
      </c>
      <c r="F180" s="13" t="n">
        <f aca="false">серпень!F180</f>
        <v>0</v>
      </c>
      <c r="G180" s="13" t="n">
        <f aca="false">серпень!G180</f>
        <v>66.03</v>
      </c>
      <c r="H180" s="13" t="n">
        <f aca="false">серпень!H180</f>
        <v>0</v>
      </c>
      <c r="I180" s="13" t="n">
        <f aca="false">серпень!I180</f>
        <v>4.1</v>
      </c>
      <c r="J180" s="14" t="n">
        <f aca="false">ROUND(G180*I180,2)</f>
        <v>270.72</v>
      </c>
      <c r="K180" s="14"/>
      <c r="L180" s="14"/>
      <c r="M180" s="14"/>
      <c r="N180" s="14" t="n">
        <f aca="false">ROUND((G180*I180)-K180-L180-M180,2)</f>
        <v>270.72</v>
      </c>
      <c r="O180" s="14"/>
      <c r="P180" s="14" t="n">
        <f aca="false">ROUND(IF(D180=0,IF((N180-E180-O180)&gt;0,(N180-E180-O180),0),IF((D180+N180-O180)&gt;0,(D180+N180-O180),0)),2)</f>
        <v>2436.48</v>
      </c>
      <c r="Q180" s="14" t="n">
        <f aca="false">ROUND(IF(E180=0,IF((D180+N180-O180)&lt;0,ABS(D180+N180-O180),0),IF((N180-E180-O180)&lt;0,ABS(N180-E180-O180),0)),2)</f>
        <v>0</v>
      </c>
    </row>
    <row r="181" customFormat="false" ht="15" hidden="false" customHeight="true" outlineLevel="0" collapsed="false">
      <c r="A181" s="12" t="s">
        <v>539</v>
      </c>
      <c r="B181" s="12" t="str">
        <f aca="false">серпень!B181</f>
        <v>Рябініна Н.І.</v>
      </c>
      <c r="C181" s="12" t="s">
        <v>541</v>
      </c>
      <c r="D181" s="14" t="n">
        <f aca="false">серпень!P181</f>
        <v>1470.68</v>
      </c>
      <c r="E181" s="14" t="n">
        <f aca="false">серпень!Q181</f>
        <v>0</v>
      </c>
      <c r="F181" s="13" t="n">
        <f aca="false">серпень!F181</f>
        <v>0</v>
      </c>
      <c r="G181" s="13" t="n">
        <f aca="false">серпень!G181</f>
        <v>49.9</v>
      </c>
      <c r="H181" s="13" t="n">
        <f aca="false">серпень!H181</f>
        <v>0</v>
      </c>
      <c r="I181" s="13" t="n">
        <f aca="false">серпень!I181</f>
        <v>4.1</v>
      </c>
      <c r="J181" s="14" t="n">
        <f aca="false">ROUND(G181*I181,2)</f>
        <v>204.59</v>
      </c>
      <c r="K181" s="14"/>
      <c r="L181" s="14"/>
      <c r="M181" s="14"/>
      <c r="N181" s="14" t="n">
        <f aca="false">ROUND((G181*I181)-K181-L181-M181,2)</f>
        <v>204.59</v>
      </c>
      <c r="O181" s="14"/>
      <c r="P181" s="14" t="n">
        <f aca="false">ROUND(IF(D181=0,IF((N181-E181-O181)&gt;0,(N181-E181-O181),0),IF((D181+N181-O181)&gt;0,(D181+N181-O181),0)),2)</f>
        <v>1675.27</v>
      </c>
      <c r="Q181" s="14" t="n">
        <f aca="false">ROUND(IF(E181=0,IF((D181+N181-O181)&lt;0,ABS(D181+N181-O181),0),IF((N181-E181-O181)&lt;0,ABS(N181-E181-O181),0)),2)</f>
        <v>0</v>
      </c>
    </row>
    <row r="182" customFormat="false" ht="15" hidden="false" customHeight="true" outlineLevel="0" collapsed="false">
      <c r="A182" s="12" t="s">
        <v>542</v>
      </c>
      <c r="B182" s="12" t="str">
        <f aca="false">серпень!B182</f>
        <v>Шапіро В.І.</v>
      </c>
      <c r="C182" s="12" t="s">
        <v>544</v>
      </c>
      <c r="D182" s="14" t="n">
        <f aca="false">серпень!P182</f>
        <v>1145.36</v>
      </c>
      <c r="E182" s="14" t="n">
        <f aca="false">серпень!Q182</f>
        <v>0</v>
      </c>
      <c r="F182" s="13" t="n">
        <f aca="false">серпень!F182</f>
        <v>0</v>
      </c>
      <c r="G182" s="13" t="n">
        <f aca="false">серпень!G182</f>
        <v>34.92</v>
      </c>
      <c r="H182" s="13" t="n">
        <f aca="false">серпень!H182</f>
        <v>0</v>
      </c>
      <c r="I182" s="13" t="n">
        <f aca="false">серпень!I182</f>
        <v>4.1</v>
      </c>
      <c r="J182" s="14" t="n">
        <f aca="false">ROUND(G182*I182,2)</f>
        <v>143.17</v>
      </c>
      <c r="K182" s="14"/>
      <c r="L182" s="14"/>
      <c r="M182" s="14"/>
      <c r="N182" s="14" t="n">
        <f aca="false">ROUND((G182*I182)-K182-L182-M182,2)</f>
        <v>143.17</v>
      </c>
      <c r="O182" s="14"/>
      <c r="P182" s="14" t="n">
        <f aca="false">ROUND(IF(D182=0,IF((N182-E182-O182)&gt;0,(N182-E182-O182),0),IF((D182+N182-O182)&gt;0,(D182+N182-O182),0)),2)</f>
        <v>1288.53</v>
      </c>
      <c r="Q182" s="14" t="n">
        <f aca="false">ROUND(IF(E182=0,IF((D182+N182-O182)&lt;0,ABS(D182+N182-O182),0),IF((N182-E182-O182)&lt;0,ABS(N182-E182-O182),0)),2)</f>
        <v>0</v>
      </c>
    </row>
    <row r="183" customFormat="false" ht="15" hidden="false" customHeight="true" outlineLevel="0" collapsed="false">
      <c r="A183" s="12" t="s">
        <v>545</v>
      </c>
      <c r="B183" s="12" t="str">
        <f aca="false">серпень!B183</f>
        <v>Крамаренко О.О.</v>
      </c>
      <c r="C183" s="12" t="s">
        <v>547</v>
      </c>
      <c r="D183" s="14" t="n">
        <f aca="false">серпень!P183</f>
        <v>2030.64</v>
      </c>
      <c r="E183" s="14" t="n">
        <f aca="false">серпень!Q183</f>
        <v>0</v>
      </c>
      <c r="F183" s="13" t="n">
        <f aca="false">серпень!F183</f>
        <v>0</v>
      </c>
      <c r="G183" s="13" t="n">
        <f aca="false">серпень!G183</f>
        <v>61.91</v>
      </c>
      <c r="H183" s="13" t="n">
        <f aca="false">серпень!H183</f>
        <v>0</v>
      </c>
      <c r="I183" s="13" t="n">
        <f aca="false">серпень!I183</f>
        <v>4.1</v>
      </c>
      <c r="J183" s="14" t="n">
        <f aca="false">ROUND(G183*I183,2)</f>
        <v>253.83</v>
      </c>
      <c r="K183" s="14"/>
      <c r="L183" s="14"/>
      <c r="M183" s="14"/>
      <c r="N183" s="14" t="n">
        <f aca="false">ROUND((G183*I183)-K183-L183-M183,2)</f>
        <v>253.83</v>
      </c>
      <c r="O183" s="14"/>
      <c r="P183" s="14" t="n">
        <f aca="false">ROUND(IF(D183=0,IF((N183-E183-O183)&gt;0,(N183-E183-O183),0),IF((D183+N183-O183)&gt;0,(D183+N183-O183),0)),2)</f>
        <v>2284.47</v>
      </c>
      <c r="Q183" s="14" t="n">
        <f aca="false">ROUND(IF(E183=0,IF((D183+N183-O183)&lt;0,ABS(D183+N183-O183),0),IF((N183-E183-O183)&lt;0,ABS(N183-E183-O183),0)),2)</f>
        <v>0</v>
      </c>
    </row>
    <row r="184" customFormat="false" ht="15" hidden="false" customHeight="true" outlineLevel="0" collapsed="false">
      <c r="A184" s="12" t="s">
        <v>548</v>
      </c>
      <c r="B184" s="12" t="str">
        <f aca="false">серпень!B184</f>
        <v>Свиридов В.Ф.</v>
      </c>
      <c r="C184" s="12" t="s">
        <v>550</v>
      </c>
      <c r="D184" s="14" t="n">
        <f aca="false">серпень!P184</f>
        <v>14211.07</v>
      </c>
      <c r="E184" s="14" t="n">
        <f aca="false">серпень!Q184</f>
        <v>0</v>
      </c>
      <c r="F184" s="13" t="n">
        <f aca="false">серпень!F184</f>
        <v>0</v>
      </c>
      <c r="G184" s="13" t="n">
        <f aca="false">серпень!G184</f>
        <v>65.15</v>
      </c>
      <c r="H184" s="13" t="n">
        <f aca="false">серпень!H184</f>
        <v>0</v>
      </c>
      <c r="I184" s="13" t="n">
        <f aca="false">серпень!I184</f>
        <v>4.1</v>
      </c>
      <c r="J184" s="14" t="n">
        <f aca="false">ROUND(G184*I184,2)</f>
        <v>267.12</v>
      </c>
      <c r="K184" s="14"/>
      <c r="L184" s="14"/>
      <c r="M184" s="14"/>
      <c r="N184" s="14" t="n">
        <f aca="false">ROUND((G184*I184)-K184-L184-M184,2)</f>
        <v>267.12</v>
      </c>
      <c r="O184" s="14"/>
      <c r="P184" s="14" t="n">
        <f aca="false">ROUND(IF(D184=0,IF((N184-E184-O184)&gt;0,(N184-E184-O184),0),IF((D184+N184-O184)&gt;0,(D184+N184-O184),0)),2)</f>
        <v>14478.19</v>
      </c>
      <c r="Q184" s="14" t="n">
        <f aca="false">ROUND(IF(E184=0,IF((D184+N184-O184)&lt;0,ABS(D184+N184-O184),0),IF((N184-E184-O184)&lt;0,ABS(N184-E184-O184),0)),2)</f>
        <v>0</v>
      </c>
    </row>
    <row r="185" customFormat="false" ht="15" hidden="false" customHeight="true" outlineLevel="0" collapsed="false">
      <c r="A185" s="12" t="s">
        <v>551</v>
      </c>
      <c r="B185" s="12" t="str">
        <f aca="false">серпень!B185</f>
        <v>Домацький В.А.</v>
      </c>
      <c r="C185" s="12" t="s">
        <v>553</v>
      </c>
      <c r="D185" s="14" t="n">
        <f aca="false">серпень!P185</f>
        <v>1640</v>
      </c>
      <c r="E185" s="14" t="n">
        <f aca="false">серпень!Q185</f>
        <v>0</v>
      </c>
      <c r="F185" s="13" t="n">
        <f aca="false">серпень!F185</f>
        <v>0</v>
      </c>
      <c r="G185" s="13" t="n">
        <f aca="false">серпень!G185</f>
        <v>50</v>
      </c>
      <c r="H185" s="13" t="n">
        <f aca="false">серпень!H185</f>
        <v>0</v>
      </c>
      <c r="I185" s="13" t="n">
        <f aca="false">серпень!I185</f>
        <v>4.1</v>
      </c>
      <c r="J185" s="14" t="n">
        <f aca="false">ROUND(G185*I185,2)</f>
        <v>205</v>
      </c>
      <c r="K185" s="14"/>
      <c r="L185" s="14"/>
      <c r="M185" s="14"/>
      <c r="N185" s="14" t="n">
        <f aca="false">ROUND((G185*I185)-K185-L185-M185,2)</f>
        <v>205</v>
      </c>
      <c r="O185" s="14"/>
      <c r="P185" s="14" t="n">
        <f aca="false">ROUND(IF(D185=0,IF((N185-E185-O185)&gt;0,(N185-E185-O185),0),IF((D185+N185-O185)&gt;0,(D185+N185-O185),0)),2)</f>
        <v>1845</v>
      </c>
      <c r="Q185" s="14" t="n">
        <f aca="false">ROUND(IF(E185=0,IF((D185+N185-O185)&lt;0,ABS(D185+N185-O185),0),IF((N185-E185-O185)&lt;0,ABS(N185-E185-O185),0)),2)</f>
        <v>0</v>
      </c>
    </row>
    <row r="186" customFormat="false" ht="15" hidden="false" customHeight="true" outlineLevel="0" collapsed="false">
      <c r="A186" s="12" t="s">
        <v>554</v>
      </c>
      <c r="B186" s="12" t="str">
        <f aca="false">серпень!B186</f>
        <v>Шаповалова І.А.</v>
      </c>
      <c r="C186" s="12" t="s">
        <v>556</v>
      </c>
      <c r="D186" s="14" t="n">
        <f aca="false">серпень!P186</f>
        <v>7338.69</v>
      </c>
      <c r="E186" s="14" t="n">
        <f aca="false">серпень!Q186</f>
        <v>0</v>
      </c>
      <c r="F186" s="13" t="n">
        <f aca="false">серпень!F186</f>
        <v>0</v>
      </c>
      <c r="G186" s="13" t="n">
        <f aca="false">серпень!G186</f>
        <v>35.1</v>
      </c>
      <c r="H186" s="13" t="n">
        <f aca="false">серпень!H186</f>
        <v>0</v>
      </c>
      <c r="I186" s="13" t="n">
        <f aca="false">серпень!I186</f>
        <v>4.1</v>
      </c>
      <c r="J186" s="14" t="n">
        <f aca="false">ROUND(G186*I186,2)</f>
        <v>143.91</v>
      </c>
      <c r="K186" s="14"/>
      <c r="L186" s="14"/>
      <c r="M186" s="14"/>
      <c r="N186" s="14" t="n">
        <f aca="false">ROUND((G186*I186)-K186-L186-M186,2)</f>
        <v>143.91</v>
      </c>
      <c r="O186" s="14"/>
      <c r="P186" s="14" t="n">
        <f aca="false">ROUND(IF(D186=0,IF((N186-E186-O186)&gt;0,(N186-E186-O186),0),IF((D186+N186-O186)&gt;0,(D186+N186-O186),0)),2)</f>
        <v>7482.6</v>
      </c>
      <c r="Q186" s="14" t="n">
        <f aca="false">ROUND(IF(E186=0,IF((D186+N186-O186)&lt;0,ABS(D186+N186-O186),0),IF((N186-E186-O186)&lt;0,ABS(N186-E186-O186),0)),2)</f>
        <v>0</v>
      </c>
    </row>
    <row r="187" customFormat="false" ht="15" hidden="false" customHeight="true" outlineLevel="0" collapsed="false">
      <c r="A187" s="12" t="s">
        <v>557</v>
      </c>
      <c r="B187" s="12" t="str">
        <f aca="false">серпень!B187</f>
        <v>Кононенко О.В.</v>
      </c>
      <c r="C187" s="12" t="s">
        <v>559</v>
      </c>
      <c r="D187" s="14" t="n">
        <f aca="false">серпень!P187</f>
        <v>3526.26</v>
      </c>
      <c r="E187" s="14" t="n">
        <f aca="false">серпень!Q187</f>
        <v>0</v>
      </c>
      <c r="F187" s="13" t="n">
        <f aca="false">серпень!F187</f>
        <v>0</v>
      </c>
      <c r="G187" s="13" t="n">
        <f aca="false">серпень!G187</f>
        <v>61.8</v>
      </c>
      <c r="H187" s="13" t="n">
        <f aca="false">серпень!H187</f>
        <v>0</v>
      </c>
      <c r="I187" s="13" t="n">
        <f aca="false">серпень!I187</f>
        <v>4.1</v>
      </c>
      <c r="J187" s="14" t="n">
        <f aca="false">ROUND(G187*I187,2)</f>
        <v>253.38</v>
      </c>
      <c r="K187" s="14"/>
      <c r="L187" s="14"/>
      <c r="M187" s="14"/>
      <c r="N187" s="14" t="n">
        <f aca="false">ROUND((G187*I187)-K187-L187-M187,2)</f>
        <v>253.38</v>
      </c>
      <c r="O187" s="14"/>
      <c r="P187" s="14" t="n">
        <f aca="false">ROUND(IF(D187=0,IF((N187-E187-O187)&gt;0,(N187-E187-O187),0),IF((D187+N187-O187)&gt;0,(D187+N187-O187),0)),2)</f>
        <v>3779.64</v>
      </c>
      <c r="Q187" s="14" t="n">
        <f aca="false">ROUND(IF(E187=0,IF((D187+N187-O187)&lt;0,ABS(D187+N187-O187),0),IF((N187-E187-O187)&lt;0,ABS(N187-E187-O187),0)),2)</f>
        <v>0</v>
      </c>
    </row>
    <row r="188" customFormat="false" ht="15" hidden="false" customHeight="true" outlineLevel="0" collapsed="false">
      <c r="A188" s="12" t="s">
        <v>560</v>
      </c>
      <c r="B188" s="12" t="str">
        <f aca="false">серпень!B188</f>
        <v>Овчаренко Т.І.</v>
      </c>
      <c r="C188" s="12" t="s">
        <v>562</v>
      </c>
      <c r="D188" s="14" t="n">
        <f aca="false">серпень!P188</f>
        <v>2330.8</v>
      </c>
      <c r="E188" s="14" t="n">
        <f aca="false">серпень!Q188</f>
        <v>0</v>
      </c>
      <c r="F188" s="13" t="n">
        <f aca="false">серпень!F188</f>
        <v>0</v>
      </c>
      <c r="G188" s="13" t="n">
        <f aca="false">серпень!G188</f>
        <v>71.06</v>
      </c>
      <c r="H188" s="13" t="n">
        <f aca="false">серпень!H188</f>
        <v>0</v>
      </c>
      <c r="I188" s="13" t="n">
        <f aca="false">серпень!I188</f>
        <v>4.1</v>
      </c>
      <c r="J188" s="14" t="n">
        <f aca="false">ROUND(G188*I188,2)</f>
        <v>291.35</v>
      </c>
      <c r="K188" s="14"/>
      <c r="L188" s="14"/>
      <c r="M188" s="14"/>
      <c r="N188" s="14" t="n">
        <f aca="false">ROUND((G188*I188)-K188-L188-M188,2)</f>
        <v>291.35</v>
      </c>
      <c r="O188" s="14"/>
      <c r="P188" s="14" t="n">
        <f aca="false">ROUND(IF(D188=0,IF((N188-E188-O188)&gt;0,(N188-E188-O188),0),IF((D188+N188-O188)&gt;0,(D188+N188-O188),0)),2)</f>
        <v>2622.15</v>
      </c>
      <c r="Q188" s="14" t="n">
        <f aca="false">ROUND(IF(E188=0,IF((D188+N188-O188)&lt;0,ABS(D188+N188-O188),0),IF((N188-E188-O188)&lt;0,ABS(N188-E188-O188),0)),2)</f>
        <v>0</v>
      </c>
    </row>
    <row r="189" customFormat="false" ht="15" hidden="false" customHeight="true" outlineLevel="0" collapsed="false">
      <c r="A189" s="12" t="s">
        <v>563</v>
      </c>
      <c r="B189" s="12" t="str">
        <f aca="false">серпень!B189</f>
        <v>Попукайло О.Г.</v>
      </c>
      <c r="C189" s="12" t="s">
        <v>565</v>
      </c>
      <c r="D189" s="14" t="n">
        <f aca="false">серпень!P189</f>
        <v>6366.88</v>
      </c>
      <c r="E189" s="14" t="n">
        <f aca="false">серпень!Q189</f>
        <v>0</v>
      </c>
      <c r="F189" s="13" t="n">
        <f aca="false">серпень!F189</f>
        <v>0</v>
      </c>
      <c r="G189" s="13" t="n">
        <f aca="false">серпень!G189</f>
        <v>49.15</v>
      </c>
      <c r="H189" s="13" t="n">
        <f aca="false">серпень!H189</f>
        <v>0</v>
      </c>
      <c r="I189" s="13" t="n">
        <f aca="false">серпень!I189</f>
        <v>4.1</v>
      </c>
      <c r="J189" s="14" t="n">
        <f aca="false">ROUND(G189*I189,2)</f>
        <v>201.52</v>
      </c>
      <c r="K189" s="14"/>
      <c r="L189" s="14"/>
      <c r="M189" s="14"/>
      <c r="N189" s="14" t="n">
        <f aca="false">ROUND((G189*I189)-K189-L189-M189,2)</f>
        <v>201.52</v>
      </c>
      <c r="O189" s="14"/>
      <c r="P189" s="14" t="n">
        <f aca="false">ROUND(IF(D189=0,IF((N189-E189-O189)&gt;0,(N189-E189-O189),0),IF((D189+N189-O189)&gt;0,(D189+N189-O189),0)),2)</f>
        <v>6568.4</v>
      </c>
      <c r="Q189" s="14" t="n">
        <f aca="false">ROUND(IF(E189=0,IF((D189+N189-O189)&lt;0,ABS(D189+N189-O189),0),IF((N189-E189-O189)&lt;0,ABS(N189-E189-O189),0)),2)</f>
        <v>0</v>
      </c>
    </row>
    <row r="190" customFormat="false" ht="15" hidden="false" customHeight="true" outlineLevel="0" collapsed="false">
      <c r="A190" s="12" t="s">
        <v>566</v>
      </c>
      <c r="B190" s="12" t="str">
        <f aca="false">серпень!B190</f>
        <v>Онищенко А.В.</v>
      </c>
      <c r="C190" s="12" t="s">
        <v>568</v>
      </c>
      <c r="D190" s="14" t="n">
        <f aca="false">серпень!P190</f>
        <v>7933.28</v>
      </c>
      <c r="E190" s="14" t="n">
        <f aca="false">серпень!Q190</f>
        <v>0</v>
      </c>
      <c r="F190" s="13" t="n">
        <f aca="false">серпень!F190</f>
        <v>0</v>
      </c>
      <c r="G190" s="13" t="n">
        <f aca="false">серпень!G190</f>
        <v>53.72</v>
      </c>
      <c r="H190" s="13" t="n">
        <f aca="false">серпень!H190</f>
        <v>0</v>
      </c>
      <c r="I190" s="13" t="n">
        <f aca="false">серпень!I190</f>
        <v>4.1</v>
      </c>
      <c r="J190" s="14" t="n">
        <f aca="false">ROUND(G190*I190,2)</f>
        <v>220.25</v>
      </c>
      <c r="K190" s="14"/>
      <c r="L190" s="14"/>
      <c r="M190" s="14"/>
      <c r="N190" s="14" t="n">
        <f aca="false">ROUND((G190*I190)-K190-L190-M190,2)</f>
        <v>220.25</v>
      </c>
      <c r="O190" s="14"/>
      <c r="P190" s="14" t="n">
        <f aca="false">ROUND(IF(D190=0,IF((N190-E190-O190)&gt;0,(N190-E190-O190),0),IF((D190+N190-O190)&gt;0,(D190+N190-O190),0)),2)</f>
        <v>8153.53</v>
      </c>
      <c r="Q190" s="14" t="n">
        <f aca="false">ROUND(IF(E190=0,IF((D190+N190-O190)&lt;0,ABS(D190+N190-O190),0),IF((N190-E190-O190)&lt;0,ABS(N190-E190-O190),0)),2)</f>
        <v>0</v>
      </c>
    </row>
    <row r="191" customFormat="false" ht="15" hidden="false" customHeight="true" outlineLevel="0" collapsed="false">
      <c r="A191" s="12" t="s">
        <v>569</v>
      </c>
      <c r="B191" s="12" t="str">
        <f aca="false">серпень!B191</f>
        <v>Соколова О.О.</v>
      </c>
      <c r="C191" s="12" t="s">
        <v>571</v>
      </c>
      <c r="D191" s="14" t="n">
        <f aca="false">серпень!P191</f>
        <v>2545.02</v>
      </c>
      <c r="E191" s="14" t="n">
        <f aca="false">серпень!Q191</f>
        <v>0</v>
      </c>
      <c r="F191" s="13" t="n">
        <f aca="false">серпень!F191</f>
        <v>0</v>
      </c>
      <c r="G191" s="13" t="n">
        <f aca="false">серпень!G191</f>
        <v>68.97</v>
      </c>
      <c r="H191" s="13" t="n">
        <f aca="false">серпень!H191</f>
        <v>0</v>
      </c>
      <c r="I191" s="13" t="n">
        <f aca="false">серпень!I191</f>
        <v>4.1</v>
      </c>
      <c r="J191" s="14" t="n">
        <f aca="false">ROUND(G191*I191,2)</f>
        <v>282.78</v>
      </c>
      <c r="K191" s="14"/>
      <c r="L191" s="14"/>
      <c r="M191" s="14"/>
      <c r="N191" s="14" t="n">
        <f aca="false">ROUND((G191*I191)-K191-L191-M191,2)</f>
        <v>282.78</v>
      </c>
      <c r="O191" s="14"/>
      <c r="P191" s="14" t="n">
        <f aca="false">ROUND(IF(D191=0,IF((N191-E191-O191)&gt;0,(N191-E191-O191),0),IF((D191+N191-O191)&gt;0,(D191+N191-O191),0)),2)</f>
        <v>2827.8</v>
      </c>
      <c r="Q191" s="14" t="n">
        <f aca="false">ROUND(IF(E191=0,IF((D191+N191-O191)&lt;0,ABS(D191+N191-O191),0),IF((N191-E191-O191)&lt;0,ABS(N191-E191-O191),0)),2)</f>
        <v>0</v>
      </c>
    </row>
    <row r="192" customFormat="false" ht="15" hidden="false" customHeight="true" outlineLevel="0" collapsed="false">
      <c r="A192" s="12" t="s">
        <v>572</v>
      </c>
      <c r="B192" s="12" t="str">
        <f aca="false">серпень!B192</f>
        <v>Ільіна В.П.</v>
      </c>
      <c r="C192" s="12" t="s">
        <v>574</v>
      </c>
      <c r="D192" s="14" t="n">
        <f aca="false">серпень!P192</f>
        <v>9657.59</v>
      </c>
      <c r="E192" s="14" t="n">
        <f aca="false">серпень!Q192</f>
        <v>0</v>
      </c>
      <c r="F192" s="13" t="n">
        <f aca="false">серпень!F192</f>
        <v>0</v>
      </c>
      <c r="G192" s="13" t="n">
        <f aca="false">серпень!G192</f>
        <v>49.86</v>
      </c>
      <c r="H192" s="13" t="n">
        <f aca="false">серпень!H192</f>
        <v>0</v>
      </c>
      <c r="I192" s="13" t="n">
        <f aca="false">серпень!I192</f>
        <v>4.1</v>
      </c>
      <c r="J192" s="14" t="n">
        <f aca="false">ROUND(G192*I192,2)</f>
        <v>204.43</v>
      </c>
      <c r="K192" s="14"/>
      <c r="L192" s="14"/>
      <c r="M192" s="14"/>
      <c r="N192" s="14" t="n">
        <f aca="false">ROUND((G192*I192)-K192-L192-M192,2)</f>
        <v>204.43</v>
      </c>
      <c r="O192" s="14"/>
      <c r="P192" s="14" t="n">
        <f aca="false">ROUND(IF(D192=0,IF((N192-E192-O192)&gt;0,(N192-E192-O192),0),IF((D192+N192-O192)&gt;0,(D192+N192-O192),0)),2)</f>
        <v>9862.02</v>
      </c>
      <c r="Q192" s="14" t="n">
        <f aca="false">ROUND(IF(E192=0,IF((D192+N192-O192)&lt;0,ABS(D192+N192-O192),0),IF((N192-E192-O192)&lt;0,ABS(N192-E192-O192),0)),2)</f>
        <v>0</v>
      </c>
    </row>
    <row r="193" customFormat="false" ht="15" hidden="false" customHeight="true" outlineLevel="0" collapsed="false">
      <c r="A193" s="12" t="s">
        <v>575</v>
      </c>
      <c r="B193" s="12" t="str">
        <f aca="false">серпень!B193</f>
        <v>Чешок Г.К.</v>
      </c>
      <c r="C193" s="12" t="s">
        <v>577</v>
      </c>
      <c r="D193" s="14" t="n">
        <f aca="false">серпень!P193</f>
        <v>13882.69</v>
      </c>
      <c r="E193" s="14" t="n">
        <f aca="false">серпень!Q193</f>
        <v>0</v>
      </c>
      <c r="F193" s="13" t="n">
        <f aca="false">серпень!F193</f>
        <v>0</v>
      </c>
      <c r="G193" s="13" t="n">
        <f aca="false">серпень!G193</f>
        <v>60.86</v>
      </c>
      <c r="H193" s="13" t="n">
        <f aca="false">серпень!H193</f>
        <v>0</v>
      </c>
      <c r="I193" s="13" t="n">
        <f aca="false">серпень!I193</f>
        <v>4.1</v>
      </c>
      <c r="J193" s="14" t="n">
        <f aca="false">ROUND(G193*I193,2)</f>
        <v>249.53</v>
      </c>
      <c r="K193" s="14"/>
      <c r="L193" s="14"/>
      <c r="M193" s="14"/>
      <c r="N193" s="14" t="n">
        <f aca="false">ROUND((G193*I193)-K193-L193-M193,2)</f>
        <v>249.53</v>
      </c>
      <c r="O193" s="14"/>
      <c r="P193" s="14" t="n">
        <f aca="false">ROUND(IF(D193=0,IF((N193-E193-O193)&gt;0,(N193-E193-O193),0),IF((D193+N193-O193)&gt;0,(D193+N193-O193),0)),2)</f>
        <v>14132.22</v>
      </c>
      <c r="Q193" s="14" t="n">
        <f aca="false">ROUND(IF(E193=0,IF((D193+N193-O193)&lt;0,ABS(D193+N193-O193),0),IF((N193-E193-O193)&lt;0,ABS(N193-E193-O193),0)),2)</f>
        <v>0</v>
      </c>
    </row>
    <row r="194" customFormat="false" ht="15" hidden="false" customHeight="true" outlineLevel="0" collapsed="false">
      <c r="A194" s="12" t="s">
        <v>578</v>
      </c>
      <c r="B194" s="12" t="str">
        <f aca="false">серпень!B194</f>
        <v>Бердников В.А.</v>
      </c>
      <c r="C194" s="12" t="s">
        <v>580</v>
      </c>
      <c r="D194" s="14" t="n">
        <f aca="false">серпень!P194</f>
        <v>10561.55</v>
      </c>
      <c r="E194" s="14" t="n">
        <f aca="false">серпень!Q194</f>
        <v>0</v>
      </c>
      <c r="F194" s="13" t="n">
        <f aca="false">серпень!F194</f>
        <v>0</v>
      </c>
      <c r="G194" s="13" t="n">
        <f aca="false">серпень!G194</f>
        <v>66.75</v>
      </c>
      <c r="H194" s="13" t="n">
        <f aca="false">серпень!H194</f>
        <v>0</v>
      </c>
      <c r="I194" s="13" t="n">
        <f aca="false">серпень!I194</f>
        <v>4.1</v>
      </c>
      <c r="J194" s="14" t="n">
        <f aca="false">ROUND(G194*I194,2)</f>
        <v>273.68</v>
      </c>
      <c r="K194" s="14"/>
      <c r="L194" s="14"/>
      <c r="M194" s="14"/>
      <c r="N194" s="14" t="n">
        <f aca="false">ROUND((G194*I194)-K194-L194-M194,2)</f>
        <v>273.68</v>
      </c>
      <c r="O194" s="14"/>
      <c r="P194" s="14" t="n">
        <f aca="false">ROUND(IF(D194=0,IF((N194-E194-O194)&gt;0,(N194-E194-O194),0),IF((D194+N194-O194)&gt;0,(D194+N194-O194),0)),2)</f>
        <v>10835.23</v>
      </c>
      <c r="Q194" s="14" t="n">
        <f aca="false">ROUND(IF(E194=0,IF((D194+N194-O194)&lt;0,ABS(D194+N194-O194),0),IF((N194-E194-O194)&lt;0,ABS(N194-E194-O194),0)),2)</f>
        <v>0</v>
      </c>
    </row>
    <row r="195" customFormat="false" ht="15" hidden="false" customHeight="true" outlineLevel="0" collapsed="false">
      <c r="A195" s="12" t="s">
        <v>581</v>
      </c>
      <c r="B195" s="12" t="str">
        <f aca="false">серпень!B195</f>
        <v>Щербак Н.В.</v>
      </c>
      <c r="C195" s="12" t="s">
        <v>583</v>
      </c>
      <c r="D195" s="14" t="n">
        <f aca="false">серпень!P195</f>
        <v>15454.82</v>
      </c>
      <c r="E195" s="14" t="n">
        <f aca="false">серпень!Q195</f>
        <v>0</v>
      </c>
      <c r="F195" s="13" t="n">
        <f aca="false">серпень!F195</f>
        <v>0</v>
      </c>
      <c r="G195" s="13" t="n">
        <f aca="false">серпень!G195</f>
        <v>72.49</v>
      </c>
      <c r="H195" s="13" t="n">
        <f aca="false">серпень!H195</f>
        <v>0</v>
      </c>
      <c r="I195" s="13" t="n">
        <f aca="false">серпень!I195</f>
        <v>4.1</v>
      </c>
      <c r="J195" s="14" t="n">
        <f aca="false">ROUND(G195*I195,2)</f>
        <v>297.21</v>
      </c>
      <c r="K195" s="14"/>
      <c r="L195" s="14"/>
      <c r="M195" s="14"/>
      <c r="N195" s="14" t="n">
        <f aca="false">ROUND((G195*I195)-K195-L195-M195,2)</f>
        <v>297.21</v>
      </c>
      <c r="O195" s="14"/>
      <c r="P195" s="14" t="n">
        <f aca="false">ROUND(IF(D195=0,IF((N195-E195-O195)&gt;0,(N195-E195-O195),0),IF((D195+N195-O195)&gt;0,(D195+N195-O195),0)),2)</f>
        <v>15752.03</v>
      </c>
      <c r="Q195" s="14" t="n">
        <f aca="false">ROUND(IF(E195=0,IF((D195+N195-O195)&lt;0,ABS(D195+N195-O195),0),IF((N195-E195-O195)&lt;0,ABS(N195-E195-O195),0)),2)</f>
        <v>0</v>
      </c>
    </row>
    <row r="196" customFormat="false" ht="15" hidden="false" customHeight="true" outlineLevel="0" collapsed="false">
      <c r="A196" s="12" t="s">
        <v>584</v>
      </c>
      <c r="B196" s="12" t="str">
        <f aca="false">серпень!B196</f>
        <v>Рожков Ю.М.</v>
      </c>
      <c r="C196" s="12" t="s">
        <v>586</v>
      </c>
      <c r="D196" s="14" t="n">
        <f aca="false">серпень!P196</f>
        <v>1575.62</v>
      </c>
      <c r="E196" s="14" t="n">
        <f aca="false">серпень!Q196</f>
        <v>0</v>
      </c>
      <c r="F196" s="13" t="n">
        <f aca="false">серпень!F196</f>
        <v>0</v>
      </c>
      <c r="G196" s="13" t="n">
        <f aca="false">серпень!G196</f>
        <v>49.8</v>
      </c>
      <c r="H196" s="13" t="n">
        <f aca="false">серпень!H196</f>
        <v>0</v>
      </c>
      <c r="I196" s="13" t="n">
        <f aca="false">серпень!I196</f>
        <v>4.1</v>
      </c>
      <c r="J196" s="14" t="n">
        <f aca="false">ROUND(G196*I196,2)</f>
        <v>204.18</v>
      </c>
      <c r="K196" s="14"/>
      <c r="L196" s="14"/>
      <c r="M196" s="14"/>
      <c r="N196" s="14" t="n">
        <f aca="false">ROUND((G196*I196)-K196-L196-M196,2)</f>
        <v>204.18</v>
      </c>
      <c r="O196" s="14"/>
      <c r="P196" s="14" t="n">
        <f aca="false">ROUND(IF(D196=0,IF((N196-E196-O196)&gt;0,(N196-E196-O196),0),IF((D196+N196-O196)&gt;0,(D196+N196-O196),0)),2)</f>
        <v>1779.8</v>
      </c>
      <c r="Q196" s="14" t="n">
        <f aca="false">ROUND(IF(E196=0,IF((D196+N196-O196)&lt;0,ABS(D196+N196-O196),0),IF((N196-E196-O196)&lt;0,ABS(N196-E196-O196),0)),2)</f>
        <v>0</v>
      </c>
    </row>
    <row r="197" customFormat="false" ht="15" hidden="false" customHeight="true" outlineLevel="0" collapsed="false">
      <c r="A197" s="12" t="s">
        <v>587</v>
      </c>
      <c r="B197" s="12" t="str">
        <f aca="false">серпень!B197</f>
        <v>Кобець В.В.</v>
      </c>
      <c r="C197" s="12" t="s">
        <v>589</v>
      </c>
      <c r="D197" s="14" t="n">
        <f aca="false">серпень!P197</f>
        <v>9284.71</v>
      </c>
      <c r="E197" s="14" t="n">
        <f aca="false">серпень!Q197</f>
        <v>0</v>
      </c>
      <c r="F197" s="13" t="n">
        <f aca="false">серпень!F197</f>
        <v>0</v>
      </c>
      <c r="G197" s="13" t="n">
        <f aca="false">серпень!G197</f>
        <v>62.36</v>
      </c>
      <c r="H197" s="13" t="n">
        <f aca="false">серпень!H197</f>
        <v>0</v>
      </c>
      <c r="I197" s="13" t="n">
        <f aca="false">серпень!I197</f>
        <v>4.1</v>
      </c>
      <c r="J197" s="14" t="n">
        <f aca="false">ROUND(G197*I197,2)</f>
        <v>255.68</v>
      </c>
      <c r="K197" s="14"/>
      <c r="L197" s="14"/>
      <c r="M197" s="14"/>
      <c r="N197" s="14" t="n">
        <f aca="false">ROUND((G197*I197)-K197-L197-M197,2)</f>
        <v>255.68</v>
      </c>
      <c r="O197" s="14"/>
      <c r="P197" s="14" t="n">
        <f aca="false">ROUND(IF(D197=0,IF((N197-E197-O197)&gt;0,(N197-E197-O197),0),IF((D197+N197-O197)&gt;0,(D197+N197-O197),0)),2)</f>
        <v>9540.39</v>
      </c>
      <c r="Q197" s="14" t="n">
        <f aca="false">ROUND(IF(E197=0,IF((D197+N197-O197)&lt;0,ABS(D197+N197-O197),0),IF((N197-E197-O197)&lt;0,ABS(N197-E197-O197),0)),2)</f>
        <v>0</v>
      </c>
    </row>
    <row r="198" customFormat="false" ht="15" hidden="false" customHeight="true" outlineLevel="0" collapsed="false">
      <c r="A198" s="12" t="s">
        <v>590</v>
      </c>
      <c r="B198" s="12" t="str">
        <f aca="false">серпень!B198</f>
        <v>Щерба Л.О.</v>
      </c>
      <c r="C198" s="12" t="s">
        <v>592</v>
      </c>
      <c r="D198" s="14" t="n">
        <f aca="false">серпень!P198</f>
        <v>2246.8</v>
      </c>
      <c r="E198" s="14" t="n">
        <f aca="false">серпень!Q198</f>
        <v>0</v>
      </c>
      <c r="F198" s="13" t="n">
        <f aca="false">серпень!F198</f>
        <v>0</v>
      </c>
      <c r="G198" s="13" t="n">
        <f aca="false">серпень!G198</f>
        <v>68.5</v>
      </c>
      <c r="H198" s="13" t="n">
        <f aca="false">серпень!H198</f>
        <v>0</v>
      </c>
      <c r="I198" s="13" t="n">
        <f aca="false">серпень!I198</f>
        <v>4.1</v>
      </c>
      <c r="J198" s="14" t="n">
        <f aca="false">ROUND(G198*I198,2)</f>
        <v>280.85</v>
      </c>
      <c r="K198" s="14"/>
      <c r="L198" s="14"/>
      <c r="M198" s="14"/>
      <c r="N198" s="14" t="n">
        <f aca="false">ROUND((G198*I198)-K198-L198-M198,2)</f>
        <v>280.85</v>
      </c>
      <c r="O198" s="14"/>
      <c r="P198" s="14" t="n">
        <f aca="false">ROUND(IF(D198=0,IF((N198-E198-O198)&gt;0,(N198-E198-O198),0),IF((D198+N198-O198)&gt;0,(D198+N198-O198),0)),2)</f>
        <v>2527.65</v>
      </c>
      <c r="Q198" s="14" t="n">
        <f aca="false">ROUND(IF(E198=0,IF((D198+N198-O198)&lt;0,ABS(D198+N198-O198),0),IF((N198-E198-O198)&lt;0,ABS(N198-E198-O198),0)),2)</f>
        <v>0</v>
      </c>
    </row>
    <row r="199" customFormat="false" ht="15" hidden="false" customHeight="true" outlineLevel="0" collapsed="false">
      <c r="A199" s="12" t="s">
        <v>593</v>
      </c>
      <c r="B199" s="12" t="str">
        <f aca="false">серпень!B199</f>
        <v>Сапунова І.В.</v>
      </c>
      <c r="C199" s="12" t="s">
        <v>595</v>
      </c>
      <c r="D199" s="14" t="n">
        <f aca="false">серпень!P199</f>
        <v>13322.08</v>
      </c>
      <c r="E199" s="14" t="n">
        <f aca="false">серпень!Q199</f>
        <v>0</v>
      </c>
      <c r="F199" s="13" t="n">
        <f aca="false">серпень!F199</f>
        <v>0</v>
      </c>
      <c r="G199" s="13" t="n">
        <f aca="false">серпень!G199</f>
        <v>70.42</v>
      </c>
      <c r="H199" s="13" t="n">
        <f aca="false">серпень!H199</f>
        <v>0</v>
      </c>
      <c r="I199" s="13" t="n">
        <f aca="false">серпень!I199</f>
        <v>4.1</v>
      </c>
      <c r="J199" s="14" t="n">
        <f aca="false">ROUND(G199*I199,2)</f>
        <v>288.72</v>
      </c>
      <c r="K199" s="14"/>
      <c r="L199" s="14"/>
      <c r="M199" s="14"/>
      <c r="N199" s="14" t="n">
        <f aca="false">ROUND((G199*I199)-K199-L199-M199,2)</f>
        <v>288.72</v>
      </c>
      <c r="O199" s="14"/>
      <c r="P199" s="14" t="n">
        <f aca="false">ROUND(IF(D199=0,IF((N199-E199-O199)&gt;0,(N199-E199-O199),0),IF((D199+N199-O199)&gt;0,(D199+N199-O199),0)),2)</f>
        <v>13610.8</v>
      </c>
      <c r="Q199" s="14" t="n">
        <f aca="false">ROUND(IF(E199=0,IF((D199+N199-O199)&lt;0,ABS(D199+N199-O199),0),IF((N199-E199-O199)&lt;0,ABS(N199-E199-O199),0)),2)</f>
        <v>0</v>
      </c>
    </row>
    <row r="200" customFormat="false" ht="15" hidden="false" customHeight="true" outlineLevel="0" collapsed="false">
      <c r="A200" s="12" t="s">
        <v>596</v>
      </c>
      <c r="B200" s="12" t="str">
        <f aca="false">серпень!B200</f>
        <v>Саввідіс В.О.</v>
      </c>
      <c r="C200" s="12" t="s">
        <v>598</v>
      </c>
      <c r="D200" s="14" t="n">
        <f aca="false">серпень!P200</f>
        <v>11708.9</v>
      </c>
      <c r="E200" s="14" t="n">
        <f aca="false">серпень!Q200</f>
        <v>0</v>
      </c>
      <c r="F200" s="13" t="n">
        <f aca="false">серпень!F200</f>
        <v>0</v>
      </c>
      <c r="G200" s="13" t="n">
        <f aca="false">серпень!G200</f>
        <v>49.7</v>
      </c>
      <c r="H200" s="13" t="n">
        <f aca="false">серпень!H200</f>
        <v>0</v>
      </c>
      <c r="I200" s="13" t="n">
        <f aca="false">серпень!I200</f>
        <v>4.1</v>
      </c>
      <c r="J200" s="14" t="n">
        <f aca="false">ROUND(G200*I200,2)</f>
        <v>203.77</v>
      </c>
      <c r="K200" s="14"/>
      <c r="L200" s="14"/>
      <c r="M200" s="14"/>
      <c r="N200" s="14" t="n">
        <f aca="false">ROUND((G200*I200)-K200-L200-M200,2)</f>
        <v>203.77</v>
      </c>
      <c r="O200" s="14"/>
      <c r="P200" s="14" t="n">
        <f aca="false">ROUND(IF(D200=0,IF((N200-E200-O200)&gt;0,(N200-E200-O200),0),IF((D200+N200-O200)&gt;0,(D200+N200-O200),0)),2)</f>
        <v>11912.67</v>
      </c>
      <c r="Q200" s="14" t="n">
        <f aca="false">ROUND(IF(E200=0,IF((D200+N200-O200)&lt;0,ABS(D200+N200-O200),0),IF((N200-E200-O200)&lt;0,ABS(N200-E200-O200),0)),2)</f>
        <v>0</v>
      </c>
    </row>
    <row r="201" customFormat="false" ht="15" hidden="false" customHeight="true" outlineLevel="0" collapsed="false">
      <c r="A201" s="12" t="s">
        <v>599</v>
      </c>
      <c r="B201" s="12" t="str">
        <f aca="false">серпень!B201</f>
        <v>Кашина Г.І.</v>
      </c>
      <c r="C201" s="12" t="s">
        <v>601</v>
      </c>
      <c r="D201" s="14" t="n">
        <f aca="false">серпень!P201</f>
        <v>14116.3</v>
      </c>
      <c r="E201" s="14" t="n">
        <f aca="false">серпень!Q201</f>
        <v>0</v>
      </c>
      <c r="F201" s="13" t="n">
        <f aca="false">серпень!F201</f>
        <v>0</v>
      </c>
      <c r="G201" s="13" t="n">
        <f aca="false">серпень!G201</f>
        <v>62.6</v>
      </c>
      <c r="H201" s="13" t="n">
        <f aca="false">серпень!H201</f>
        <v>0</v>
      </c>
      <c r="I201" s="13" t="n">
        <f aca="false">серпень!I201</f>
        <v>4.1</v>
      </c>
      <c r="J201" s="14" t="n">
        <f aca="false">ROUND(G201*I201,2)</f>
        <v>256.66</v>
      </c>
      <c r="K201" s="14"/>
      <c r="L201" s="14"/>
      <c r="M201" s="14"/>
      <c r="N201" s="14" t="n">
        <f aca="false">ROUND((G201*I201)-K201-L201-M201,2)</f>
        <v>256.66</v>
      </c>
      <c r="O201" s="14"/>
      <c r="P201" s="14" t="n">
        <f aca="false">ROUND(IF(D201=0,IF((N201-E201-O201)&gt;0,(N201-E201-O201),0),IF((D201+N201-O201)&gt;0,(D201+N201-O201),0)),2)</f>
        <v>14372.96</v>
      </c>
      <c r="Q201" s="14" t="n">
        <f aca="false">ROUND(IF(E201=0,IF((D201+N201-O201)&lt;0,ABS(D201+N201-O201),0),IF((N201-E201-O201)&lt;0,ABS(N201-E201-O201),0)),2)</f>
        <v>0</v>
      </c>
    </row>
    <row r="202" customFormat="false" ht="15" hidden="false" customHeight="true" outlineLevel="0" collapsed="false">
      <c r="A202" s="12" t="s">
        <v>602</v>
      </c>
      <c r="B202" s="12" t="str">
        <f aca="false">серпень!B202</f>
        <v>Фадеєва Є.А.</v>
      </c>
      <c r="C202" s="12" t="s">
        <v>604</v>
      </c>
      <c r="D202" s="14" t="n">
        <f aca="false">серпень!P202</f>
        <v>2309.12</v>
      </c>
      <c r="E202" s="14" t="n">
        <f aca="false">серпень!Q202</f>
        <v>0</v>
      </c>
      <c r="F202" s="13" t="n">
        <f aca="false">серпень!F202</f>
        <v>0</v>
      </c>
      <c r="G202" s="13" t="n">
        <f aca="false">серпень!G202</f>
        <v>70.4</v>
      </c>
      <c r="H202" s="13" t="n">
        <f aca="false">серпень!H202</f>
        <v>0</v>
      </c>
      <c r="I202" s="13" t="n">
        <f aca="false">серпень!I202</f>
        <v>4.1</v>
      </c>
      <c r="J202" s="14" t="n">
        <f aca="false">ROUND(G202*I202,2)</f>
        <v>288.64</v>
      </c>
      <c r="K202" s="14"/>
      <c r="L202" s="14"/>
      <c r="M202" s="14"/>
      <c r="N202" s="14" t="n">
        <f aca="false">ROUND((G202*I202)-K202-L202-M202,2)</f>
        <v>288.64</v>
      </c>
      <c r="O202" s="14"/>
      <c r="P202" s="14" t="n">
        <f aca="false">ROUND(IF(D202=0,IF((N202-E202-O202)&gt;0,(N202-E202-O202),0),IF((D202+N202-O202)&gt;0,(D202+N202-O202),0)),2)</f>
        <v>2597.76</v>
      </c>
      <c r="Q202" s="14" t="n">
        <f aca="false">ROUND(IF(E202=0,IF((D202+N202-O202)&lt;0,ABS(D202+N202-O202),0),IF((N202-E202-O202)&lt;0,ABS(N202-E202-O202),0)),2)</f>
        <v>0</v>
      </c>
    </row>
    <row r="203" customFormat="false" ht="15" hidden="false" customHeight="true" outlineLevel="0" collapsed="false">
      <c r="A203" s="12" t="s">
        <v>605</v>
      </c>
      <c r="B203" s="12" t="str">
        <f aca="false">серпень!B203</f>
        <v>Бойко О.А.</v>
      </c>
      <c r="C203" s="12" t="s">
        <v>607</v>
      </c>
      <c r="D203" s="14" t="n">
        <f aca="false">серпень!P203</f>
        <v>2302.56</v>
      </c>
      <c r="E203" s="14" t="n">
        <f aca="false">серпень!Q203</f>
        <v>0</v>
      </c>
      <c r="F203" s="13" t="n">
        <f aca="false">серпень!F203</f>
        <v>0</v>
      </c>
      <c r="G203" s="13" t="n">
        <f aca="false">серпень!G203</f>
        <v>70.2</v>
      </c>
      <c r="H203" s="13" t="n">
        <f aca="false">серпень!H203</f>
        <v>0</v>
      </c>
      <c r="I203" s="13" t="n">
        <f aca="false">серпень!I203</f>
        <v>4.1</v>
      </c>
      <c r="J203" s="14" t="n">
        <f aca="false">ROUND(G203*I203,2)</f>
        <v>287.82</v>
      </c>
      <c r="K203" s="14"/>
      <c r="L203" s="14"/>
      <c r="M203" s="14"/>
      <c r="N203" s="14" t="n">
        <f aca="false">ROUND((G203*I203)-K203-L203-M203,2)</f>
        <v>287.82</v>
      </c>
      <c r="O203" s="14"/>
      <c r="P203" s="14" t="n">
        <f aca="false">ROUND(IF(D203=0,IF((N203-E203-O203)&gt;0,(N203-E203-O203),0),IF((D203+N203-O203)&gt;0,(D203+N203-O203),0)),2)</f>
        <v>2590.38</v>
      </c>
      <c r="Q203" s="14" t="n">
        <f aca="false">ROUND(IF(E203=0,IF((D203+N203-O203)&lt;0,ABS(D203+N203-O203),0),IF((N203-E203-O203)&lt;0,ABS(N203-E203-O203),0)),2)</f>
        <v>0</v>
      </c>
    </row>
    <row r="204" customFormat="false" ht="15" hidden="false" customHeight="true" outlineLevel="0" collapsed="false">
      <c r="A204" s="12" t="s">
        <v>608</v>
      </c>
      <c r="B204" s="12" t="str">
        <f aca="false">серпень!B204</f>
        <v>Дудник І.А.</v>
      </c>
      <c r="C204" s="12" t="s">
        <v>610</v>
      </c>
      <c r="D204" s="14" t="n">
        <f aca="false">серпень!P204</f>
        <v>10698.27</v>
      </c>
      <c r="E204" s="14" t="n">
        <f aca="false">серпень!Q204</f>
        <v>0</v>
      </c>
      <c r="F204" s="13" t="n">
        <f aca="false">серпень!F204</f>
        <v>0</v>
      </c>
      <c r="G204" s="13" t="n">
        <f aca="false">серпень!G204</f>
        <v>49.94</v>
      </c>
      <c r="H204" s="13" t="n">
        <f aca="false">серпень!H204</f>
        <v>0</v>
      </c>
      <c r="I204" s="13" t="n">
        <f aca="false">серпень!I204</f>
        <v>4.1</v>
      </c>
      <c r="J204" s="14" t="n">
        <f aca="false">ROUND(G204*I204,2)</f>
        <v>204.75</v>
      </c>
      <c r="K204" s="14"/>
      <c r="L204" s="14"/>
      <c r="M204" s="14"/>
      <c r="N204" s="14" t="n">
        <f aca="false">ROUND((G204*I204)-K204-L204-M204,2)</f>
        <v>204.75</v>
      </c>
      <c r="O204" s="14"/>
      <c r="P204" s="14" t="n">
        <f aca="false">ROUND(IF(D204=0,IF((N204-E204-O204)&gt;0,(N204-E204-O204),0),IF((D204+N204-O204)&gt;0,(D204+N204-O204),0)),2)</f>
        <v>10903.02</v>
      </c>
      <c r="Q204" s="14" t="n">
        <f aca="false">ROUND(IF(E204=0,IF((D204+N204-O204)&lt;0,ABS(D204+N204-O204),0),IF((N204-E204-O204)&lt;0,ABS(N204-E204-O204),0)),2)</f>
        <v>0</v>
      </c>
    </row>
    <row r="205" customFormat="false" ht="15" hidden="false" customHeight="true" outlineLevel="0" collapsed="false">
      <c r="A205" s="12" t="s">
        <v>611</v>
      </c>
      <c r="B205" s="12" t="str">
        <f aca="false">серпень!B205</f>
        <v>Лебедєва Т.В.</v>
      </c>
      <c r="C205" s="12" t="s">
        <v>613</v>
      </c>
      <c r="D205" s="14" t="n">
        <f aca="false">серпень!P205</f>
        <v>12000.64</v>
      </c>
      <c r="E205" s="14" t="n">
        <f aca="false">серпень!Q205</f>
        <v>0</v>
      </c>
      <c r="F205" s="13" t="n">
        <f aca="false">серпень!F205</f>
        <v>0</v>
      </c>
      <c r="G205" s="13" t="n">
        <f aca="false">серпень!G205</f>
        <v>62.3</v>
      </c>
      <c r="H205" s="13" t="n">
        <f aca="false">серпень!H205</f>
        <v>0</v>
      </c>
      <c r="I205" s="13" t="n">
        <f aca="false">серпень!I205</f>
        <v>4.1</v>
      </c>
      <c r="J205" s="14" t="n">
        <f aca="false">ROUND(G205*I205,2)</f>
        <v>255.43</v>
      </c>
      <c r="K205" s="14"/>
      <c r="L205" s="14"/>
      <c r="M205" s="14"/>
      <c r="N205" s="14" t="n">
        <f aca="false">ROUND((G205*I205)-K205-L205-M205,2)</f>
        <v>255.43</v>
      </c>
      <c r="O205" s="14"/>
      <c r="P205" s="14" t="n">
        <f aca="false">ROUND(IF(D205=0,IF((N205-E205-O205)&gt;0,(N205-E205-O205),0),IF((D205+N205-O205)&gt;0,(D205+N205-O205),0)),2)</f>
        <v>12256.07</v>
      </c>
      <c r="Q205" s="14" t="n">
        <f aca="false">ROUND(IF(E205=0,IF((D205+N205-O205)&lt;0,ABS(D205+N205-O205),0),IF((N205-E205-O205)&lt;0,ABS(N205-E205-O205),0)),2)</f>
        <v>0</v>
      </c>
    </row>
    <row r="206" customFormat="false" ht="15" hidden="false" customHeight="true" outlineLevel="0" collapsed="false">
      <c r="A206" s="12" t="s">
        <v>614</v>
      </c>
      <c r="B206" s="12" t="str">
        <f aca="false">серпень!B206</f>
        <v>Криницький Л.С.</v>
      </c>
      <c r="C206" s="12" t="s">
        <v>616</v>
      </c>
      <c r="D206" s="14" t="n">
        <f aca="false">серпень!P206</f>
        <v>1940.4</v>
      </c>
      <c r="E206" s="14" t="n">
        <f aca="false">серпень!Q206</f>
        <v>0</v>
      </c>
      <c r="F206" s="13" t="n">
        <f aca="false">серпень!F206</f>
        <v>0</v>
      </c>
      <c r="G206" s="13" t="n">
        <f aca="false">серпень!G206</f>
        <v>67.61</v>
      </c>
      <c r="H206" s="13" t="n">
        <f aca="false">серпень!H206</f>
        <v>0</v>
      </c>
      <c r="I206" s="13" t="n">
        <f aca="false">серпень!I206</f>
        <v>4.1</v>
      </c>
      <c r="J206" s="14" t="n">
        <f aca="false">ROUND(G206*I206,2)</f>
        <v>277.2</v>
      </c>
      <c r="K206" s="14"/>
      <c r="L206" s="14"/>
      <c r="M206" s="14"/>
      <c r="N206" s="14" t="n">
        <f aca="false">ROUND((G206*I206)-K206-L206-M206,2)</f>
        <v>277.2</v>
      </c>
      <c r="O206" s="14"/>
      <c r="P206" s="14" t="n">
        <f aca="false">ROUND(IF(D206=0,IF((N206-E206-O206)&gt;0,(N206-E206-O206),0),IF((D206+N206-O206)&gt;0,(D206+N206-O206),0)),2)</f>
        <v>2217.6</v>
      </c>
      <c r="Q206" s="14" t="n">
        <f aca="false">ROUND(IF(E206=0,IF((D206+N206-O206)&lt;0,ABS(D206+N206-O206),0),IF((N206-E206-O206)&lt;0,ABS(N206-E206-O206),0)),2)</f>
        <v>0</v>
      </c>
    </row>
    <row r="207" customFormat="false" ht="15" hidden="false" customHeight="true" outlineLevel="0" collapsed="false">
      <c r="A207" s="12" t="s">
        <v>617</v>
      </c>
      <c r="B207" s="12" t="str">
        <f aca="false">серпень!B207</f>
        <v>Сафонов В.В.</v>
      </c>
      <c r="C207" s="12" t="s">
        <v>619</v>
      </c>
      <c r="D207" s="14" t="n">
        <f aca="false">серпень!P207</f>
        <v>14614.38</v>
      </c>
      <c r="E207" s="14" t="n">
        <f aca="false">серпень!Q207</f>
        <v>0</v>
      </c>
      <c r="F207" s="13" t="n">
        <f aca="false">серпень!F207</f>
        <v>0</v>
      </c>
      <c r="G207" s="13" t="n">
        <f aca="false">серпень!G207</f>
        <v>70.38</v>
      </c>
      <c r="H207" s="13" t="n">
        <f aca="false">серпень!H207</f>
        <v>0</v>
      </c>
      <c r="I207" s="13" t="n">
        <f aca="false">серпень!I207</f>
        <v>4.1</v>
      </c>
      <c r="J207" s="14" t="n">
        <f aca="false">ROUND(G207*I207,2)</f>
        <v>288.56</v>
      </c>
      <c r="K207" s="14"/>
      <c r="L207" s="14"/>
      <c r="M207" s="14"/>
      <c r="N207" s="14" t="n">
        <f aca="false">ROUND((G207*I207)-K207-L207-M207,2)</f>
        <v>288.56</v>
      </c>
      <c r="O207" s="14"/>
      <c r="P207" s="14" t="n">
        <f aca="false">ROUND(IF(D207=0,IF((N207-E207-O207)&gt;0,(N207-E207-O207),0),IF((D207+N207-O207)&gt;0,(D207+N207-O207),0)),2)</f>
        <v>14902.94</v>
      </c>
      <c r="Q207" s="14" t="n">
        <f aca="false">ROUND(IF(E207=0,IF((D207+N207-O207)&lt;0,ABS(D207+N207-O207),0),IF((N207-E207-O207)&lt;0,ABS(N207-E207-O207),0)),2)</f>
        <v>0</v>
      </c>
    </row>
    <row r="208" customFormat="false" ht="15" hidden="false" customHeight="true" outlineLevel="0" collapsed="false">
      <c r="A208" s="12" t="s">
        <v>620</v>
      </c>
      <c r="B208" s="12" t="str">
        <f aca="false">серпень!B208</f>
        <v>Мільковська Р.Г.</v>
      </c>
      <c r="C208" s="12" t="s">
        <v>622</v>
      </c>
      <c r="D208" s="14" t="n">
        <f aca="false">серпень!P208</f>
        <v>10467.98</v>
      </c>
      <c r="E208" s="14" t="n">
        <f aca="false">серпень!Q208</f>
        <v>0</v>
      </c>
      <c r="F208" s="13" t="n">
        <f aca="false">серпень!F208</f>
        <v>0</v>
      </c>
      <c r="G208" s="13" t="n">
        <f aca="false">серпень!G208</f>
        <v>49.88</v>
      </c>
      <c r="H208" s="13" t="n">
        <f aca="false">серпень!H208</f>
        <v>0</v>
      </c>
      <c r="I208" s="13" t="n">
        <f aca="false">серпень!I208</f>
        <v>4.1</v>
      </c>
      <c r="J208" s="14" t="n">
        <f aca="false">ROUND(G208*I208,2)</f>
        <v>204.51</v>
      </c>
      <c r="K208" s="14"/>
      <c r="L208" s="14"/>
      <c r="M208" s="14"/>
      <c r="N208" s="14" t="n">
        <f aca="false">ROUND((G208*I208)-K208-L208-M208,2)</f>
        <v>204.51</v>
      </c>
      <c r="O208" s="14"/>
      <c r="P208" s="14" t="n">
        <f aca="false">ROUND(IF(D208=0,IF((N208-E208-O208)&gt;0,(N208-E208-O208),0),IF((D208+N208-O208)&gt;0,(D208+N208-O208),0)),2)</f>
        <v>10672.49</v>
      </c>
      <c r="Q208" s="14" t="n">
        <f aca="false">ROUND(IF(E208=0,IF((D208+N208-O208)&lt;0,ABS(D208+N208-O208),0),IF((N208-E208-O208)&lt;0,ABS(N208-E208-O208),0)),2)</f>
        <v>0</v>
      </c>
    </row>
    <row r="209" customFormat="false" ht="15" hidden="false" customHeight="true" outlineLevel="0" collapsed="false">
      <c r="A209" s="12" t="s">
        <v>623</v>
      </c>
      <c r="B209" s="12" t="str">
        <f aca="false">серпень!B209</f>
        <v>Заранкін С.М.</v>
      </c>
      <c r="C209" s="12" t="s">
        <v>625</v>
      </c>
      <c r="D209" s="14" t="n">
        <f aca="false">серпень!P209</f>
        <v>12157.56</v>
      </c>
      <c r="E209" s="14" t="n">
        <f aca="false">серпень!Q209</f>
        <v>0</v>
      </c>
      <c r="F209" s="13" t="n">
        <f aca="false">серпень!F209</f>
        <v>0</v>
      </c>
      <c r="G209" s="13" t="n">
        <f aca="false">серпень!G209</f>
        <v>62.02</v>
      </c>
      <c r="H209" s="13" t="n">
        <f aca="false">серпень!H209</f>
        <v>0</v>
      </c>
      <c r="I209" s="13" t="n">
        <f aca="false">серпень!I209</f>
        <v>4.1</v>
      </c>
      <c r="J209" s="14" t="n">
        <f aca="false">ROUND(G209*I209,2)</f>
        <v>254.28</v>
      </c>
      <c r="K209" s="14"/>
      <c r="L209" s="14"/>
      <c r="M209" s="14"/>
      <c r="N209" s="14" t="n">
        <f aca="false">ROUND((G209*I209)-K209-L209-M209,2)</f>
        <v>254.28</v>
      </c>
      <c r="O209" s="14"/>
      <c r="P209" s="14" t="n">
        <f aca="false">ROUND(IF(D209=0,IF((N209-E209-O209)&gt;0,(N209-E209-O209),0),IF((D209+N209-O209)&gt;0,(D209+N209-O209),0)),2)</f>
        <v>12411.84</v>
      </c>
      <c r="Q209" s="14" t="n">
        <f aca="false">ROUND(IF(E209=0,IF((D209+N209-O209)&lt;0,ABS(D209+N209-O209),0),IF((N209-E209-O209)&lt;0,ABS(N209-E209-O209),0)),2)</f>
        <v>0</v>
      </c>
    </row>
    <row r="210" customFormat="false" ht="15" hidden="false" customHeight="true" outlineLevel="0" collapsed="false">
      <c r="A210" s="12" t="s">
        <v>626</v>
      </c>
      <c r="B210" s="12" t="str">
        <f aca="false">серпень!B210</f>
        <v>Сіянко О.М.</v>
      </c>
      <c r="C210" s="12" t="s">
        <v>628</v>
      </c>
      <c r="D210" s="14" t="n">
        <f aca="false">серпень!P210</f>
        <v>5343.2</v>
      </c>
      <c r="E210" s="14" t="n">
        <f aca="false">серпень!Q210</f>
        <v>0</v>
      </c>
      <c r="F210" s="13" t="n">
        <f aca="false">серпень!F210</f>
        <v>0</v>
      </c>
      <c r="G210" s="13" t="n">
        <f aca="false">серпень!G210</f>
        <v>67.6</v>
      </c>
      <c r="H210" s="13" t="n">
        <f aca="false">серпень!H210</f>
        <v>0</v>
      </c>
      <c r="I210" s="13" t="n">
        <f aca="false">серпень!I210</f>
        <v>4.1</v>
      </c>
      <c r="J210" s="14" t="n">
        <f aca="false">ROUND(G210*I210,2)</f>
        <v>277.16</v>
      </c>
      <c r="K210" s="14"/>
      <c r="L210" s="14"/>
      <c r="M210" s="14"/>
      <c r="N210" s="14" t="n">
        <f aca="false">ROUND((G210*I210)-K210-L210-M210,2)</f>
        <v>277.16</v>
      </c>
      <c r="O210" s="14"/>
      <c r="P210" s="14" t="n">
        <f aca="false">ROUND(IF(D210=0,IF((N210-E210-O210)&gt;0,(N210-E210-O210),0),IF((D210+N210-O210)&gt;0,(D210+N210-O210),0)),2)</f>
        <v>5620.36</v>
      </c>
      <c r="Q210" s="14" t="n">
        <f aca="false">ROUND(IF(E210=0,IF((D210+N210-O210)&lt;0,ABS(D210+N210-O210),0),IF((N210-E210-O210)&lt;0,ABS(N210-E210-O210),0)),2)</f>
        <v>0</v>
      </c>
    </row>
    <row r="211" customFormat="false" ht="15" hidden="false" customHeight="true" outlineLevel="0" collapsed="false">
      <c r="A211" s="12" t="s">
        <v>629</v>
      </c>
      <c r="B211" s="12" t="str">
        <f aca="false">серпень!B211</f>
        <v>Осипов В.В.</v>
      </c>
      <c r="C211" s="12" t="s">
        <v>631</v>
      </c>
      <c r="D211" s="14" t="n">
        <f aca="false">серпень!P211</f>
        <v>12168.32</v>
      </c>
      <c r="E211" s="14" t="n">
        <f aca="false">серпень!Q211</f>
        <v>0</v>
      </c>
      <c r="F211" s="13" t="n">
        <f aca="false">серпень!F211</f>
        <v>0</v>
      </c>
      <c r="G211" s="13" t="n">
        <f aca="false">серпень!G211</f>
        <v>70.42</v>
      </c>
      <c r="H211" s="13" t="n">
        <f aca="false">серпень!H211</f>
        <v>0</v>
      </c>
      <c r="I211" s="13" t="n">
        <f aca="false">серпень!I211</f>
        <v>4.1</v>
      </c>
      <c r="J211" s="14" t="n">
        <f aca="false">ROUND(G211*I211,2)</f>
        <v>288.72</v>
      </c>
      <c r="K211" s="14"/>
      <c r="L211" s="14"/>
      <c r="M211" s="14"/>
      <c r="N211" s="14" t="n">
        <f aca="false">ROUND((G211*I211)-K211-L211-M211,2)</f>
        <v>288.72</v>
      </c>
      <c r="O211" s="14"/>
      <c r="P211" s="14" t="n">
        <f aca="false">ROUND(IF(D211=0,IF((N211-E211-O211)&gt;0,(N211-E211-O211),0),IF((D211+N211-O211)&gt;0,(D211+N211-O211),0)),2)</f>
        <v>12457.04</v>
      </c>
      <c r="Q211" s="14" t="n">
        <f aca="false">ROUND(IF(E211=0,IF((D211+N211-O211)&lt;0,ABS(D211+N211-O211),0),IF((N211-E211-O211)&lt;0,ABS(N211-E211-O211),0)),2)</f>
        <v>0</v>
      </c>
    </row>
    <row r="212" customFormat="false" ht="15" hidden="false" customHeight="true" outlineLevel="0" collapsed="false">
      <c r="A212" s="12" t="s">
        <v>632</v>
      </c>
      <c r="B212" s="12" t="str">
        <f aca="false">серпень!B212</f>
        <v>Перепьолкін А.Л.</v>
      </c>
      <c r="C212" s="12" t="s">
        <v>634</v>
      </c>
      <c r="D212" s="14" t="n">
        <f aca="false">серпень!P212</f>
        <v>1633.44</v>
      </c>
      <c r="E212" s="14" t="n">
        <f aca="false">серпень!Q212</f>
        <v>0</v>
      </c>
      <c r="F212" s="13" t="n">
        <f aca="false">серпень!F212</f>
        <v>0</v>
      </c>
      <c r="G212" s="13" t="n">
        <f aca="false">серпень!G212</f>
        <v>49.8</v>
      </c>
      <c r="H212" s="13" t="n">
        <f aca="false">серпень!H212</f>
        <v>0</v>
      </c>
      <c r="I212" s="13" t="n">
        <f aca="false">серпень!I212</f>
        <v>4.1</v>
      </c>
      <c r="J212" s="14" t="n">
        <f aca="false">ROUND(G212*I212,2)</f>
        <v>204.18</v>
      </c>
      <c r="K212" s="14"/>
      <c r="L212" s="14"/>
      <c r="M212" s="14"/>
      <c r="N212" s="14" t="n">
        <f aca="false">ROUND((G212*I212)-K212-L212-M212,2)</f>
        <v>204.18</v>
      </c>
      <c r="O212" s="14"/>
      <c r="P212" s="14" t="n">
        <f aca="false">ROUND(IF(D212=0,IF((N212-E212-O212)&gt;0,(N212-E212-O212),0),IF((D212+N212-O212)&gt;0,(D212+N212-O212),0)),2)</f>
        <v>1837.62</v>
      </c>
      <c r="Q212" s="14" t="n">
        <f aca="false">ROUND(IF(E212=0,IF((D212+N212-O212)&lt;0,ABS(D212+N212-O212),0),IF((N212-E212-O212)&lt;0,ABS(N212-E212-O212),0)),2)</f>
        <v>0</v>
      </c>
    </row>
    <row r="213" customFormat="false" ht="15" hidden="false" customHeight="true" outlineLevel="0" collapsed="false">
      <c r="A213" s="12" t="s">
        <v>635</v>
      </c>
      <c r="B213" s="12" t="str">
        <f aca="false">серпень!B213</f>
        <v>Синегрибова В.В.</v>
      </c>
      <c r="C213" s="12" t="s">
        <v>637</v>
      </c>
      <c r="D213" s="14" t="n">
        <f aca="false">серпень!P213</f>
        <v>3286.68</v>
      </c>
      <c r="E213" s="14" t="n">
        <f aca="false">серпень!Q213</f>
        <v>0</v>
      </c>
      <c r="F213" s="13" t="n">
        <f aca="false">серпень!F213</f>
        <v>0</v>
      </c>
      <c r="G213" s="13" t="n">
        <f aca="false">серпень!G213</f>
        <v>62.7</v>
      </c>
      <c r="H213" s="13" t="n">
        <f aca="false">серпень!H213</f>
        <v>0</v>
      </c>
      <c r="I213" s="13" t="n">
        <f aca="false">серпень!I213</f>
        <v>4.1</v>
      </c>
      <c r="J213" s="14" t="n">
        <f aca="false">ROUND(G213*I213,2)</f>
        <v>257.07</v>
      </c>
      <c r="K213" s="14"/>
      <c r="L213" s="14"/>
      <c r="M213" s="14"/>
      <c r="N213" s="14" t="n">
        <f aca="false">ROUND((G213*I213)-K213-L213-M213,2)</f>
        <v>257.07</v>
      </c>
      <c r="O213" s="14"/>
      <c r="P213" s="14" t="n">
        <f aca="false">ROUND(IF(D213=0,IF((N213-E213-O213)&gt;0,(N213-E213-O213),0),IF((D213+N213-O213)&gt;0,(D213+N213-O213),0)),2)</f>
        <v>3543.75</v>
      </c>
      <c r="Q213" s="14" t="n">
        <f aca="false">ROUND(IF(E213=0,IF((D213+N213-O213)&lt;0,ABS(D213+N213-O213),0),IF((N213-E213-O213)&lt;0,ABS(N213-E213-O213),0)),2)</f>
        <v>0</v>
      </c>
    </row>
    <row r="214" customFormat="false" ht="15" hidden="false" customHeight="true" outlineLevel="0" collapsed="false">
      <c r="A214" s="12" t="s">
        <v>638</v>
      </c>
      <c r="B214" s="12" t="str">
        <f aca="false">серпень!B214</f>
        <v>Юдін М.В.</v>
      </c>
      <c r="C214" s="12" t="s">
        <v>640</v>
      </c>
      <c r="D214" s="14" t="n">
        <f aca="false">серпень!P214</f>
        <v>2230.4</v>
      </c>
      <c r="E214" s="14" t="n">
        <f aca="false">серпень!Q214</f>
        <v>0</v>
      </c>
      <c r="F214" s="13" t="n">
        <f aca="false">серпень!F214</f>
        <v>0</v>
      </c>
      <c r="G214" s="13" t="n">
        <f aca="false">серпень!G214</f>
        <v>68</v>
      </c>
      <c r="H214" s="13" t="n">
        <f aca="false">серпень!H214</f>
        <v>0</v>
      </c>
      <c r="I214" s="13" t="n">
        <f aca="false">серпень!I214</f>
        <v>4.1</v>
      </c>
      <c r="J214" s="14" t="n">
        <f aca="false">ROUND(G214*I214,2)</f>
        <v>278.8</v>
      </c>
      <c r="K214" s="14"/>
      <c r="L214" s="14"/>
      <c r="M214" s="14"/>
      <c r="N214" s="14" t="n">
        <f aca="false">ROUND((G214*I214)-K214-L214-M214,2)</f>
        <v>278.8</v>
      </c>
      <c r="O214" s="14"/>
      <c r="P214" s="14" t="n">
        <f aca="false">ROUND(IF(D214=0,IF((N214-E214-O214)&gt;0,(N214-E214-O214),0),IF((D214+N214-O214)&gt;0,(D214+N214-O214),0)),2)</f>
        <v>2509.2</v>
      </c>
      <c r="Q214" s="14" t="n">
        <f aca="false">ROUND(IF(E214=0,IF((D214+N214-O214)&lt;0,ABS(D214+N214-O214),0),IF((N214-E214-O214)&lt;0,ABS(N214-E214-O214),0)),2)</f>
        <v>0</v>
      </c>
    </row>
    <row r="215" customFormat="false" ht="15" hidden="false" customHeight="true" outlineLevel="0" collapsed="false">
      <c r="A215" s="12" t="s">
        <v>641</v>
      </c>
      <c r="B215" s="12" t="str">
        <f aca="false">серпень!B215</f>
        <v>Сергєєва Н.О.</v>
      </c>
      <c r="C215" s="12" t="s">
        <v>643</v>
      </c>
      <c r="D215" s="14" t="n">
        <f aca="false">серпень!P215</f>
        <v>2350.7</v>
      </c>
      <c r="E215" s="14" t="n">
        <f aca="false">серпень!Q215</f>
        <v>0</v>
      </c>
      <c r="F215" s="13" t="n">
        <f aca="false">серпень!F215</f>
        <v>0</v>
      </c>
      <c r="G215" s="13" t="n">
        <f aca="false">серпень!G215</f>
        <v>72.1</v>
      </c>
      <c r="H215" s="13" t="n">
        <f aca="false">серпень!H215</f>
        <v>0</v>
      </c>
      <c r="I215" s="13" t="n">
        <f aca="false">серпень!I215</f>
        <v>4.1</v>
      </c>
      <c r="J215" s="14" t="n">
        <f aca="false">ROUND(G215*I215,2)</f>
        <v>295.61</v>
      </c>
      <c r="K215" s="14"/>
      <c r="L215" s="14"/>
      <c r="M215" s="14"/>
      <c r="N215" s="14" t="n">
        <f aca="false">ROUND((G215*I215)-K215-L215-M215,2)</f>
        <v>295.61</v>
      </c>
      <c r="O215" s="14"/>
      <c r="P215" s="14" t="n">
        <f aca="false">ROUND(IF(D215=0,IF((N215-E215-O215)&gt;0,(N215-E215-O215),0),IF((D215+N215-O215)&gt;0,(D215+N215-O215),0)),2)</f>
        <v>2646.31</v>
      </c>
      <c r="Q215" s="14" t="n">
        <f aca="false">ROUND(IF(E215=0,IF((D215+N215-O215)&lt;0,ABS(D215+N215-O215),0),IF((N215-E215-O215)&lt;0,ABS(N215-E215-O215),0)),2)</f>
        <v>0</v>
      </c>
    </row>
    <row r="216" customFormat="false" ht="15" hidden="false" customHeight="true" outlineLevel="0" collapsed="false">
      <c r="A216" s="12" t="s">
        <v>644</v>
      </c>
      <c r="B216" s="12" t="str">
        <f aca="false">серпень!B216</f>
        <v>Рева І.П.</v>
      </c>
      <c r="C216" s="12" t="s">
        <v>646</v>
      </c>
      <c r="D216" s="14" t="n">
        <f aca="false">серпень!P216</f>
        <v>1630.8</v>
      </c>
      <c r="E216" s="14" t="n">
        <f aca="false">серпень!Q216</f>
        <v>0</v>
      </c>
      <c r="F216" s="13" t="n">
        <f aca="false">серпень!F216</f>
        <v>0</v>
      </c>
      <c r="G216" s="13" t="n">
        <f aca="false">серпень!G216</f>
        <v>49.72</v>
      </c>
      <c r="H216" s="13" t="n">
        <f aca="false">серпень!H216</f>
        <v>0</v>
      </c>
      <c r="I216" s="13" t="n">
        <f aca="false">серпень!I216</f>
        <v>4.1</v>
      </c>
      <c r="J216" s="14" t="n">
        <f aca="false">ROUND(G216*I216,2)</f>
        <v>203.85</v>
      </c>
      <c r="K216" s="14"/>
      <c r="L216" s="14"/>
      <c r="M216" s="14"/>
      <c r="N216" s="14" t="n">
        <f aca="false">ROUND((G216*I216)-K216-L216-M216,2)</f>
        <v>203.85</v>
      </c>
      <c r="O216" s="14"/>
      <c r="P216" s="14" t="n">
        <f aca="false">ROUND(IF(D216=0,IF((N216-E216-O216)&gt;0,(N216-E216-O216),0),IF((D216+N216-O216)&gt;0,(D216+N216-O216),0)),2)</f>
        <v>1834.65</v>
      </c>
      <c r="Q216" s="14" t="n">
        <f aca="false">ROUND(IF(E216=0,IF((D216+N216-O216)&lt;0,ABS(D216+N216-O216),0),IF((N216-E216-O216)&lt;0,ABS(N216-E216-O216),0)),2)</f>
        <v>0</v>
      </c>
    </row>
    <row r="217" customFormat="false" ht="15" hidden="false" customHeight="true" outlineLevel="0" collapsed="false">
      <c r="A217" s="12" t="s">
        <v>647</v>
      </c>
      <c r="B217" s="12" t="str">
        <f aca="false">серпень!B217</f>
        <v>Почапський Ю.Т.</v>
      </c>
      <c r="C217" s="12" t="s">
        <v>649</v>
      </c>
      <c r="D217" s="14" t="n">
        <f aca="false">серпень!P217</f>
        <v>1505.45</v>
      </c>
      <c r="E217" s="14" t="n">
        <f aca="false">серпень!Q217</f>
        <v>0</v>
      </c>
      <c r="F217" s="13" t="n">
        <f aca="false">серпень!F217</f>
        <v>0</v>
      </c>
      <c r="G217" s="13" t="n">
        <f aca="false">серпень!G217</f>
        <v>62.39</v>
      </c>
      <c r="H217" s="13" t="n">
        <f aca="false">серпень!H217</f>
        <v>0</v>
      </c>
      <c r="I217" s="13" t="n">
        <f aca="false">серпень!I217</f>
        <v>4.1</v>
      </c>
      <c r="J217" s="14" t="n">
        <f aca="false">ROUND(G217*I217,2)</f>
        <v>255.8</v>
      </c>
      <c r="K217" s="14"/>
      <c r="L217" s="14"/>
      <c r="M217" s="14"/>
      <c r="N217" s="14" t="n">
        <f aca="false">ROUND((G217*I217)-K217-L217-M217,2)</f>
        <v>255.8</v>
      </c>
      <c r="O217" s="14"/>
      <c r="P217" s="14" t="n">
        <f aca="false">ROUND(IF(D217=0,IF((N217-E217-O217)&gt;0,(N217-E217-O217),0),IF((D217+N217-O217)&gt;0,(D217+N217-O217),0)),2)</f>
        <v>1761.25</v>
      </c>
      <c r="Q217" s="14" t="n">
        <f aca="false">ROUND(IF(E217=0,IF((D217+N217-O217)&lt;0,ABS(D217+N217-O217),0),IF((N217-E217-O217)&lt;0,ABS(N217-E217-O217),0)),2)</f>
        <v>0</v>
      </c>
    </row>
    <row r="218" customFormat="false" ht="15" hidden="false" customHeight="true" outlineLevel="0" collapsed="false">
      <c r="A218" s="12" t="s">
        <v>650</v>
      </c>
      <c r="B218" s="12" t="str">
        <f aca="false">серпень!B218</f>
        <v>Васильченко М.П.</v>
      </c>
      <c r="C218" s="12" t="s">
        <v>652</v>
      </c>
      <c r="D218" s="14" t="n">
        <f aca="false">серпень!P218</f>
        <v>14719.17</v>
      </c>
      <c r="E218" s="14" t="n">
        <f aca="false">серпень!Q218</f>
        <v>0</v>
      </c>
      <c r="F218" s="13" t="n">
        <f aca="false">серпень!F218</f>
        <v>0</v>
      </c>
      <c r="G218" s="13" t="n">
        <f aca="false">серпень!G218</f>
        <v>67.47</v>
      </c>
      <c r="H218" s="13" t="n">
        <f aca="false">серпень!H218</f>
        <v>0</v>
      </c>
      <c r="I218" s="13" t="n">
        <f aca="false">серпень!I218</f>
        <v>4.1</v>
      </c>
      <c r="J218" s="14" t="n">
        <f aca="false">ROUND(G218*I218,2)</f>
        <v>276.63</v>
      </c>
      <c r="K218" s="14"/>
      <c r="L218" s="14"/>
      <c r="M218" s="14"/>
      <c r="N218" s="14" t="n">
        <f aca="false">ROUND((G218*I218)-K218-L218-M218,2)</f>
        <v>276.63</v>
      </c>
      <c r="O218" s="14"/>
      <c r="P218" s="14" t="n">
        <f aca="false">ROUND(IF(D218=0,IF((N218-E218-O218)&gt;0,(N218-E218-O218),0),IF((D218+N218-O218)&gt;0,(D218+N218-O218),0)),2)</f>
        <v>14995.8</v>
      </c>
      <c r="Q218" s="14" t="n">
        <f aca="false">ROUND(IF(E218=0,IF((D218+N218-O218)&lt;0,ABS(D218+N218-O218),0),IF((N218-E218-O218)&lt;0,ABS(N218-E218-O218),0)),2)</f>
        <v>0</v>
      </c>
    </row>
    <row r="219" customFormat="false" ht="15" hidden="false" customHeight="true" outlineLevel="0" collapsed="false">
      <c r="A219" s="12" t="s">
        <v>653</v>
      </c>
      <c r="B219" s="12" t="str">
        <f aca="false">серпень!B219</f>
        <v>Черненко Т.А.</v>
      </c>
      <c r="C219" s="12" t="s">
        <v>655</v>
      </c>
      <c r="D219" s="14" t="n">
        <f aca="false">серпень!P219</f>
        <v>2309.44</v>
      </c>
      <c r="E219" s="14" t="n">
        <f aca="false">серпень!Q219</f>
        <v>0</v>
      </c>
      <c r="F219" s="13" t="n">
        <f aca="false">серпень!F219</f>
        <v>0</v>
      </c>
      <c r="G219" s="13" t="n">
        <f aca="false">серпень!G219</f>
        <v>70.41</v>
      </c>
      <c r="H219" s="13" t="n">
        <f aca="false">серпень!H219</f>
        <v>0</v>
      </c>
      <c r="I219" s="13" t="n">
        <f aca="false">серпень!I219</f>
        <v>4.1</v>
      </c>
      <c r="J219" s="14" t="n">
        <f aca="false">ROUND(G219*I219,2)</f>
        <v>288.68</v>
      </c>
      <c r="K219" s="14"/>
      <c r="L219" s="14"/>
      <c r="M219" s="14"/>
      <c r="N219" s="14" t="n">
        <f aca="false">ROUND((G219*I219)-K219-L219-M219,2)</f>
        <v>288.68</v>
      </c>
      <c r="O219" s="14"/>
      <c r="P219" s="14" t="n">
        <f aca="false">ROUND(IF(D219=0,IF((N219-E219-O219)&gt;0,(N219-E219-O219),0),IF((D219+N219-O219)&gt;0,(D219+N219-O219),0)),2)</f>
        <v>2598.12</v>
      </c>
      <c r="Q219" s="14" t="n">
        <f aca="false">ROUND(IF(E219=0,IF((D219+N219-O219)&lt;0,ABS(D219+N219-O219),0),IF((N219-E219-O219)&lt;0,ABS(N219-E219-O219),0)),2)</f>
        <v>0</v>
      </c>
    </row>
    <row r="220" customFormat="false" ht="15" hidden="false" customHeight="true" outlineLevel="0" collapsed="false">
      <c r="A220" s="12" t="s">
        <v>656</v>
      </c>
      <c r="B220" s="12" t="str">
        <f aca="false">серпень!B220</f>
        <v>Сиротенко Я.О.</v>
      </c>
      <c r="C220" s="12" t="s">
        <v>658</v>
      </c>
      <c r="D220" s="14" t="n">
        <f aca="false">серпень!P220</f>
        <v>5675.58</v>
      </c>
      <c r="E220" s="14" t="n">
        <f aca="false">серпень!Q220</f>
        <v>0</v>
      </c>
      <c r="F220" s="13" t="n">
        <f aca="false">серпень!F220</f>
        <v>0</v>
      </c>
      <c r="G220" s="13" t="n">
        <f aca="false">серпень!G220</f>
        <v>49.73</v>
      </c>
      <c r="H220" s="13" t="n">
        <f aca="false">серпень!H220</f>
        <v>0</v>
      </c>
      <c r="I220" s="13" t="n">
        <f aca="false">серпень!I220</f>
        <v>4.1</v>
      </c>
      <c r="J220" s="14" t="n">
        <f aca="false">ROUND(G220*I220,2)</f>
        <v>203.89</v>
      </c>
      <c r="K220" s="14"/>
      <c r="L220" s="14"/>
      <c r="M220" s="14"/>
      <c r="N220" s="14" t="n">
        <f aca="false">ROUND((G220*I220)-K220-L220-M220,2)</f>
        <v>203.89</v>
      </c>
      <c r="O220" s="14"/>
      <c r="P220" s="14" t="n">
        <f aca="false">ROUND(IF(D220=0,IF((N220-E220-O220)&gt;0,(N220-E220-O220),0),IF((D220+N220-O220)&gt;0,(D220+N220-O220),0)),2)</f>
        <v>5879.47</v>
      </c>
      <c r="Q220" s="14" t="n">
        <f aca="false">ROUND(IF(E220=0,IF((D220+N220-O220)&lt;0,ABS(D220+N220-O220),0),IF((N220-E220-O220)&lt;0,ABS(N220-E220-O220),0)),2)</f>
        <v>0</v>
      </c>
    </row>
    <row r="221" customFormat="false" ht="15.75" hidden="false" customHeight="true" outlineLevel="0" collapsed="false">
      <c r="A221" s="12" t="s">
        <v>659</v>
      </c>
      <c r="B221" s="12" t="str">
        <f aca="false">серпень!B221</f>
        <v>Корнюшенко О.О.</v>
      </c>
      <c r="C221" s="12" t="s">
        <v>661</v>
      </c>
      <c r="D221" s="14" t="n">
        <f aca="false">серпень!P221</f>
        <v>9558.4</v>
      </c>
      <c r="E221" s="14" t="n">
        <f aca="false">серпень!Q221</f>
        <v>0</v>
      </c>
      <c r="F221" s="13" t="n">
        <f aca="false">серпень!F221</f>
        <v>0</v>
      </c>
      <c r="G221" s="13" t="n">
        <f aca="false">серпень!G221</f>
        <v>62</v>
      </c>
      <c r="H221" s="13" t="n">
        <f aca="false">серпень!H221</f>
        <v>0</v>
      </c>
      <c r="I221" s="13" t="n">
        <f aca="false">серпень!I221</f>
        <v>4.1</v>
      </c>
      <c r="J221" s="14" t="n">
        <f aca="false">ROUND(G221*I221,2)</f>
        <v>254.2</v>
      </c>
      <c r="K221" s="14"/>
      <c r="L221" s="14"/>
      <c r="M221" s="14"/>
      <c r="N221" s="14" t="n">
        <f aca="false">ROUND((G221*I221)-K221-L221-M221,2)</f>
        <v>254.2</v>
      </c>
      <c r="O221" s="14"/>
      <c r="P221" s="14" t="n">
        <f aca="false">ROUND(IF(D221=0,IF((N221-E221-O221)&gt;0,(N221-E221-O221),0),IF((D221+N221-O221)&gt;0,(D221+N221-O221),0)),2)</f>
        <v>9812.6</v>
      </c>
      <c r="Q221" s="14" t="n">
        <f aca="false">ROUND(IF(E221=0,IF((D221+N221-O221)&lt;0,ABS(D221+N221-O221),0),IF((N221-E221-O221)&lt;0,ABS(N221-E221-O221),0)),2)</f>
        <v>0</v>
      </c>
    </row>
    <row r="222" customFormat="false" ht="15" hidden="false" customHeight="true" outlineLevel="0" collapsed="false">
      <c r="A222" s="15"/>
      <c r="B222" s="15"/>
      <c r="C222" s="15"/>
      <c r="D222" s="16" t="n">
        <f aca="false">SUM(D7:D221)</f>
        <v>1141922.21</v>
      </c>
      <c r="E222" s="16" t="n">
        <f aca="false">SUM(E7:E221)</f>
        <v>492.4</v>
      </c>
      <c r="F222" s="16"/>
      <c r="G222" s="20" t="n">
        <f aca="false">SUM(G7:G221)</f>
        <v>11652.42</v>
      </c>
      <c r="H222" s="16" t="n">
        <f aca="false">SUM(H7:H221)</f>
        <v>0</v>
      </c>
      <c r="I222" s="16"/>
      <c r="J222" s="16" t="n">
        <f aca="false">SUM(J7:J221)</f>
        <v>47774.99</v>
      </c>
      <c r="K222" s="16" t="n">
        <f aca="false">SUM(K7:K221)</f>
        <v>0</v>
      </c>
      <c r="L222" s="16" t="n">
        <f aca="false">SUM(L7:L221)</f>
        <v>0</v>
      </c>
      <c r="M222" s="16" t="n">
        <f aca="false">SUM(M7:M221)</f>
        <v>0</v>
      </c>
      <c r="N222" s="16" t="n">
        <f aca="false">SUM(N7:N221)</f>
        <v>47774.99</v>
      </c>
      <c r="O222" s="16" t="n">
        <f aca="false">SUM(O7:O221)</f>
        <v>0</v>
      </c>
      <c r="P222" s="16" t="n">
        <f aca="false">SUM(P7:P221)</f>
        <v>1189354.79</v>
      </c>
      <c r="Q222" s="16" t="n">
        <f aca="false">SUM(Q7:Q221)</f>
        <v>149.99</v>
      </c>
    </row>
    <row r="223" customFormat="false" ht="15.75" hidden="false" customHeight="true" outlineLevel="0" collapsed="false">
      <c r="A223" s="15"/>
      <c r="B223" s="15"/>
      <c r="C223" s="15"/>
      <c r="D223" s="16" t="n">
        <f aca="false">D222-E222</f>
        <v>1141429.81</v>
      </c>
      <c r="E223" s="16"/>
      <c r="F223" s="16"/>
      <c r="G223" s="20"/>
      <c r="H223" s="16"/>
      <c r="I223" s="16"/>
      <c r="J223" s="16"/>
      <c r="K223" s="16"/>
      <c r="L223" s="16"/>
      <c r="M223" s="16"/>
      <c r="N223" s="16"/>
      <c r="O223" s="16"/>
      <c r="P223" s="16" t="n">
        <f aca="false">P222-Q222</f>
        <v>1189204.8</v>
      </c>
      <c r="Q223" s="16"/>
    </row>
    <row r="224" customFormat="false" ht="15" hidden="false" customHeight="false" outlineLevel="0" collapsed="false">
      <c r="U224" s="17" t="n">
        <v>29876.29</v>
      </c>
    </row>
    <row r="225" customFormat="false" ht="15" hidden="false" customHeight="false" outlineLevel="0" collapsed="false">
      <c r="U225" s="17" t="n">
        <f aca="false">U224-O222</f>
        <v>29876.29</v>
      </c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printOptions headings="false" gridLines="false" gridLinesSet="true" horizontalCentered="true" verticalCentered="false"/>
  <pageMargins left="0" right="0" top="0.354166666666667" bottom="0.157638888888889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7"/>
  <sheetViews>
    <sheetView showFormulas="false" showGridLines="true" showRowColHeaders="true" showZeros="false" rightToLeft="false" tabSelected="false" showOutlineSymbols="true" defaultGridColor="true" view="normal" topLeftCell="A208" colorId="64" zoomScale="90" zoomScaleNormal="90" zoomScalePageLayoutView="100" workbookViewId="0">
      <selection pane="topLeft" activeCell="O40" activeCellId="0" sqref="O4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76"/>
    <col collapsed="false" customWidth="true" hidden="false" outlineLevel="0" max="2" min="2" style="1" width="23.25"/>
    <col collapsed="false" customWidth="true" hidden="false" outlineLevel="0" max="3" min="3" style="1" width="7"/>
    <col collapsed="false" customWidth="true" hidden="false" outlineLevel="0" max="4" min="4" style="1" width="9.26"/>
    <col collapsed="false" customWidth="true" hidden="false" outlineLevel="0" max="6" min="6" style="1" width="5.37"/>
    <col collapsed="false" customWidth="true" hidden="false" outlineLevel="0" max="7" min="7" style="1" width="6.88"/>
    <col collapsed="false" customWidth="true" hidden="false" outlineLevel="0" max="8" min="8" style="1" width="5.63"/>
    <col collapsed="false" customWidth="true" hidden="false" outlineLevel="0" max="9" min="9" style="1" width="6.25"/>
    <col collapsed="false" customWidth="true" hidden="false" outlineLevel="0" max="10" min="10" style="1" width="9.12"/>
    <col collapsed="false" customWidth="true" hidden="false" outlineLevel="0" max="11" min="11" style="1" width="6.63"/>
    <col collapsed="false" customWidth="true" hidden="false" outlineLevel="0" max="12" min="12" style="1" width="7.63"/>
    <col collapsed="false" customWidth="true" hidden="false" outlineLevel="0" max="14" min="14" style="1" width="9.12"/>
    <col collapsed="false" customWidth="true" hidden="false" outlineLevel="0" max="15" min="15" style="1" width="9.63"/>
    <col collapsed="false" customWidth="true" hidden="false" outlineLevel="0" max="16" min="16" style="1" width="9.26"/>
    <col collapsed="false" customWidth="true" hidden="false" outlineLevel="0" max="17" min="17" style="1" width="9.12"/>
    <col collapsed="false" customWidth="true" hidden="false" outlineLevel="0" max="21" min="21" style="1" width="9.26"/>
  </cols>
  <sheetData>
    <row r="1" customFormat="false" ht="15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2" t="s">
        <v>1</v>
      </c>
      <c r="O1" s="2"/>
      <c r="P1" s="2"/>
      <c r="Q1" s="2"/>
    </row>
    <row r="2" customFormat="false" ht="18" hidden="false" customHeight="true" outlineLevel="0" collapsed="false">
      <c r="A2" s="3"/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8.75" hidden="false" customHeight="true" outlineLevel="0" collapsed="false">
      <c r="A3" s="3"/>
      <c r="B3" s="4" t="s">
        <v>670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true" outlineLevel="0" collapsed="false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60" hidden="false" customHeight="true" outlineLevel="0" collapsed="false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7</v>
      </c>
      <c r="Q6" s="19" t="s">
        <v>8</v>
      </c>
    </row>
    <row r="7" customFormat="false" ht="15" hidden="false" customHeight="true" outlineLevel="0" collapsed="false">
      <c r="A7" s="12" t="s">
        <v>19</v>
      </c>
      <c r="B7" s="12" t="str">
        <f aca="false">вересень!B7</f>
        <v>Бережний В.М.</v>
      </c>
      <c r="C7" s="12" t="s">
        <v>21</v>
      </c>
      <c r="D7" s="14" t="n">
        <f aca="false">вересень!P7</f>
        <v>3194.38</v>
      </c>
      <c r="E7" s="14" t="n">
        <f aca="false">вересень!Q7</f>
        <v>0</v>
      </c>
      <c r="F7" s="13" t="n">
        <f aca="false">вересень!F7</f>
        <v>0</v>
      </c>
      <c r="G7" s="13" t="n">
        <f aca="false">вересень!G7</f>
        <v>64.26</v>
      </c>
      <c r="H7" s="13" t="n">
        <f aca="false">вересень!H7</f>
        <v>0</v>
      </c>
      <c r="I7" s="13" t="n">
        <f aca="false">вересень!I7</f>
        <v>4.1</v>
      </c>
      <c r="J7" s="14" t="n">
        <f aca="false">ROUND(G7*I7,2)</f>
        <v>263.47</v>
      </c>
      <c r="K7" s="14"/>
      <c r="L7" s="14"/>
      <c r="M7" s="14"/>
      <c r="N7" s="14" t="n">
        <f aca="false">ROUND((G7*I7)-K7-L7-M7,2)</f>
        <v>263.47</v>
      </c>
      <c r="O7" s="14"/>
      <c r="P7" s="14" t="n">
        <f aca="false">ROUND(IF(D7=0,IF((N7-E7-O7)&gt;0,(N7-E7-O7),0),IF((D7+N7-O7)&gt;0,(D7+N7-O7),0)),2)</f>
        <v>3457.85</v>
      </c>
      <c r="Q7" s="14" t="n">
        <f aca="false">ROUND(IF(E7=0,IF((D7+N7-O7)&lt;0,ABS(D7+N7-O7),0),IF((N7-E7-O7)&lt;0,ABS(N7-E7-O7),0)),2)</f>
        <v>0</v>
      </c>
    </row>
    <row r="8" customFormat="false" ht="15" hidden="false" customHeight="true" outlineLevel="0" collapsed="false">
      <c r="A8" s="12" t="s">
        <v>22</v>
      </c>
      <c r="B8" s="12" t="str">
        <f aca="false">вересень!B8</f>
        <v>Старикова Т.О.</v>
      </c>
      <c r="C8" s="12" t="s">
        <v>24</v>
      </c>
      <c r="D8" s="14" t="n">
        <f aca="false">вересень!P8</f>
        <v>1797.39</v>
      </c>
      <c r="E8" s="14" t="n">
        <f aca="false">вересень!Q8</f>
        <v>0</v>
      </c>
      <c r="F8" s="13" t="n">
        <f aca="false">вересень!F8</f>
        <v>0</v>
      </c>
      <c r="G8" s="13" t="n">
        <f aca="false">вересень!G8</f>
        <v>48.71</v>
      </c>
      <c r="H8" s="13" t="n">
        <f aca="false">вересень!H8</f>
        <v>0</v>
      </c>
      <c r="I8" s="13" t="n">
        <f aca="false">вересень!I8</f>
        <v>4.1</v>
      </c>
      <c r="J8" s="14" t="n">
        <f aca="false">ROUND(G8*I8,2)</f>
        <v>199.71</v>
      </c>
      <c r="K8" s="14"/>
      <c r="L8" s="14"/>
      <c r="M8" s="14"/>
      <c r="N8" s="14" t="n">
        <f aca="false">ROUND((G8*I8)-K8-L8-M8,2)</f>
        <v>199.71</v>
      </c>
      <c r="O8" s="14"/>
      <c r="P8" s="14" t="n">
        <f aca="false">ROUND(IF(D8=0,IF((N8-E8-O8)&gt;0,(N8-E8-O8),0),IF((D8+N8-O8)&gt;0,(D8+N8-O8),0)),2)</f>
        <v>1997.1</v>
      </c>
      <c r="Q8" s="14" t="n">
        <f aca="false">ROUND(IF(E8=0,IF((D8+N8-O8)&lt;0,ABS(D8+N8-O8),0),IF((N8-E8-O8)&lt;0,ABS(N8-E8-O8),0)),2)</f>
        <v>0</v>
      </c>
    </row>
    <row r="9" customFormat="false" ht="15" hidden="false" customHeight="true" outlineLevel="0" collapsed="false">
      <c r="A9" s="12" t="s">
        <v>25</v>
      </c>
      <c r="B9" s="12" t="str">
        <f aca="false">вересень!B9</f>
        <v>Мазур Т.В.</v>
      </c>
      <c r="C9" s="12" t="s">
        <v>27</v>
      </c>
      <c r="D9" s="14" t="n">
        <f aca="false">вересень!P9</f>
        <v>1435</v>
      </c>
      <c r="E9" s="14" t="n">
        <f aca="false">вересень!Q9</f>
        <v>0</v>
      </c>
      <c r="F9" s="13" t="n">
        <f aca="false">вересень!F9</f>
        <v>0</v>
      </c>
      <c r="G9" s="13" t="n">
        <f aca="false">вересень!G9</f>
        <v>35</v>
      </c>
      <c r="H9" s="13" t="n">
        <f aca="false">вересень!H9</f>
        <v>0</v>
      </c>
      <c r="I9" s="13" t="n">
        <f aca="false">вересень!I9</f>
        <v>4.1</v>
      </c>
      <c r="J9" s="14" t="n">
        <f aca="false">ROUND(G9*I9,2)</f>
        <v>143.5</v>
      </c>
      <c r="K9" s="14"/>
      <c r="L9" s="14"/>
      <c r="M9" s="14"/>
      <c r="N9" s="14" t="n">
        <f aca="false">ROUND((G9*I9)-K9-L9-M9,2)</f>
        <v>143.5</v>
      </c>
      <c r="O9" s="14"/>
      <c r="P9" s="14" t="n">
        <f aca="false">ROUND(IF(D9=0,IF((N9-E9-O9)&gt;0,(N9-E9-O9),0),IF((D9+N9-O9)&gt;0,(D9+N9-O9),0)),2)</f>
        <v>1578.5</v>
      </c>
      <c r="Q9" s="14" t="n">
        <f aca="false">ROUND(IF(E9=0,IF((D9+N9-O9)&lt;0,ABS(D9+N9-O9),0),IF((N9-E9-O9)&lt;0,ABS(N9-E9-O9),0)),2)</f>
        <v>0</v>
      </c>
    </row>
    <row r="10" customFormat="false" ht="15" hidden="false" customHeight="true" outlineLevel="0" collapsed="false">
      <c r="A10" s="12" t="s">
        <v>28</v>
      </c>
      <c r="B10" s="12" t="str">
        <f aca="false">вересень!B10</f>
        <v>Сокол О.В.</v>
      </c>
      <c r="C10" s="12" t="s">
        <v>30</v>
      </c>
      <c r="D10" s="14" t="n">
        <f aca="false">вересень!P10</f>
        <v>2020.48</v>
      </c>
      <c r="E10" s="14" t="n">
        <f aca="false">вересень!Q10</f>
        <v>0</v>
      </c>
      <c r="F10" s="13" t="n">
        <f aca="false">вересень!F10</f>
        <v>0</v>
      </c>
      <c r="G10" s="13" t="n">
        <f aca="false">вересень!G10</f>
        <v>61.6</v>
      </c>
      <c r="H10" s="13" t="n">
        <f aca="false">вересень!H10</f>
        <v>0</v>
      </c>
      <c r="I10" s="13" t="n">
        <f aca="false">вересень!I10</f>
        <v>4.1</v>
      </c>
      <c r="J10" s="14" t="n">
        <f aca="false">ROUND(G10*I10,2)</f>
        <v>252.56</v>
      </c>
      <c r="K10" s="14"/>
      <c r="L10" s="14"/>
      <c r="M10" s="14"/>
      <c r="N10" s="14" t="n">
        <f aca="false">ROUND((G10*I10)-K10-L10-M10,2)</f>
        <v>252.56</v>
      </c>
      <c r="O10" s="14"/>
      <c r="P10" s="14" t="n">
        <f aca="false">ROUND(IF(D10=0,IF((N10-E10-O10)&gt;0,(N10-E10-O10),0),IF((D10+N10-O10)&gt;0,(D10+N10-O10),0)),2)</f>
        <v>2273.04</v>
      </c>
      <c r="Q10" s="14" t="n">
        <f aca="false">ROUND(IF(E10=0,IF((D10+N10-O10)&lt;0,ABS(D10+N10-O10),0),IF((N10-E10-O10)&lt;0,ABS(N10-E10-O10),0)),2)</f>
        <v>0</v>
      </c>
    </row>
    <row r="11" customFormat="false" ht="15" hidden="false" customHeight="true" outlineLevel="0" collapsed="false">
      <c r="A11" s="12" t="s">
        <v>31</v>
      </c>
      <c r="B11" s="12" t="str">
        <f aca="false">вересень!B11</f>
        <v>Семко Л.І.</v>
      </c>
      <c r="C11" s="12" t="s">
        <v>33</v>
      </c>
      <c r="D11" s="14" t="n">
        <f aca="false">вересень!P11</f>
        <v>3689.58</v>
      </c>
      <c r="E11" s="14" t="n">
        <f aca="false">вересень!Q11</f>
        <v>0</v>
      </c>
      <c r="F11" s="13" t="n">
        <f aca="false">вересень!F11</f>
        <v>0</v>
      </c>
      <c r="G11" s="13" t="n">
        <f aca="false">вересень!G11</f>
        <v>28.34</v>
      </c>
      <c r="H11" s="13" t="n">
        <f aca="false">вересень!H11</f>
        <v>0</v>
      </c>
      <c r="I11" s="13" t="n">
        <f aca="false">вересень!I11</f>
        <v>4.1</v>
      </c>
      <c r="J11" s="14" t="n">
        <f aca="false">ROUND(G11*I11,2)</f>
        <v>116.19</v>
      </c>
      <c r="K11" s="14"/>
      <c r="L11" s="14"/>
      <c r="M11" s="14"/>
      <c r="N11" s="14" t="n">
        <f aca="false">ROUND((G11*I11)-K11-L11-M11,2)</f>
        <v>116.19</v>
      </c>
      <c r="O11" s="14"/>
      <c r="P11" s="14" t="n">
        <f aca="false">ROUND(IF(D11=0,IF((N11-E11-O11)&gt;0,(N11-E11-O11),0),IF((D11+N11-O11)&gt;0,(D11+N11-O11),0)),2)</f>
        <v>3805.77</v>
      </c>
      <c r="Q11" s="14" t="n">
        <f aca="false">ROUND(IF(E11=0,IF((D11+N11-O11)&lt;0,ABS(D11+N11-O11),0),IF((N11-E11-O11)&lt;0,ABS(N11-E11-O11),0)),2)</f>
        <v>0</v>
      </c>
    </row>
    <row r="12" customFormat="false" ht="15" hidden="false" customHeight="true" outlineLevel="0" collapsed="false">
      <c r="A12" s="12" t="s">
        <v>31</v>
      </c>
      <c r="B12" s="12" t="str">
        <f aca="false">вересень!B12</f>
        <v>Гаркуша Н.І.</v>
      </c>
      <c r="C12" s="12" t="s">
        <v>35</v>
      </c>
      <c r="D12" s="14" t="n">
        <f aca="false">вересень!P12</f>
        <v>2162.05</v>
      </c>
      <c r="E12" s="14" t="n">
        <f aca="false">вересень!Q12</f>
        <v>0</v>
      </c>
      <c r="F12" s="13" t="n">
        <f aca="false">вересень!F12</f>
        <v>0</v>
      </c>
      <c r="G12" s="13" t="n">
        <f aca="false">вересень!G12</f>
        <v>36.66</v>
      </c>
      <c r="H12" s="13" t="n">
        <f aca="false">вересень!H12</f>
        <v>0</v>
      </c>
      <c r="I12" s="13" t="n">
        <f aca="false">вересень!I12</f>
        <v>4.1</v>
      </c>
      <c r="J12" s="14" t="n">
        <f aca="false">ROUND(G12*I12,2)</f>
        <v>150.31</v>
      </c>
      <c r="K12" s="14"/>
      <c r="L12" s="14"/>
      <c r="M12" s="14"/>
      <c r="N12" s="14" t="n">
        <f aca="false">ROUND((G12*I12)-K12-L12-M12,2)</f>
        <v>150.31</v>
      </c>
      <c r="O12" s="14"/>
      <c r="P12" s="14" t="n">
        <f aca="false">ROUND(IF(D12=0,IF((N12-E12-O12)&gt;0,(N12-E12-O12),0),IF((D12+N12-O12)&gt;0,(D12+N12-O12),0)),2)</f>
        <v>2312.36</v>
      </c>
      <c r="Q12" s="14" t="n">
        <f aca="false">ROUND(IF(E12=0,IF((D12+N12-O12)&lt;0,ABS(D12+N12-O12),0),IF((N12-E12-O12)&lt;0,ABS(N12-E12-O12),0)),2)</f>
        <v>0</v>
      </c>
    </row>
    <row r="13" customFormat="false" ht="15" hidden="false" customHeight="true" outlineLevel="0" collapsed="false">
      <c r="A13" s="12" t="s">
        <v>36</v>
      </c>
      <c r="B13" s="12" t="str">
        <f aca="false">вересень!B13</f>
        <v>Андріяшев В.М</v>
      </c>
      <c r="C13" s="12" t="s">
        <v>38</v>
      </c>
      <c r="D13" s="14" t="n">
        <f aca="false">вересень!P13</f>
        <v>1972.18</v>
      </c>
      <c r="E13" s="14" t="n">
        <f aca="false">вересень!Q13</f>
        <v>0</v>
      </c>
      <c r="F13" s="13" t="n">
        <f aca="false">вересень!F13</f>
        <v>0</v>
      </c>
      <c r="G13" s="13" t="n">
        <f aca="false">вересень!G13</f>
        <v>49.8</v>
      </c>
      <c r="H13" s="13" t="n">
        <f aca="false">вересень!H13</f>
        <v>0</v>
      </c>
      <c r="I13" s="13" t="n">
        <f aca="false">вересень!I13</f>
        <v>4.1</v>
      </c>
      <c r="J13" s="14" t="n">
        <f aca="false">ROUND(G13*I13,2)</f>
        <v>204.18</v>
      </c>
      <c r="K13" s="14"/>
      <c r="L13" s="14"/>
      <c r="M13" s="14"/>
      <c r="N13" s="14" t="n">
        <f aca="false">ROUND((G13*I13)-K13-L13-M13,2)</f>
        <v>204.18</v>
      </c>
      <c r="O13" s="14"/>
      <c r="P13" s="14" t="n">
        <f aca="false">ROUND(IF(D13=0,IF((N13-E13-O13)&gt;0,(N13-E13-O13),0),IF((D13+N13-O13)&gt;0,(D13+N13-O13),0)),2)</f>
        <v>2176.36</v>
      </c>
      <c r="Q13" s="14" t="n">
        <f aca="false">ROUND(IF(E13=0,IF((D13+N13-O13)&lt;0,ABS(D13+N13-O13),0),IF((N13-E13-O13)&lt;0,ABS(N13-E13-O13),0)),2)</f>
        <v>0</v>
      </c>
    </row>
    <row r="14" customFormat="false" ht="15" hidden="false" customHeight="true" outlineLevel="0" collapsed="false">
      <c r="A14" s="12" t="s">
        <v>39</v>
      </c>
      <c r="B14" s="12" t="str">
        <f aca="false">вересень!B14</f>
        <v>Старчикова О.М.</v>
      </c>
      <c r="C14" s="12" t="s">
        <v>41</v>
      </c>
      <c r="D14" s="14" t="n">
        <f aca="false">вересень!P14</f>
        <v>1420.7</v>
      </c>
      <c r="E14" s="14" t="n">
        <f aca="false">вересень!Q14</f>
        <v>0</v>
      </c>
      <c r="F14" s="13" t="n">
        <f aca="false">вересень!F14</f>
        <v>0</v>
      </c>
      <c r="G14" s="13" t="n">
        <f aca="false">вересень!G14</f>
        <v>34.65</v>
      </c>
      <c r="H14" s="13" t="n">
        <f aca="false">вересень!H14</f>
        <v>0</v>
      </c>
      <c r="I14" s="13" t="n">
        <f aca="false">вересень!I14</f>
        <v>4.1</v>
      </c>
      <c r="J14" s="14" t="n">
        <f aca="false">ROUND(G14*I14,2)</f>
        <v>142.07</v>
      </c>
      <c r="K14" s="14"/>
      <c r="L14" s="14"/>
      <c r="M14" s="14"/>
      <c r="N14" s="14" t="n">
        <f aca="false">ROUND((G14*I14)-K14-L14-M14,2)</f>
        <v>142.07</v>
      </c>
      <c r="O14" s="14"/>
      <c r="P14" s="14" t="n">
        <f aca="false">ROUND(IF(D14=0,IF((N14-E14-O14)&gt;0,(N14-E14-O14),0),IF((D14+N14-O14)&gt;0,(D14+N14-O14),0)),2)</f>
        <v>1562.77</v>
      </c>
      <c r="Q14" s="14" t="n">
        <f aca="false">ROUND(IF(E14=0,IF((D14+N14-O14)&lt;0,ABS(D14+N14-O14),0),IF((N14-E14-O14)&lt;0,ABS(N14-E14-O14),0)),2)</f>
        <v>0</v>
      </c>
    </row>
    <row r="15" customFormat="false" ht="15" hidden="false" customHeight="true" outlineLevel="0" collapsed="false">
      <c r="A15" s="12" t="s">
        <v>42</v>
      </c>
      <c r="B15" s="12" t="str">
        <f aca="false">вересень!B15</f>
        <v>Безер Т.М</v>
      </c>
      <c r="C15" s="12" t="s">
        <v>44</v>
      </c>
      <c r="D15" s="14" t="n">
        <f aca="false">вересень!P15</f>
        <v>2285.9</v>
      </c>
      <c r="E15" s="14" t="n">
        <f aca="false">вересень!Q15</f>
        <v>0</v>
      </c>
      <c r="F15" s="13" t="n">
        <f aca="false">вересень!F15</f>
        <v>0</v>
      </c>
      <c r="G15" s="13" t="n">
        <f aca="false">вересень!G15</f>
        <v>62.14</v>
      </c>
      <c r="H15" s="13" t="n">
        <f aca="false">вересень!H15</f>
        <v>0</v>
      </c>
      <c r="I15" s="13" t="n">
        <f aca="false">вересень!I15</f>
        <v>4.1</v>
      </c>
      <c r="J15" s="14" t="n">
        <f aca="false">ROUND(G15*I15,2)</f>
        <v>254.77</v>
      </c>
      <c r="K15" s="14"/>
      <c r="L15" s="14"/>
      <c r="M15" s="14"/>
      <c r="N15" s="14" t="n">
        <f aca="false">ROUND((G15*I15)-K15-L15-M15,2)</f>
        <v>254.77</v>
      </c>
      <c r="O15" s="14"/>
      <c r="P15" s="14" t="n">
        <f aca="false">ROUND(IF(D15=0,IF((N15-E15-O15)&gt;0,(N15-E15-O15),0),IF((D15+N15-O15)&gt;0,(D15+N15-O15),0)),2)</f>
        <v>2540.67</v>
      </c>
      <c r="Q15" s="14" t="n">
        <f aca="false">ROUND(IF(E15=0,IF((D15+N15-O15)&lt;0,ABS(D15+N15-O15),0),IF((N15-E15-O15)&lt;0,ABS(N15-E15-O15),0)),2)</f>
        <v>0</v>
      </c>
    </row>
    <row r="16" customFormat="false" ht="15" hidden="false" customHeight="true" outlineLevel="0" collapsed="false">
      <c r="A16" s="12" t="s">
        <v>45</v>
      </c>
      <c r="B16" s="12" t="str">
        <f aca="false">вересень!B16</f>
        <v>Решетило М.М</v>
      </c>
      <c r="C16" s="12" t="s">
        <v>47</v>
      </c>
      <c r="D16" s="14" t="n">
        <f aca="false">вересень!P16</f>
        <v>3206.16</v>
      </c>
      <c r="E16" s="14" t="n">
        <f aca="false">вересень!Q16</f>
        <v>0</v>
      </c>
      <c r="F16" s="13" t="n">
        <f aca="false">вересень!F16</f>
        <v>0</v>
      </c>
      <c r="G16" s="13" t="n">
        <f aca="false">вересень!G16</f>
        <v>65.16</v>
      </c>
      <c r="H16" s="13" t="n">
        <f aca="false">вересень!H16</f>
        <v>0</v>
      </c>
      <c r="I16" s="13" t="n">
        <f aca="false">вересень!I16</f>
        <v>4.1</v>
      </c>
      <c r="J16" s="14" t="n">
        <f aca="false">ROUND(G16*I16,2)</f>
        <v>267.16</v>
      </c>
      <c r="K16" s="14"/>
      <c r="L16" s="14"/>
      <c r="M16" s="14"/>
      <c r="N16" s="14" t="n">
        <f aca="false">ROUND((G16*I16)-K16-L16-M16,2)</f>
        <v>267.16</v>
      </c>
      <c r="O16" s="14"/>
      <c r="P16" s="14" t="n">
        <f aca="false">ROUND(IF(D16=0,IF((N16-E16-O16)&gt;0,(N16-E16-O16),0),IF((D16+N16-O16)&gt;0,(D16+N16-O16),0)),2)</f>
        <v>3473.32</v>
      </c>
      <c r="Q16" s="14" t="n">
        <f aca="false">ROUND(IF(E16=0,IF((D16+N16-O16)&lt;0,ABS(D16+N16-O16),0),IF((N16-E16-O16)&lt;0,ABS(N16-E16-O16),0)),2)</f>
        <v>0</v>
      </c>
    </row>
    <row r="17" customFormat="false" ht="15" hidden="false" customHeight="true" outlineLevel="0" collapsed="false">
      <c r="A17" s="12" t="s">
        <v>48</v>
      </c>
      <c r="B17" s="12" t="str">
        <f aca="false">вересень!B17</f>
        <v>Фесенко О.В.</v>
      </c>
      <c r="C17" s="12" t="s">
        <v>50</v>
      </c>
      <c r="D17" s="14" t="n">
        <f aca="false">вересень!P17</f>
        <v>6725.38</v>
      </c>
      <c r="E17" s="14" t="n">
        <f aca="false">вересень!Q17</f>
        <v>0</v>
      </c>
      <c r="F17" s="13" t="n">
        <f aca="false">вересень!F17</f>
        <v>0</v>
      </c>
      <c r="G17" s="13" t="n">
        <f aca="false">вересень!G17</f>
        <v>50.1</v>
      </c>
      <c r="H17" s="13" t="n">
        <f aca="false">вересень!H17</f>
        <v>0</v>
      </c>
      <c r="I17" s="13" t="n">
        <f aca="false">вересень!I17</f>
        <v>4.1</v>
      </c>
      <c r="J17" s="14" t="n">
        <f aca="false">ROUND(G17*I17,2)</f>
        <v>205.41</v>
      </c>
      <c r="K17" s="14"/>
      <c r="L17" s="14"/>
      <c r="M17" s="14"/>
      <c r="N17" s="14" t="n">
        <f aca="false">ROUND((G17*I17)-K17-L17-M17,2)</f>
        <v>205.41</v>
      </c>
      <c r="O17" s="14"/>
      <c r="P17" s="14" t="n">
        <f aca="false">ROUND(IF(D17=0,IF((N17-E17-O17)&gt;0,(N17-E17-O17),0),IF((D17+N17-O17)&gt;0,(D17+N17-O17),0)),2)</f>
        <v>6930.79</v>
      </c>
      <c r="Q17" s="14" t="n">
        <f aca="false">ROUND(IF(E17=0,IF((D17+N17-O17)&lt;0,ABS(D17+N17-O17),0),IF((N17-E17-O17)&lt;0,ABS(N17-E17-O17),0)),2)</f>
        <v>0</v>
      </c>
    </row>
    <row r="18" customFormat="false" ht="15" hidden="false" customHeight="true" outlineLevel="0" collapsed="false">
      <c r="A18" s="12" t="s">
        <v>51</v>
      </c>
      <c r="B18" s="12" t="str">
        <f aca="false">вересень!B18</f>
        <v>Петренко О.М.</v>
      </c>
      <c r="C18" s="12" t="s">
        <v>53</v>
      </c>
      <c r="D18" s="14" t="n">
        <f aca="false">вересень!P18</f>
        <v>2847.08</v>
      </c>
      <c r="E18" s="14" t="n">
        <f aca="false">вересень!Q18</f>
        <v>0</v>
      </c>
      <c r="F18" s="13" t="n">
        <f aca="false">вересень!F18</f>
        <v>0</v>
      </c>
      <c r="G18" s="13" t="n">
        <f aca="false">вересень!G18</f>
        <v>35.2</v>
      </c>
      <c r="H18" s="13" t="n">
        <f aca="false">вересень!H18</f>
        <v>0</v>
      </c>
      <c r="I18" s="13" t="n">
        <f aca="false">вересень!I18</f>
        <v>4.1</v>
      </c>
      <c r="J18" s="14" t="n">
        <f aca="false">ROUND(G18*I18,2)</f>
        <v>144.32</v>
      </c>
      <c r="K18" s="14"/>
      <c r="L18" s="14"/>
      <c r="M18" s="14"/>
      <c r="N18" s="14" t="n">
        <f aca="false">ROUND((G18*I18)-K18-L18-M18,2)</f>
        <v>144.32</v>
      </c>
      <c r="O18" s="14"/>
      <c r="P18" s="14" t="n">
        <f aca="false">ROUND(IF(D18=0,IF((N18-E18-O18)&gt;0,(N18-E18-O18),0),IF((D18+N18-O18)&gt;0,(D18+N18-O18),0)),2)</f>
        <v>2991.4</v>
      </c>
      <c r="Q18" s="14" t="n">
        <f aca="false">ROUND(IF(E18=0,IF((D18+N18-O18)&lt;0,ABS(D18+N18-O18),0),IF((N18-E18-O18)&lt;0,ABS(N18-E18-O18),0)),2)</f>
        <v>0</v>
      </c>
    </row>
    <row r="19" customFormat="false" ht="15" hidden="false" customHeight="true" outlineLevel="0" collapsed="false">
      <c r="A19" s="12" t="s">
        <v>54</v>
      </c>
      <c r="B19" s="12" t="str">
        <f aca="false">вересень!B19</f>
        <v>Зеленюк А.Д</v>
      </c>
      <c r="C19" s="12" t="s">
        <v>56</v>
      </c>
      <c r="D19" s="14" t="n">
        <f aca="false">вересень!P19</f>
        <v>14496.21</v>
      </c>
      <c r="E19" s="14" t="n">
        <f aca="false">вересень!Q19</f>
        <v>0</v>
      </c>
      <c r="F19" s="13" t="n">
        <f aca="false">вересень!F19</f>
        <v>0</v>
      </c>
      <c r="G19" s="13" t="n">
        <f aca="false">вересень!G19</f>
        <v>62.78</v>
      </c>
      <c r="H19" s="13" t="n">
        <f aca="false">вересень!H19</f>
        <v>0</v>
      </c>
      <c r="I19" s="13" t="n">
        <f aca="false">вересень!I19</f>
        <v>4.1</v>
      </c>
      <c r="J19" s="14" t="n">
        <f aca="false">ROUND(G19*I19,2)</f>
        <v>257.4</v>
      </c>
      <c r="K19" s="14"/>
      <c r="L19" s="14"/>
      <c r="M19" s="14"/>
      <c r="N19" s="14" t="n">
        <f aca="false">ROUND((G19*I19)-K19-L19-M19,2)</f>
        <v>257.4</v>
      </c>
      <c r="O19" s="14"/>
      <c r="P19" s="14" t="n">
        <f aca="false">ROUND(IF(D19=0,IF((N19-E19-O19)&gt;0,(N19-E19-O19),0),IF((D19+N19-O19)&gt;0,(D19+N19-O19),0)),2)</f>
        <v>14753.61</v>
      </c>
      <c r="Q19" s="14" t="n">
        <f aca="false">ROUND(IF(E19=0,IF((D19+N19-O19)&lt;0,ABS(D19+N19-O19),0),IF((N19-E19-O19)&lt;0,ABS(N19-E19-O19),0)),2)</f>
        <v>0</v>
      </c>
    </row>
    <row r="20" customFormat="false" ht="15" hidden="false" customHeight="true" outlineLevel="0" collapsed="false">
      <c r="A20" s="12" t="s">
        <v>57</v>
      </c>
      <c r="B20" s="12" t="str">
        <f aca="false">вересень!B20</f>
        <v>Вовк І.В</v>
      </c>
      <c r="C20" s="12" t="s">
        <v>59</v>
      </c>
      <c r="D20" s="14" t="n">
        <f aca="false">вересень!P20</f>
        <v>6240.72</v>
      </c>
      <c r="E20" s="14" t="n">
        <f aca="false">вересень!Q20</f>
        <v>0</v>
      </c>
      <c r="F20" s="13" t="n">
        <f aca="false">вересень!F20</f>
        <v>0</v>
      </c>
      <c r="G20" s="13" t="n">
        <f aca="false">вересень!G20</f>
        <v>28.23</v>
      </c>
      <c r="H20" s="13" t="n">
        <f aca="false">вересень!H20</f>
        <v>0</v>
      </c>
      <c r="I20" s="13" t="n">
        <f aca="false">вересень!I20</f>
        <v>4.1</v>
      </c>
      <c r="J20" s="14" t="n">
        <f aca="false">ROUND(G20*I20,2)</f>
        <v>115.74</v>
      </c>
      <c r="K20" s="14"/>
      <c r="L20" s="14"/>
      <c r="M20" s="14"/>
      <c r="N20" s="14" t="n">
        <f aca="false">ROUND((G20*I20)-K20-L20-M20,2)</f>
        <v>115.74</v>
      </c>
      <c r="O20" s="14"/>
      <c r="P20" s="14" t="n">
        <f aca="false">ROUND(IF(D20=0,IF((N20-E20-O20)&gt;0,(N20-E20-O20),0),IF((D20+N20-O20)&gt;0,(D20+N20-O20),0)),2)</f>
        <v>6356.46</v>
      </c>
      <c r="Q20" s="14" t="n">
        <f aca="false">ROUND(IF(E20=0,IF((D20+N20-O20)&lt;0,ABS(D20+N20-O20),0),IF((N20-E20-O20)&lt;0,ABS(N20-E20-O20),0)),2)</f>
        <v>0</v>
      </c>
    </row>
    <row r="21" customFormat="false" ht="15" hidden="false" customHeight="true" outlineLevel="0" collapsed="false">
      <c r="A21" s="12" t="s">
        <v>57</v>
      </c>
      <c r="B21" s="12" t="str">
        <f aca="false">вересень!B21</f>
        <v>Романовський В.М</v>
      </c>
      <c r="C21" s="12" t="s">
        <v>61</v>
      </c>
      <c r="D21" s="14" t="n">
        <f aca="false">вересень!P21</f>
        <v>6847.94</v>
      </c>
      <c r="E21" s="14" t="n">
        <f aca="false">вересень!Q21</f>
        <v>0</v>
      </c>
      <c r="F21" s="13" t="n">
        <f aca="false">вересень!F21</f>
        <v>0</v>
      </c>
      <c r="G21" s="13" t="n">
        <f aca="false">вересень!G21</f>
        <v>37.84</v>
      </c>
      <c r="H21" s="13" t="n">
        <f aca="false">вересень!H21</f>
        <v>0</v>
      </c>
      <c r="I21" s="13" t="n">
        <f aca="false">вересень!I21</f>
        <v>4.1</v>
      </c>
      <c r="J21" s="14" t="n">
        <f aca="false">ROUND(G21*I21,2)</f>
        <v>155.14</v>
      </c>
      <c r="K21" s="14"/>
      <c r="L21" s="14"/>
      <c r="M21" s="14"/>
      <c r="N21" s="14" t="n">
        <f aca="false">ROUND((G21*I21)-K21-L21-M21,2)</f>
        <v>155.14</v>
      </c>
      <c r="O21" s="14"/>
      <c r="P21" s="14" t="n">
        <f aca="false">ROUND(IF(D21=0,IF((N21-E21-O21)&gt;0,(N21-E21-O21),0),IF((D21+N21-O21)&gt;0,(D21+N21-O21),0)),2)</f>
        <v>7003.08</v>
      </c>
      <c r="Q21" s="14" t="n">
        <f aca="false">ROUND(IF(E21=0,IF((D21+N21-O21)&lt;0,ABS(D21+N21-O21),0),IF((N21-E21-O21)&lt;0,ABS(N21-E21-O21),0)),2)</f>
        <v>0</v>
      </c>
    </row>
    <row r="22" customFormat="false" ht="15" hidden="false" customHeight="true" outlineLevel="0" collapsed="false">
      <c r="A22" s="12" t="s">
        <v>62</v>
      </c>
      <c r="B22" s="12" t="str">
        <f aca="false">вересень!B22</f>
        <v>Ряба Л.І</v>
      </c>
      <c r="C22" s="12" t="s">
        <v>64</v>
      </c>
      <c r="D22" s="14" t="n">
        <f aca="false">вересень!P22</f>
        <v>1883.48</v>
      </c>
      <c r="E22" s="14" t="n">
        <f aca="false">вересень!Q22</f>
        <v>0</v>
      </c>
      <c r="F22" s="13" t="n">
        <f aca="false">вересень!F22</f>
        <v>0</v>
      </c>
      <c r="G22" s="13" t="n">
        <f aca="false">вересень!G22</f>
        <v>49.24</v>
      </c>
      <c r="H22" s="13" t="n">
        <f aca="false">вересень!H22</f>
        <v>0</v>
      </c>
      <c r="I22" s="13" t="n">
        <f aca="false">вересень!I22</f>
        <v>4.1</v>
      </c>
      <c r="J22" s="14" t="n">
        <f aca="false">ROUND(G22*I22,2)</f>
        <v>201.88</v>
      </c>
      <c r="K22" s="14"/>
      <c r="L22" s="14"/>
      <c r="M22" s="14"/>
      <c r="N22" s="14" t="n">
        <f aca="false">ROUND((G22*I22)-K22-L22-M22,2)</f>
        <v>201.88</v>
      </c>
      <c r="O22" s="14"/>
      <c r="P22" s="14" t="n">
        <f aca="false">ROUND(IF(D22=0,IF((N22-E22-O22)&gt;0,(N22-E22-O22),0),IF((D22+N22-O22)&gt;0,(D22+N22-O22),0)),2)</f>
        <v>2085.36</v>
      </c>
      <c r="Q22" s="14" t="n">
        <f aca="false">ROUND(IF(E22=0,IF((D22+N22-O22)&lt;0,ABS(D22+N22-O22),0),IF((N22-E22-O22)&lt;0,ABS(N22-E22-O22),0)),2)</f>
        <v>0</v>
      </c>
    </row>
    <row r="23" customFormat="false" ht="15" hidden="false" customHeight="true" outlineLevel="0" collapsed="false">
      <c r="A23" s="12" t="s">
        <v>65</v>
      </c>
      <c r="B23" s="12" t="str">
        <f aca="false">вересень!B23</f>
        <v>Кас'янова О.А.</v>
      </c>
      <c r="C23" s="12" t="s">
        <v>67</v>
      </c>
      <c r="D23" s="14" t="n">
        <f aca="false">вересень!P23</f>
        <v>1730.99</v>
      </c>
      <c r="E23" s="14" t="n">
        <f aca="false">вересень!Q23</f>
        <v>0</v>
      </c>
      <c r="F23" s="13" t="n">
        <f aca="false">вересень!F23</f>
        <v>0</v>
      </c>
      <c r="G23" s="13" t="n">
        <f aca="false">вересень!G23</f>
        <v>35.1</v>
      </c>
      <c r="H23" s="13" t="n">
        <f aca="false">вересень!H23</f>
        <v>0</v>
      </c>
      <c r="I23" s="13" t="n">
        <f aca="false">вересень!I23</f>
        <v>4.1</v>
      </c>
      <c r="J23" s="14" t="n">
        <f aca="false">ROUND(G23*I23,2)</f>
        <v>143.91</v>
      </c>
      <c r="K23" s="14"/>
      <c r="L23" s="14"/>
      <c r="M23" s="14"/>
      <c r="N23" s="14" t="n">
        <f aca="false">ROUND((G23*I23)-K23-L23-M23,2)</f>
        <v>143.91</v>
      </c>
      <c r="O23" s="14"/>
      <c r="P23" s="14" t="n">
        <f aca="false">ROUND(IF(D23=0,IF((N23-E23-O23)&gt;0,(N23-E23-O23),0),IF((D23+N23-O23)&gt;0,(D23+N23-O23),0)),2)</f>
        <v>1874.9</v>
      </c>
      <c r="Q23" s="14" t="n">
        <f aca="false">ROUND(IF(E23=0,IF((D23+N23-O23)&lt;0,ABS(D23+N23-O23),0),IF((N23-E23-O23)&lt;0,ABS(N23-E23-O23),0)),2)</f>
        <v>0</v>
      </c>
    </row>
    <row r="24" customFormat="false" ht="15" hidden="false" customHeight="true" outlineLevel="0" collapsed="false">
      <c r="A24" s="12" t="s">
        <v>68</v>
      </c>
      <c r="B24" s="12" t="str">
        <f aca="false">вересень!B24</f>
        <v>Корякіна М.В.</v>
      </c>
      <c r="C24" s="12" t="s">
        <v>70</v>
      </c>
      <c r="D24" s="14" t="n">
        <f aca="false">вересень!P24</f>
        <v>6984.11</v>
      </c>
      <c r="E24" s="14" t="n">
        <f aca="false">вересень!Q24</f>
        <v>0</v>
      </c>
      <c r="F24" s="13" t="n">
        <f aca="false">вересень!F24</f>
        <v>0</v>
      </c>
      <c r="G24" s="13" t="n">
        <f aca="false">вересень!G24</f>
        <v>61.9</v>
      </c>
      <c r="H24" s="13" t="n">
        <f aca="false">вересень!H24</f>
        <v>0</v>
      </c>
      <c r="I24" s="13" t="n">
        <f aca="false">вересень!I24</f>
        <v>4.1</v>
      </c>
      <c r="J24" s="14" t="n">
        <f aca="false">ROUND(G24*I24,2)</f>
        <v>253.79</v>
      </c>
      <c r="K24" s="14"/>
      <c r="L24" s="14"/>
      <c r="M24" s="14"/>
      <c r="N24" s="14" t="n">
        <f aca="false">ROUND((G24*I24)-K24-L24-M24,2)</f>
        <v>253.79</v>
      </c>
      <c r="O24" s="14"/>
      <c r="P24" s="14" t="n">
        <f aca="false">ROUND(IF(D24=0,IF((N24-E24-O24)&gt;0,(N24-E24-O24),0),IF((D24+N24-O24)&gt;0,(D24+N24-O24),0)),2)</f>
        <v>7237.9</v>
      </c>
      <c r="Q24" s="14" t="n">
        <f aca="false">ROUND(IF(E24=0,IF((D24+N24-O24)&lt;0,ABS(D24+N24-O24),0),IF((N24-E24-O24)&lt;0,ABS(N24-E24-O24),0)),2)</f>
        <v>0</v>
      </c>
    </row>
    <row r="25" customFormat="false" ht="15" hidden="false" customHeight="true" outlineLevel="0" collapsed="false">
      <c r="A25" s="12" t="s">
        <v>71</v>
      </c>
      <c r="B25" s="12" t="str">
        <f aca="false">вересень!B25</f>
        <v>Сокерчак А.В.</v>
      </c>
      <c r="C25" s="12" t="s">
        <v>73</v>
      </c>
      <c r="D25" s="14" t="n">
        <f aca="false">вересень!P25</f>
        <v>2718.3</v>
      </c>
      <c r="E25" s="14" t="n">
        <f aca="false">вересень!Q25</f>
        <v>0</v>
      </c>
      <c r="F25" s="13" t="n">
        <f aca="false">вересень!F25</f>
        <v>0</v>
      </c>
      <c r="G25" s="13" t="n">
        <f aca="false">вересень!G25</f>
        <v>66.3</v>
      </c>
      <c r="H25" s="13" t="n">
        <f aca="false">вересень!H25</f>
        <v>0</v>
      </c>
      <c r="I25" s="13" t="n">
        <f aca="false">вересень!I25</f>
        <v>4.1</v>
      </c>
      <c r="J25" s="14" t="n">
        <f aca="false">ROUND(G25*I25,2)</f>
        <v>271.83</v>
      </c>
      <c r="K25" s="14"/>
      <c r="L25" s="14"/>
      <c r="M25" s="14"/>
      <c r="N25" s="14" t="n">
        <f aca="false">ROUND((G25*I25)-K25-L25-M25,2)</f>
        <v>271.83</v>
      </c>
      <c r="O25" s="14"/>
      <c r="P25" s="14" t="n">
        <f aca="false">ROUND(IF(D25=0,IF((N25-E25-O25)&gt;0,(N25-E25-O25),0),IF((D25+N25-O25)&gt;0,(D25+N25-O25),0)),2)</f>
        <v>2990.13</v>
      </c>
      <c r="Q25" s="14" t="n">
        <f aca="false">ROUND(IF(E25=0,IF((D25+N25-O25)&lt;0,ABS(D25+N25-O25),0),IF((N25-E25-O25)&lt;0,ABS(N25-E25-O25),0)),2)</f>
        <v>0</v>
      </c>
    </row>
    <row r="26" customFormat="false" ht="15" hidden="false" customHeight="true" outlineLevel="0" collapsed="false">
      <c r="A26" s="12" t="s">
        <v>74</v>
      </c>
      <c r="B26" s="12" t="str">
        <f aca="false">вересень!B26</f>
        <v>Кравченко В.А</v>
      </c>
      <c r="C26" s="12" t="s">
        <v>76</v>
      </c>
      <c r="D26" s="14" t="n">
        <f aca="false">вересень!P26</f>
        <v>1899.63</v>
      </c>
      <c r="E26" s="14" t="n">
        <f aca="false">вересень!Q26</f>
        <v>0</v>
      </c>
      <c r="F26" s="13" t="n">
        <f aca="false">вересень!F26</f>
        <v>0</v>
      </c>
      <c r="G26" s="13" t="n">
        <f aca="false">вересень!G26</f>
        <v>51.48</v>
      </c>
      <c r="H26" s="13" t="n">
        <f aca="false">вересень!H26</f>
        <v>0</v>
      </c>
      <c r="I26" s="13" t="n">
        <f aca="false">вересень!I26</f>
        <v>4.1</v>
      </c>
      <c r="J26" s="14" t="n">
        <f aca="false">ROUND(G26*I26,2)</f>
        <v>211.07</v>
      </c>
      <c r="K26" s="14"/>
      <c r="L26" s="14"/>
      <c r="M26" s="14"/>
      <c r="N26" s="14" t="n">
        <f aca="false">ROUND((G26*I26)-K26-L26-M26,2)</f>
        <v>211.07</v>
      </c>
      <c r="O26" s="14"/>
      <c r="P26" s="14" t="n">
        <f aca="false">ROUND(IF(D26=0,IF((N26-E26-O26)&gt;0,(N26-E26-O26),0),IF((D26+N26-O26)&gt;0,(D26+N26-O26),0)),2)</f>
        <v>2110.7</v>
      </c>
      <c r="Q26" s="14" t="n">
        <f aca="false">ROUND(IF(E26=0,IF((D26+N26-O26)&lt;0,ABS(D26+N26-O26),0),IF((N26-E26-O26)&lt;0,ABS(N26-E26-O26),0)),2)</f>
        <v>0</v>
      </c>
    </row>
    <row r="27" customFormat="false" ht="15" hidden="false" customHeight="true" outlineLevel="0" collapsed="false">
      <c r="A27" s="12" t="s">
        <v>77</v>
      </c>
      <c r="B27" s="12" t="str">
        <f aca="false">вересень!B27</f>
        <v>Чичикало А.С</v>
      </c>
      <c r="C27" s="12" t="s">
        <v>79</v>
      </c>
      <c r="D27" s="14" t="n">
        <f aca="false">вересень!P27</f>
        <v>724.33</v>
      </c>
      <c r="E27" s="14" t="n">
        <f aca="false">вересень!Q27</f>
        <v>0</v>
      </c>
      <c r="F27" s="13" t="n">
        <f aca="false">вересень!F27</f>
        <v>0</v>
      </c>
      <c r="G27" s="13" t="n">
        <f aca="false">вересень!G27</f>
        <v>35.1</v>
      </c>
      <c r="H27" s="13" t="n">
        <f aca="false">вересень!H27</f>
        <v>0</v>
      </c>
      <c r="I27" s="13" t="n">
        <f aca="false">вересень!I27</f>
        <v>4.1</v>
      </c>
      <c r="J27" s="14" t="n">
        <f aca="false">ROUND(G27*I27,2)</f>
        <v>143.91</v>
      </c>
      <c r="K27" s="14"/>
      <c r="L27" s="14"/>
      <c r="M27" s="14"/>
      <c r="N27" s="14" t="n">
        <f aca="false">ROUND((G27*I27)-K27-L27-M27,2)</f>
        <v>143.91</v>
      </c>
      <c r="O27" s="14"/>
      <c r="P27" s="14" t="n">
        <f aca="false">ROUND(IF(D27=0,IF((N27-E27-O27)&gt;0,(N27-E27-O27),0),IF((D27+N27-O27)&gt;0,(D27+N27-O27),0)),2)</f>
        <v>868.24</v>
      </c>
      <c r="Q27" s="14" t="n">
        <f aca="false">ROUND(IF(E27=0,IF((D27+N27-O27)&lt;0,ABS(D27+N27-O27),0),IF((N27-E27-O27)&lt;0,ABS(N27-E27-O27),0)),2)</f>
        <v>0</v>
      </c>
    </row>
    <row r="28" customFormat="false" ht="15" hidden="false" customHeight="true" outlineLevel="0" collapsed="false">
      <c r="A28" s="12" t="s">
        <v>80</v>
      </c>
      <c r="B28" s="12" t="str">
        <f aca="false">вересень!B28</f>
        <v>Сільващук А.А</v>
      </c>
      <c r="C28" s="12" t="s">
        <v>82</v>
      </c>
      <c r="D28" s="14" t="n">
        <f aca="false">вересень!P28</f>
        <v>2313.63</v>
      </c>
      <c r="E28" s="14" t="n">
        <f aca="false">вересень!Q28</f>
        <v>0</v>
      </c>
      <c r="F28" s="13" t="n">
        <f aca="false">вересень!F28</f>
        <v>0</v>
      </c>
      <c r="G28" s="13" t="n">
        <f aca="false">вересень!G28</f>
        <v>62.7</v>
      </c>
      <c r="H28" s="13" t="n">
        <f aca="false">вересень!H28</f>
        <v>0</v>
      </c>
      <c r="I28" s="13" t="n">
        <f aca="false">вересень!I28</f>
        <v>4.1</v>
      </c>
      <c r="J28" s="14" t="n">
        <f aca="false">ROUND(G28*I28,2)</f>
        <v>257.07</v>
      </c>
      <c r="K28" s="14"/>
      <c r="L28" s="14"/>
      <c r="M28" s="14"/>
      <c r="N28" s="14" t="n">
        <f aca="false">ROUND((G28*I28)-K28-L28-M28,2)</f>
        <v>257.07</v>
      </c>
      <c r="O28" s="14"/>
      <c r="P28" s="14" t="n">
        <f aca="false">ROUND(IF(D28=0,IF((N28-E28-O28)&gt;0,(N28-E28-O28),0),IF((D28+N28-O28)&gt;0,(D28+N28-O28),0)),2)</f>
        <v>2570.7</v>
      </c>
      <c r="Q28" s="14" t="n">
        <f aca="false">ROUND(IF(E28=0,IF((D28+N28-O28)&lt;0,ABS(D28+N28-O28),0),IF((N28-E28-O28)&lt;0,ABS(N28-E28-O28),0)),2)</f>
        <v>0</v>
      </c>
    </row>
    <row r="29" customFormat="false" ht="15" hidden="false" customHeight="true" outlineLevel="0" collapsed="false">
      <c r="A29" s="12" t="s">
        <v>83</v>
      </c>
      <c r="B29" s="12" t="str">
        <f aca="false">вересень!B29</f>
        <v>Стеценко Г.М</v>
      </c>
      <c r="C29" s="12" t="s">
        <v>85</v>
      </c>
      <c r="D29" s="14" t="n">
        <f aca="false">вересень!P29</f>
        <v>2678.1</v>
      </c>
      <c r="E29" s="14" t="n">
        <f aca="false">вересень!Q29</f>
        <v>0</v>
      </c>
      <c r="F29" s="13" t="n">
        <f aca="false">вересень!F29</f>
        <v>0</v>
      </c>
      <c r="G29" s="13" t="n">
        <f aca="false">вересень!G29</f>
        <v>65.32</v>
      </c>
      <c r="H29" s="13" t="n">
        <f aca="false">вересень!H29</f>
        <v>0</v>
      </c>
      <c r="I29" s="13" t="n">
        <f aca="false">вересень!I29</f>
        <v>4.1</v>
      </c>
      <c r="J29" s="14" t="n">
        <f aca="false">ROUND(G29*I29,2)</f>
        <v>267.81</v>
      </c>
      <c r="K29" s="14"/>
      <c r="L29" s="14"/>
      <c r="M29" s="14"/>
      <c r="N29" s="14" t="n">
        <f aca="false">ROUND((G29*I29)-K29-L29-M29,2)</f>
        <v>267.81</v>
      </c>
      <c r="O29" s="14"/>
      <c r="P29" s="14" t="n">
        <f aca="false">ROUND(IF(D29=0,IF((N29-E29-O29)&gt;0,(N29-E29-O29),0),IF((D29+N29-O29)&gt;0,(D29+N29-O29),0)),2)</f>
        <v>2945.91</v>
      </c>
      <c r="Q29" s="14" t="n">
        <f aca="false">ROUND(IF(E29=0,IF((D29+N29-O29)&lt;0,ABS(D29+N29-O29),0),IF((N29-E29-O29)&lt;0,ABS(N29-E29-O29),0)),2)</f>
        <v>0</v>
      </c>
    </row>
    <row r="30" customFormat="false" ht="15" hidden="false" customHeight="true" outlineLevel="0" collapsed="false">
      <c r="A30" s="12" t="s">
        <v>86</v>
      </c>
      <c r="B30" s="12" t="str">
        <f aca="false">вересень!B30</f>
        <v>Кирдячкіна П.А</v>
      </c>
      <c r="C30" s="12" t="s">
        <v>88</v>
      </c>
      <c r="D30" s="14" t="n">
        <f aca="false">вересень!P30</f>
        <v>1783.41</v>
      </c>
      <c r="E30" s="14" t="n">
        <f aca="false">вересень!Q30</f>
        <v>0</v>
      </c>
      <c r="F30" s="13" t="n">
        <f aca="false">вересень!F30</f>
        <v>0</v>
      </c>
      <c r="G30" s="13" t="n">
        <f aca="false">вересень!G30</f>
        <v>49.7</v>
      </c>
      <c r="H30" s="13" t="n">
        <f aca="false">вересень!H30</f>
        <v>0</v>
      </c>
      <c r="I30" s="13" t="n">
        <f aca="false">вересень!I30</f>
        <v>4.1</v>
      </c>
      <c r="J30" s="14" t="n">
        <f aca="false">ROUND(G30*I30,2)</f>
        <v>203.77</v>
      </c>
      <c r="K30" s="14"/>
      <c r="L30" s="14"/>
      <c r="M30" s="14"/>
      <c r="N30" s="14" t="n">
        <f aca="false">ROUND((G30*I30)-K30-L30-M30,2)</f>
        <v>203.77</v>
      </c>
      <c r="O30" s="14"/>
      <c r="P30" s="14" t="n">
        <f aca="false">ROUND(IF(D30=0,IF((N30-E30-O30)&gt;0,(N30-E30-O30),0),IF((D30+N30-O30)&gt;0,(D30+N30-O30),0)),2)</f>
        <v>1987.18</v>
      </c>
      <c r="Q30" s="14" t="n">
        <f aca="false">ROUND(IF(E30=0,IF((D30+N30-O30)&lt;0,ABS(D30+N30-O30),0),IF((N30-E30-O30)&lt;0,ABS(N30-E30-O30),0)),2)</f>
        <v>0</v>
      </c>
    </row>
    <row r="31" customFormat="false" ht="15" hidden="false" customHeight="true" outlineLevel="0" collapsed="false">
      <c r="A31" s="12" t="s">
        <v>89</v>
      </c>
      <c r="B31" s="12" t="str">
        <f aca="false">вересень!B31</f>
        <v>Фоміченко Л.А</v>
      </c>
      <c r="C31" s="12" t="s">
        <v>91</v>
      </c>
      <c r="D31" s="14" t="n">
        <f aca="false">вересень!P31</f>
        <v>4975.95</v>
      </c>
      <c r="E31" s="14" t="n">
        <f aca="false">вересень!Q31</f>
        <v>0</v>
      </c>
      <c r="F31" s="13" t="n">
        <f aca="false">вересень!F31</f>
        <v>0</v>
      </c>
      <c r="G31" s="13" t="n">
        <f aca="false">вересень!G31</f>
        <v>35.1</v>
      </c>
      <c r="H31" s="13" t="n">
        <f aca="false">вересень!H31</f>
        <v>0</v>
      </c>
      <c r="I31" s="13" t="n">
        <f aca="false">вересень!I31</f>
        <v>4.1</v>
      </c>
      <c r="J31" s="14" t="n">
        <f aca="false">ROUND(G31*I31,2)</f>
        <v>143.91</v>
      </c>
      <c r="K31" s="14"/>
      <c r="L31" s="14"/>
      <c r="M31" s="14"/>
      <c r="N31" s="14" t="n">
        <f aca="false">ROUND((G31*I31)-K31-L31-M31,2)</f>
        <v>143.91</v>
      </c>
      <c r="O31" s="14"/>
      <c r="P31" s="14" t="n">
        <f aca="false">ROUND(IF(D31=0,IF((N31-E31-O31)&gt;0,(N31-E31-O31),0),IF((D31+N31-O31)&gt;0,(D31+N31-O31),0)),2)</f>
        <v>5119.86</v>
      </c>
      <c r="Q31" s="14" t="n">
        <f aca="false">ROUND(IF(E31=0,IF((D31+N31-O31)&lt;0,ABS(D31+N31-O31),0),IF((N31-E31-O31)&lt;0,ABS(N31-E31-O31),0)),2)</f>
        <v>0</v>
      </c>
    </row>
    <row r="32" customFormat="false" ht="15" hidden="false" customHeight="true" outlineLevel="0" collapsed="false">
      <c r="A32" s="12" t="s">
        <v>92</v>
      </c>
      <c r="B32" s="12" t="str">
        <f aca="false">вересень!B32</f>
        <v>Сердюк А.Г</v>
      </c>
      <c r="C32" s="12" t="s">
        <v>94</v>
      </c>
      <c r="D32" s="14" t="n">
        <f aca="false">вересень!P32</f>
        <v>2554.65</v>
      </c>
      <c r="E32" s="14" t="n">
        <f aca="false">вересень!Q32</f>
        <v>0</v>
      </c>
      <c r="F32" s="13" t="n">
        <f aca="false">вересень!F32</f>
        <v>0</v>
      </c>
      <c r="G32" s="13" t="n">
        <f aca="false">вересень!G32</f>
        <v>62.31</v>
      </c>
      <c r="H32" s="13" t="n">
        <f aca="false">вересень!H32</f>
        <v>0</v>
      </c>
      <c r="I32" s="13" t="n">
        <f aca="false">вересень!I32</f>
        <v>4.1</v>
      </c>
      <c r="J32" s="14" t="n">
        <f aca="false">ROUND(G32*I32,2)</f>
        <v>255.47</v>
      </c>
      <c r="K32" s="14"/>
      <c r="L32" s="14"/>
      <c r="M32" s="14"/>
      <c r="N32" s="14" t="n">
        <f aca="false">ROUND((G32*I32)-K32-L32-M32,2)</f>
        <v>255.47</v>
      </c>
      <c r="O32" s="14"/>
      <c r="P32" s="14" t="n">
        <f aca="false">ROUND(IF(D32=0,IF((N32-E32-O32)&gt;0,(N32-E32-O32),0),IF((D32+N32-O32)&gt;0,(D32+N32-O32),0)),2)</f>
        <v>2810.12</v>
      </c>
      <c r="Q32" s="14" t="n">
        <f aca="false">ROUND(IF(E32=0,IF((D32+N32-O32)&lt;0,ABS(D32+N32-O32),0),IF((N32-E32-O32)&lt;0,ABS(N32-E32-O32),0)),2)</f>
        <v>0</v>
      </c>
    </row>
    <row r="33" customFormat="false" ht="15" hidden="false" customHeight="true" outlineLevel="0" collapsed="false">
      <c r="A33" s="12" t="s">
        <v>95</v>
      </c>
      <c r="B33" s="12" t="str">
        <f aca="false">вересень!B33</f>
        <v>Михальченко Г.М</v>
      </c>
      <c r="C33" s="12" t="s">
        <v>97</v>
      </c>
      <c r="D33" s="14" t="n">
        <f aca="false">вересень!P33</f>
        <v>14787.18</v>
      </c>
      <c r="E33" s="14" t="n">
        <f aca="false">вересень!Q33</f>
        <v>0</v>
      </c>
      <c r="F33" s="13" t="n">
        <f aca="false">вересень!F33</f>
        <v>0</v>
      </c>
      <c r="G33" s="13" t="n">
        <f aca="false">вересень!G33</f>
        <v>65.04</v>
      </c>
      <c r="H33" s="13" t="n">
        <f aca="false">вересень!H33</f>
        <v>0</v>
      </c>
      <c r="I33" s="13" t="n">
        <f aca="false">вересень!I33</f>
        <v>4.1</v>
      </c>
      <c r="J33" s="14" t="n">
        <f aca="false">ROUND(G33*I33,2)</f>
        <v>266.66</v>
      </c>
      <c r="K33" s="14"/>
      <c r="L33" s="14"/>
      <c r="M33" s="14"/>
      <c r="N33" s="14" t="n">
        <f aca="false">ROUND((G33*I33)-K33-L33-M33,2)</f>
        <v>266.66</v>
      </c>
      <c r="O33" s="14"/>
      <c r="P33" s="14" t="n">
        <f aca="false">ROUND(IF(D33=0,IF((N33-E33-O33)&gt;0,(N33-E33-O33),0),IF((D33+N33-O33)&gt;0,(D33+N33-O33),0)),2)</f>
        <v>15053.84</v>
      </c>
      <c r="Q33" s="14" t="n">
        <f aca="false">ROUND(IF(E33=0,IF((D33+N33-O33)&lt;0,ABS(D33+N33-O33),0),IF((N33-E33-O33)&lt;0,ABS(N33-E33-O33),0)),2)</f>
        <v>0</v>
      </c>
    </row>
    <row r="34" customFormat="false" ht="15" hidden="false" customHeight="true" outlineLevel="0" collapsed="false">
      <c r="A34" s="12" t="s">
        <v>98</v>
      </c>
      <c r="B34" s="12" t="str">
        <f aca="false">вересень!B34</f>
        <v>Замуховська Я.С</v>
      </c>
      <c r="C34" s="12" t="s">
        <v>100</v>
      </c>
      <c r="D34" s="14" t="n">
        <f aca="false">вересень!P34</f>
        <v>2245.98</v>
      </c>
      <c r="E34" s="14" t="n">
        <f aca="false">вересень!Q34</f>
        <v>0</v>
      </c>
      <c r="F34" s="13" t="n">
        <f aca="false">вересень!F34</f>
        <v>0</v>
      </c>
      <c r="G34" s="13" t="n">
        <f aca="false">вересень!G34</f>
        <v>49.8</v>
      </c>
      <c r="H34" s="13" t="n">
        <f aca="false">вересень!H34</f>
        <v>0</v>
      </c>
      <c r="I34" s="13" t="n">
        <f aca="false">вересень!I34</f>
        <v>4.1</v>
      </c>
      <c r="J34" s="14" t="n">
        <f aca="false">ROUND(G34*I34,2)</f>
        <v>204.18</v>
      </c>
      <c r="K34" s="14"/>
      <c r="L34" s="14"/>
      <c r="M34" s="14"/>
      <c r="N34" s="14" t="n">
        <f aca="false">ROUND((G34*I34)-K34-L34-M34,2)</f>
        <v>204.18</v>
      </c>
      <c r="O34" s="14"/>
      <c r="P34" s="14" t="n">
        <f aca="false">ROUND(IF(D34=0,IF((N34-E34-O34)&gt;0,(N34-E34-O34),0),IF((D34+N34-O34)&gt;0,(D34+N34-O34),0)),2)</f>
        <v>2450.16</v>
      </c>
      <c r="Q34" s="14" t="n">
        <f aca="false">ROUND(IF(E34=0,IF((D34+N34-O34)&lt;0,ABS(D34+N34-O34),0),IF((N34-E34-O34)&lt;0,ABS(N34-E34-O34),0)),2)</f>
        <v>0</v>
      </c>
    </row>
    <row r="35" customFormat="false" ht="15" hidden="false" customHeight="true" outlineLevel="0" collapsed="false">
      <c r="A35" s="12" t="s">
        <v>101</v>
      </c>
      <c r="B35" s="12" t="str">
        <f aca="false">вересень!B35</f>
        <v>Мержиєвська Г.К</v>
      </c>
      <c r="C35" s="12" t="s">
        <v>103</v>
      </c>
      <c r="D35" s="14" t="n">
        <f aca="false">вересень!P35</f>
        <v>1586.2</v>
      </c>
      <c r="E35" s="14" t="n">
        <f aca="false">вересень!Q35</f>
        <v>0</v>
      </c>
      <c r="F35" s="13" t="n">
        <f aca="false">вересень!F35</f>
        <v>0</v>
      </c>
      <c r="G35" s="13" t="n">
        <f aca="false">вересень!G35</f>
        <v>35.17</v>
      </c>
      <c r="H35" s="13" t="n">
        <f aca="false">вересень!H35</f>
        <v>0</v>
      </c>
      <c r="I35" s="13" t="n">
        <f aca="false">вересень!I35</f>
        <v>4.1</v>
      </c>
      <c r="J35" s="14" t="n">
        <f aca="false">ROUND(G35*I35,2)</f>
        <v>144.2</v>
      </c>
      <c r="K35" s="14"/>
      <c r="L35" s="14"/>
      <c r="M35" s="14"/>
      <c r="N35" s="14" t="n">
        <f aca="false">ROUND((G35*I35)-K35-L35-M35,2)</f>
        <v>144.2</v>
      </c>
      <c r="O35" s="14"/>
      <c r="P35" s="14" t="n">
        <f aca="false">ROUND(IF(D35=0,IF((N35-E35-O35)&gt;0,(N35-E35-O35),0),IF((D35+N35-O35)&gt;0,(D35+N35-O35),0)),2)</f>
        <v>1730.4</v>
      </c>
      <c r="Q35" s="14" t="n">
        <f aca="false">ROUND(IF(E35=0,IF((D35+N35-O35)&lt;0,ABS(D35+N35-O35),0),IF((N35-E35-O35)&lt;0,ABS(N35-E35-O35),0)),2)</f>
        <v>0</v>
      </c>
    </row>
    <row r="36" customFormat="false" ht="15" hidden="false" customHeight="true" outlineLevel="0" collapsed="false">
      <c r="A36" s="12" t="s">
        <v>104</v>
      </c>
      <c r="B36" s="12" t="str">
        <f aca="false">вересень!B36</f>
        <v>Кулакова Л.В.</v>
      </c>
      <c r="C36" s="12" t="s">
        <v>106</v>
      </c>
      <c r="D36" s="14" t="n">
        <f aca="false">вересень!P36</f>
        <v>2305.17</v>
      </c>
      <c r="E36" s="14" t="n">
        <f aca="false">вересень!Q36</f>
        <v>0</v>
      </c>
      <c r="F36" s="13" t="n">
        <f aca="false">вересень!F36</f>
        <v>0</v>
      </c>
      <c r="G36" s="13" t="n">
        <f aca="false">вересень!G36</f>
        <v>62.47</v>
      </c>
      <c r="H36" s="13" t="n">
        <f aca="false">вересень!H36</f>
        <v>0</v>
      </c>
      <c r="I36" s="13" t="n">
        <f aca="false">вересень!I36</f>
        <v>4.1</v>
      </c>
      <c r="J36" s="14" t="n">
        <f aca="false">ROUND(G36*I36,2)</f>
        <v>256.13</v>
      </c>
      <c r="K36" s="14"/>
      <c r="L36" s="14"/>
      <c r="M36" s="14"/>
      <c r="N36" s="14" t="n">
        <f aca="false">ROUND((G36*I36)-K36-L36-M36,2)</f>
        <v>256.13</v>
      </c>
      <c r="O36" s="14"/>
      <c r="P36" s="14" t="n">
        <f aca="false">ROUND(IF(D36=0,IF((N36-E36-O36)&gt;0,(N36-E36-O36),0),IF((D36+N36-O36)&gt;0,(D36+N36-O36),0)),2)</f>
        <v>2561.3</v>
      </c>
      <c r="Q36" s="14" t="n">
        <f aca="false">ROUND(IF(E36=0,IF((D36+N36-O36)&lt;0,ABS(D36+N36-O36),0),IF((N36-E36-O36)&lt;0,ABS(N36-E36-O36),0)),2)</f>
        <v>0</v>
      </c>
    </row>
    <row r="37" customFormat="false" ht="15" hidden="false" customHeight="true" outlineLevel="0" collapsed="false">
      <c r="A37" s="12" t="s">
        <v>107</v>
      </c>
      <c r="B37" s="12" t="str">
        <f aca="false">вересень!B37</f>
        <v>Бочаров В.Л.</v>
      </c>
      <c r="C37" s="12" t="s">
        <v>109</v>
      </c>
      <c r="D37" s="14" t="n">
        <f aca="false">вересень!P37</f>
        <v>9409.74</v>
      </c>
      <c r="E37" s="14" t="n">
        <f aca="false">вересень!Q37</f>
        <v>0</v>
      </c>
      <c r="F37" s="13" t="n">
        <f aca="false">вересень!F37</f>
        <v>0</v>
      </c>
      <c r="G37" s="13" t="n">
        <f aca="false">вересень!G37</f>
        <v>65.75</v>
      </c>
      <c r="H37" s="13" t="n">
        <f aca="false">вересень!H37</f>
        <v>0</v>
      </c>
      <c r="I37" s="13" t="n">
        <f aca="false">вересень!I37</f>
        <v>4.1</v>
      </c>
      <c r="J37" s="14" t="n">
        <f aca="false">ROUND(G37*I37,2)</f>
        <v>269.58</v>
      </c>
      <c r="K37" s="14"/>
      <c r="L37" s="14"/>
      <c r="M37" s="14"/>
      <c r="N37" s="14" t="n">
        <f aca="false">ROUND((G37*I37)-K37-L37-M37,2)</f>
        <v>269.58</v>
      </c>
      <c r="O37" s="14"/>
      <c r="P37" s="14" t="n">
        <f aca="false">ROUND(IF(D37=0,IF((N37-E37-O37)&gt;0,(N37-E37-O37),0),IF((D37+N37-O37)&gt;0,(D37+N37-O37),0)),2)</f>
        <v>9679.32</v>
      </c>
      <c r="Q37" s="14" t="n">
        <f aca="false">ROUND(IF(E37=0,IF((D37+N37-O37)&lt;0,ABS(D37+N37-O37),0),IF((N37-E37-O37)&lt;0,ABS(N37-E37-O37),0)),2)</f>
        <v>0</v>
      </c>
    </row>
    <row r="38" customFormat="false" ht="15" hidden="false" customHeight="true" outlineLevel="0" collapsed="false">
      <c r="A38" s="12" t="s">
        <v>110</v>
      </c>
      <c r="B38" s="12" t="str">
        <f aca="false">вересень!B38</f>
        <v>Лучков В.Л.</v>
      </c>
      <c r="C38" s="12" t="s">
        <v>112</v>
      </c>
      <c r="D38" s="14" t="n">
        <f aca="false">вересень!P38</f>
        <v>11402.48</v>
      </c>
      <c r="E38" s="14" t="n">
        <f aca="false">вересень!Q38</f>
        <v>0</v>
      </c>
      <c r="F38" s="13" t="n">
        <f aca="false">вересень!F38</f>
        <v>0</v>
      </c>
      <c r="G38" s="13" t="n">
        <f aca="false">вересень!G38</f>
        <v>49.7</v>
      </c>
      <c r="H38" s="13" t="n">
        <f aca="false">вересень!H38</f>
        <v>0</v>
      </c>
      <c r="I38" s="13" t="n">
        <f aca="false">вересень!I38</f>
        <v>4.1</v>
      </c>
      <c r="J38" s="14" t="n">
        <f aca="false">ROUND(G38*I38,2)</f>
        <v>203.77</v>
      </c>
      <c r="K38" s="14"/>
      <c r="L38" s="14"/>
      <c r="M38" s="14"/>
      <c r="N38" s="14" t="n">
        <f aca="false">ROUND((G38*I38)-K38-L38-M38,2)</f>
        <v>203.77</v>
      </c>
      <c r="O38" s="14"/>
      <c r="P38" s="14" t="n">
        <f aca="false">ROUND(IF(D38=0,IF((N38-E38-O38)&gt;0,(N38-E38-O38),0),IF((D38+N38-O38)&gt;0,(D38+N38-O38),0)),2)</f>
        <v>11606.25</v>
      </c>
      <c r="Q38" s="14" t="n">
        <f aca="false">ROUND(IF(E38=0,IF((D38+N38-O38)&lt;0,ABS(D38+N38-O38),0),IF((N38-E38-O38)&lt;0,ABS(N38-E38-O38),0)),2)</f>
        <v>0</v>
      </c>
    </row>
    <row r="39" customFormat="false" ht="15" hidden="false" customHeight="true" outlineLevel="0" collapsed="false">
      <c r="A39" s="12" t="s">
        <v>113</v>
      </c>
      <c r="B39" s="12" t="str">
        <f aca="false">вересень!B39</f>
        <v>Кашкар Т.М.</v>
      </c>
      <c r="C39" s="12" t="s">
        <v>115</v>
      </c>
      <c r="D39" s="14" t="n">
        <f aca="false">вересень!P39</f>
        <v>1295.19</v>
      </c>
      <c r="E39" s="14" t="n">
        <f aca="false">вересень!Q39</f>
        <v>0</v>
      </c>
      <c r="F39" s="13" t="n">
        <f aca="false">вересень!F39</f>
        <v>0</v>
      </c>
      <c r="G39" s="13" t="n">
        <f aca="false">вересень!G39</f>
        <v>35.1</v>
      </c>
      <c r="H39" s="13" t="n">
        <f aca="false">вересень!H39</f>
        <v>0</v>
      </c>
      <c r="I39" s="13" t="n">
        <f aca="false">вересень!I39</f>
        <v>4.1</v>
      </c>
      <c r="J39" s="14" t="n">
        <f aca="false">ROUND(G39*I39,2)</f>
        <v>143.91</v>
      </c>
      <c r="K39" s="14"/>
      <c r="L39" s="14"/>
      <c r="M39" s="14"/>
      <c r="N39" s="14" t="n">
        <f aca="false">ROUND((G39*I39)-K39-L39-M39,2)</f>
        <v>143.91</v>
      </c>
      <c r="O39" s="14"/>
      <c r="P39" s="14" t="n">
        <f aca="false">ROUND(IF(D39=0,IF((N39-E39-O39)&gt;0,(N39-E39-O39),0),IF((D39+N39-O39)&gt;0,(D39+N39-O39),0)),2)</f>
        <v>1439.1</v>
      </c>
      <c r="Q39" s="14" t="n">
        <f aca="false">ROUND(IF(E39=0,IF((D39+N39-O39)&lt;0,ABS(D39+N39-O39),0),IF((N39-E39-O39)&lt;0,ABS(N39-E39-O39),0)),2)</f>
        <v>0</v>
      </c>
    </row>
    <row r="40" customFormat="false" ht="15" hidden="false" customHeight="true" outlineLevel="0" collapsed="false">
      <c r="A40" s="12" t="s">
        <v>116</v>
      </c>
      <c r="B40" s="12" t="str">
        <f aca="false">вересень!B40</f>
        <v>Стецюк Н.П.</v>
      </c>
      <c r="C40" s="12" t="s">
        <v>118</v>
      </c>
      <c r="D40" s="14" t="n">
        <f aca="false">вересень!P40</f>
        <v>3202.22</v>
      </c>
      <c r="E40" s="14" t="n">
        <f aca="false">вересень!Q40</f>
        <v>0</v>
      </c>
      <c r="F40" s="13" t="n">
        <f aca="false">вересень!F40</f>
        <v>0</v>
      </c>
      <c r="G40" s="13" t="n">
        <f aca="false">вересень!G40</f>
        <v>61.9</v>
      </c>
      <c r="H40" s="13" t="n">
        <f aca="false">вересень!H40</f>
        <v>0</v>
      </c>
      <c r="I40" s="13" t="n">
        <f aca="false">вересень!I40</f>
        <v>4.1</v>
      </c>
      <c r="J40" s="14" t="n">
        <f aca="false">ROUND(G40*I40,2)</f>
        <v>253.79</v>
      </c>
      <c r="K40" s="14"/>
      <c r="L40" s="14"/>
      <c r="M40" s="14"/>
      <c r="N40" s="14" t="n">
        <f aca="false">ROUND((G40*I40)-K40-L40-M40,2)</f>
        <v>253.79</v>
      </c>
      <c r="O40" s="14"/>
      <c r="P40" s="14" t="n">
        <f aca="false">ROUND(IF(D40=0,IF((N40-E40-O40)&gt;0,(N40-E40-O40),0),IF((D40+N40-O40)&gt;0,(D40+N40-O40),0)),2)</f>
        <v>3456.01</v>
      </c>
      <c r="Q40" s="14" t="n">
        <f aca="false">ROUND(IF(E40=0,IF((D40+N40-O40)&lt;0,ABS(D40+N40-O40),0),IF((N40-E40-O40)&lt;0,ABS(N40-E40-O40),0)),2)</f>
        <v>0</v>
      </c>
    </row>
    <row r="41" customFormat="false" ht="15" hidden="false" customHeight="true" outlineLevel="0" collapsed="false">
      <c r="A41" s="12" t="s">
        <v>119</v>
      </c>
      <c r="B41" s="12" t="str">
        <f aca="false">вересень!B41</f>
        <v>Маханько В.О.</v>
      </c>
      <c r="C41" s="12" t="s">
        <v>121</v>
      </c>
      <c r="D41" s="14" t="n">
        <f aca="false">вересень!P41</f>
        <v>11979.44</v>
      </c>
      <c r="E41" s="14" t="n">
        <f aca="false">вересень!Q41</f>
        <v>0</v>
      </c>
      <c r="F41" s="13" t="n">
        <f aca="false">вересень!F41</f>
        <v>0</v>
      </c>
      <c r="G41" s="13" t="n">
        <f aca="false">вересень!G41</f>
        <v>65.53</v>
      </c>
      <c r="H41" s="13" t="n">
        <f aca="false">вересень!H41</f>
        <v>0</v>
      </c>
      <c r="I41" s="13" t="n">
        <f aca="false">вересень!I41</f>
        <v>4.1</v>
      </c>
      <c r="J41" s="14" t="n">
        <f aca="false">ROUND(G41*I41,2)</f>
        <v>268.67</v>
      </c>
      <c r="K41" s="14"/>
      <c r="L41" s="14"/>
      <c r="M41" s="14"/>
      <c r="N41" s="14" t="n">
        <f aca="false">ROUND((G41*I41)-K41-L41-M41,2)</f>
        <v>268.67</v>
      </c>
      <c r="O41" s="14"/>
      <c r="P41" s="14" t="n">
        <f aca="false">ROUND(IF(D41=0,IF((N41-E41-O41)&gt;0,(N41-E41-O41),0),IF((D41+N41-O41)&gt;0,(D41+N41-O41),0)),2)</f>
        <v>12248.11</v>
      </c>
      <c r="Q41" s="14" t="n">
        <f aca="false">ROUND(IF(E41=0,IF((D41+N41-O41)&lt;0,ABS(D41+N41-O41),0),IF((N41-E41-O41)&lt;0,ABS(N41-E41-O41),0)),2)</f>
        <v>0</v>
      </c>
    </row>
    <row r="42" customFormat="false" ht="15" hidden="false" customHeight="true" outlineLevel="0" collapsed="false">
      <c r="A42" s="12" t="s">
        <v>122</v>
      </c>
      <c r="B42" s="12" t="str">
        <f aca="false">вересень!B42</f>
        <v>Реуцька Р.С.</v>
      </c>
      <c r="C42" s="12" t="s">
        <v>124</v>
      </c>
      <c r="D42" s="14" t="n">
        <f aca="false">вересень!P42</f>
        <v>10095.39</v>
      </c>
      <c r="E42" s="14" t="n">
        <f aca="false">вересень!Q42</f>
        <v>0</v>
      </c>
      <c r="F42" s="13" t="n">
        <f aca="false">вересень!F42</f>
        <v>0</v>
      </c>
      <c r="G42" s="13" t="n">
        <f aca="false">вересень!G42</f>
        <v>49.7</v>
      </c>
      <c r="H42" s="13" t="n">
        <f aca="false">вересень!H42</f>
        <v>0</v>
      </c>
      <c r="I42" s="13" t="n">
        <f aca="false">вересень!I42</f>
        <v>4.1</v>
      </c>
      <c r="J42" s="14" t="n">
        <f aca="false">ROUND(G42*I42,2)</f>
        <v>203.77</v>
      </c>
      <c r="K42" s="14"/>
      <c r="L42" s="14"/>
      <c r="M42" s="14"/>
      <c r="N42" s="14" t="n">
        <f aca="false">ROUND((G42*I42)-K42-L42-M42,2)</f>
        <v>203.77</v>
      </c>
      <c r="O42" s="14"/>
      <c r="P42" s="14" t="n">
        <f aca="false">ROUND(IF(D42=0,IF((N42-E42-O42)&gt;0,(N42-E42-O42),0),IF((D42+N42-O42)&gt;0,(D42+N42-O42),0)),2)</f>
        <v>10299.16</v>
      </c>
      <c r="Q42" s="14" t="n">
        <f aca="false">ROUND(IF(E42=0,IF((D42+N42-O42)&lt;0,ABS(D42+N42-O42),0),IF((N42-E42-O42)&lt;0,ABS(N42-E42-O42),0)),2)</f>
        <v>0</v>
      </c>
    </row>
    <row r="43" customFormat="false" ht="15" hidden="false" customHeight="true" outlineLevel="0" collapsed="false">
      <c r="A43" s="12" t="s">
        <v>125</v>
      </c>
      <c r="B43" s="12" t="str">
        <f aca="false">вересень!B43</f>
        <v>Колесникова Р.Г.</v>
      </c>
      <c r="C43" s="12" t="s">
        <v>127</v>
      </c>
      <c r="D43" s="14" t="n">
        <f aca="false">вересень!P43</f>
        <v>3171.75</v>
      </c>
      <c r="E43" s="14" t="n">
        <f aca="false">вересень!Q43</f>
        <v>0</v>
      </c>
      <c r="F43" s="13" t="n">
        <f aca="false">вересень!F43</f>
        <v>0</v>
      </c>
      <c r="G43" s="13" t="n">
        <f aca="false">вересень!G43</f>
        <v>35.1</v>
      </c>
      <c r="H43" s="13" t="n">
        <f aca="false">вересень!H43</f>
        <v>0</v>
      </c>
      <c r="I43" s="13" t="n">
        <f aca="false">вересень!I43</f>
        <v>4.1</v>
      </c>
      <c r="J43" s="14" t="n">
        <f aca="false">ROUND(G43*I43,2)</f>
        <v>143.91</v>
      </c>
      <c r="K43" s="14"/>
      <c r="L43" s="14"/>
      <c r="M43" s="14"/>
      <c r="N43" s="14" t="n">
        <f aca="false">ROUND((G43*I43)-K43-L43-M43,2)</f>
        <v>143.91</v>
      </c>
      <c r="O43" s="14"/>
      <c r="P43" s="14" t="n">
        <f aca="false">ROUND(IF(D43=0,IF((N43-E43-O43)&gt;0,(N43-E43-O43),0),IF((D43+N43-O43)&gt;0,(D43+N43-O43),0)),2)</f>
        <v>3315.66</v>
      </c>
      <c r="Q43" s="14" t="n">
        <f aca="false">ROUND(IF(E43=0,IF((D43+N43-O43)&lt;0,ABS(D43+N43-O43),0),IF((N43-E43-O43)&lt;0,ABS(N43-E43-O43),0)),2)</f>
        <v>0</v>
      </c>
    </row>
    <row r="44" customFormat="false" ht="15" hidden="false" customHeight="true" outlineLevel="0" collapsed="false">
      <c r="A44" s="12" t="s">
        <v>128</v>
      </c>
      <c r="B44" s="12" t="str">
        <f aca="false">вересень!B44</f>
        <v>Кучеренко М.М.</v>
      </c>
      <c r="C44" s="12" t="s">
        <v>130</v>
      </c>
      <c r="D44" s="14" t="n">
        <f aca="false">вересень!P44</f>
        <v>13504.78</v>
      </c>
      <c r="E44" s="14" t="n">
        <f aca="false">вересень!Q44</f>
        <v>0</v>
      </c>
      <c r="F44" s="13" t="n">
        <f aca="false">вересень!F44</f>
        <v>0</v>
      </c>
      <c r="G44" s="13" t="n">
        <f aca="false">вересень!G44</f>
        <v>61.88</v>
      </c>
      <c r="H44" s="13" t="n">
        <f aca="false">вересень!H44</f>
        <v>0</v>
      </c>
      <c r="I44" s="13" t="n">
        <f aca="false">вересень!I44</f>
        <v>4.1</v>
      </c>
      <c r="J44" s="14" t="n">
        <f aca="false">ROUND(G44*I44,2)</f>
        <v>253.71</v>
      </c>
      <c r="K44" s="14"/>
      <c r="L44" s="14"/>
      <c r="M44" s="14"/>
      <c r="N44" s="14" t="n">
        <f aca="false">ROUND((G44*I44)-K44-L44-M44,2)</f>
        <v>253.71</v>
      </c>
      <c r="O44" s="14"/>
      <c r="P44" s="14" t="n">
        <f aca="false">ROUND(IF(D44=0,IF((N44-E44-O44)&gt;0,(N44-E44-O44),0),IF((D44+N44-O44)&gt;0,(D44+N44-O44),0)),2)</f>
        <v>13758.49</v>
      </c>
      <c r="Q44" s="14" t="n">
        <f aca="false">ROUND(IF(E44=0,IF((D44+N44-O44)&lt;0,ABS(D44+N44-O44),0),IF((N44-E44-O44)&lt;0,ABS(N44-E44-O44),0)),2)</f>
        <v>0</v>
      </c>
    </row>
    <row r="45" customFormat="false" ht="15" hidden="false" customHeight="true" outlineLevel="0" collapsed="false">
      <c r="A45" s="12" t="s">
        <v>131</v>
      </c>
      <c r="B45" s="12" t="str">
        <f aca="false">вересень!B45</f>
        <v>Гурова О.М.</v>
      </c>
      <c r="C45" s="12" t="s">
        <v>133</v>
      </c>
      <c r="D45" s="14" t="n">
        <f aca="false">вересень!P45</f>
        <v>1978.81</v>
      </c>
      <c r="E45" s="14" t="n">
        <f aca="false">вересень!Q45</f>
        <v>0</v>
      </c>
      <c r="F45" s="13" t="n">
        <f aca="false">вересень!F45</f>
        <v>0</v>
      </c>
      <c r="G45" s="13" t="n">
        <f aca="false">вересень!G45</f>
        <v>62.2</v>
      </c>
      <c r="H45" s="13" t="n">
        <f aca="false">вересень!H45</f>
        <v>0</v>
      </c>
      <c r="I45" s="13" t="n">
        <f aca="false">вересень!I45</f>
        <v>4.1</v>
      </c>
      <c r="J45" s="14" t="n">
        <f aca="false">ROUND(G45*I45,2)</f>
        <v>255.02</v>
      </c>
      <c r="K45" s="14"/>
      <c r="L45" s="14"/>
      <c r="M45" s="14"/>
      <c r="N45" s="14" t="n">
        <f aca="false">ROUND((G45*I45)-K45-L45-M45,2)</f>
        <v>255.02</v>
      </c>
      <c r="O45" s="14"/>
      <c r="P45" s="14" t="n">
        <f aca="false">ROUND(IF(D45=0,IF((N45-E45-O45)&gt;0,(N45-E45-O45),0),IF((D45+N45-O45)&gt;0,(D45+N45-O45),0)),2)</f>
        <v>2233.83</v>
      </c>
      <c r="Q45" s="14" t="n">
        <f aca="false">ROUND(IF(E45=0,IF((D45+N45-O45)&lt;0,ABS(D45+N45-O45),0),IF((N45-E45-O45)&lt;0,ABS(N45-E45-O45),0)),2)</f>
        <v>0</v>
      </c>
    </row>
    <row r="46" customFormat="false" ht="15" hidden="false" customHeight="true" outlineLevel="0" collapsed="false">
      <c r="A46" s="12" t="s">
        <v>134</v>
      </c>
      <c r="B46" s="12" t="str">
        <f aca="false">вересень!B46</f>
        <v>Федорова В.І.</v>
      </c>
      <c r="C46" s="12" t="s">
        <v>136</v>
      </c>
      <c r="D46" s="14" t="n">
        <f aca="false">вересень!P46</f>
        <v>930.9</v>
      </c>
      <c r="E46" s="14" t="n">
        <f aca="false">вересень!Q46</f>
        <v>0</v>
      </c>
      <c r="F46" s="13" t="n">
        <f aca="false">вересень!F46</f>
        <v>0</v>
      </c>
      <c r="G46" s="13" t="n">
        <f aca="false">вересень!G46</f>
        <v>34.9</v>
      </c>
      <c r="H46" s="13" t="n">
        <f aca="false">вересень!H46</f>
        <v>0</v>
      </c>
      <c r="I46" s="13" t="n">
        <f aca="false">вересень!I46</f>
        <v>4.1</v>
      </c>
      <c r="J46" s="14" t="n">
        <f aca="false">ROUND(G46*I46,2)</f>
        <v>143.09</v>
      </c>
      <c r="K46" s="14"/>
      <c r="L46" s="14"/>
      <c r="M46" s="14"/>
      <c r="N46" s="14" t="n">
        <f aca="false">ROUND((G46*I46)-K46-L46-M46,2)</f>
        <v>143.09</v>
      </c>
      <c r="O46" s="14"/>
      <c r="P46" s="14" t="n">
        <f aca="false">ROUND(IF(D46=0,IF((N46-E46-O46)&gt;0,(N46-E46-O46),0),IF((D46+N46-O46)&gt;0,(D46+N46-O46),0)),2)</f>
        <v>1073.99</v>
      </c>
      <c r="Q46" s="14" t="n">
        <f aca="false">ROUND(IF(E46=0,IF((D46+N46-O46)&lt;0,ABS(D46+N46-O46),0),IF((N46-E46-O46)&lt;0,ABS(N46-E46-O46),0)),2)</f>
        <v>0</v>
      </c>
    </row>
    <row r="47" customFormat="false" ht="15" hidden="false" customHeight="true" outlineLevel="0" collapsed="false">
      <c r="A47" s="12" t="s">
        <v>137</v>
      </c>
      <c r="B47" s="12" t="str">
        <f aca="false">вересень!B47</f>
        <v>Лаптєв В.І.</v>
      </c>
      <c r="C47" s="12" t="s">
        <v>139</v>
      </c>
      <c r="D47" s="14" t="n">
        <f aca="false">вересень!P47</f>
        <v>1800.72</v>
      </c>
      <c r="E47" s="14" t="n">
        <f aca="false">вересень!Q47</f>
        <v>0</v>
      </c>
      <c r="F47" s="13" t="n">
        <f aca="false">вересень!F47</f>
        <v>0</v>
      </c>
      <c r="G47" s="13" t="n">
        <f aca="false">вересень!G47</f>
        <v>48.8</v>
      </c>
      <c r="H47" s="13" t="n">
        <f aca="false">вересень!H47</f>
        <v>0</v>
      </c>
      <c r="I47" s="13" t="n">
        <f aca="false">вересень!I47</f>
        <v>4.1</v>
      </c>
      <c r="J47" s="14" t="n">
        <f aca="false">ROUND(G47*I47,2)</f>
        <v>200.08</v>
      </c>
      <c r="K47" s="14"/>
      <c r="L47" s="14"/>
      <c r="M47" s="14"/>
      <c r="N47" s="14" t="n">
        <f aca="false">ROUND((G47*I47)-K47-L47-M47,2)</f>
        <v>200.08</v>
      </c>
      <c r="O47" s="14"/>
      <c r="P47" s="14" t="n">
        <f aca="false">ROUND(IF(D47=0,IF((N47-E47-O47)&gt;0,(N47-E47-O47),0),IF((D47+N47-O47)&gt;0,(D47+N47-O47),0)),2)</f>
        <v>2000.8</v>
      </c>
      <c r="Q47" s="14" t="n">
        <f aca="false">ROUND(IF(E47=0,IF((D47+N47-O47)&lt;0,ABS(D47+N47-O47),0),IF((N47-E47-O47)&lt;0,ABS(N47-E47-O47),0)),2)</f>
        <v>0</v>
      </c>
    </row>
    <row r="48" customFormat="false" ht="15" hidden="false" customHeight="true" outlineLevel="0" collapsed="false">
      <c r="A48" s="12" t="s">
        <v>140</v>
      </c>
      <c r="B48" s="12" t="str">
        <f aca="false">вересень!B48</f>
        <v>Тимощук О.Є.</v>
      </c>
      <c r="C48" s="12" t="s">
        <v>142</v>
      </c>
      <c r="D48" s="14" t="n">
        <f aca="false">вересень!P48</f>
        <v>2114.37</v>
      </c>
      <c r="E48" s="14" t="n">
        <f aca="false">вересень!Q48</f>
        <v>0</v>
      </c>
      <c r="F48" s="13" t="n">
        <f aca="false">вересень!F48</f>
        <v>0</v>
      </c>
      <c r="G48" s="13" t="n">
        <f aca="false">вересень!G48</f>
        <v>57.3</v>
      </c>
      <c r="H48" s="13" t="n">
        <f aca="false">вересень!H48</f>
        <v>0</v>
      </c>
      <c r="I48" s="13" t="n">
        <f aca="false">вересень!I48</f>
        <v>4.1</v>
      </c>
      <c r="J48" s="14" t="n">
        <f aca="false">ROUND(G48*I48,2)</f>
        <v>234.93</v>
      </c>
      <c r="K48" s="14"/>
      <c r="L48" s="14"/>
      <c r="M48" s="14"/>
      <c r="N48" s="14" t="n">
        <f aca="false">ROUND((G48*I48)-K48-L48-M48,2)</f>
        <v>234.93</v>
      </c>
      <c r="O48" s="14"/>
      <c r="P48" s="14" t="n">
        <f aca="false">ROUND(IF(D48=0,IF((N48-E48-O48)&gt;0,(N48-E48-O48),0),IF((D48+N48-O48)&gt;0,(D48+N48-O48),0)),2)</f>
        <v>2349.3</v>
      </c>
      <c r="Q48" s="14" t="n">
        <f aca="false">ROUND(IF(E48=0,IF((D48+N48-O48)&lt;0,ABS(D48+N48-O48),0),IF((N48-E48-O48)&lt;0,ABS(N48-E48-O48),0)),2)</f>
        <v>0</v>
      </c>
    </row>
    <row r="49" customFormat="false" ht="15" hidden="false" customHeight="true" outlineLevel="0" collapsed="false">
      <c r="A49" s="12" t="s">
        <v>143</v>
      </c>
      <c r="B49" s="12" t="str">
        <f aca="false">вересень!B49</f>
        <v>Котяш О.В.</v>
      </c>
      <c r="C49" s="12" t="s">
        <v>145</v>
      </c>
      <c r="D49" s="14" t="n">
        <f aca="false">вересень!P49</f>
        <v>5448.42</v>
      </c>
      <c r="E49" s="14" t="n">
        <f aca="false">вересень!Q49</f>
        <v>0</v>
      </c>
      <c r="F49" s="13" t="n">
        <f aca="false">вересень!F49</f>
        <v>0</v>
      </c>
      <c r="G49" s="13" t="n">
        <f aca="false">вересень!G49</f>
        <v>63.3</v>
      </c>
      <c r="H49" s="13" t="n">
        <f aca="false">вересень!H49</f>
        <v>0</v>
      </c>
      <c r="I49" s="13" t="n">
        <f aca="false">вересень!I49</f>
        <v>4.1</v>
      </c>
      <c r="J49" s="14" t="n">
        <f aca="false">ROUND(G49*I49,2)</f>
        <v>259.53</v>
      </c>
      <c r="K49" s="14"/>
      <c r="L49" s="14"/>
      <c r="M49" s="14"/>
      <c r="N49" s="14" t="n">
        <f aca="false">ROUND((G49*I49)-K49-L49-M49,2)</f>
        <v>259.53</v>
      </c>
      <c r="O49" s="14"/>
      <c r="P49" s="14" t="n">
        <f aca="false">ROUND(IF(D49=0,IF((N49-E49-O49)&gt;0,(N49-E49-O49),0),IF((D49+N49-O49)&gt;0,(D49+N49-O49),0)),2)</f>
        <v>5707.95</v>
      </c>
      <c r="Q49" s="14" t="n">
        <f aca="false">ROUND(IF(E49=0,IF((D49+N49-O49)&lt;0,ABS(D49+N49-O49),0),IF((N49-E49-O49)&lt;0,ABS(N49-E49-O49),0)),2)</f>
        <v>0</v>
      </c>
    </row>
    <row r="50" customFormat="false" ht="15" hidden="false" customHeight="true" outlineLevel="0" collapsed="false">
      <c r="A50" s="12" t="s">
        <v>146</v>
      </c>
      <c r="B50" s="12" t="str">
        <f aca="false">вересень!B50</f>
        <v>Токовило-Паращенко Л.П.</v>
      </c>
      <c r="C50" s="12" t="s">
        <v>148</v>
      </c>
      <c r="D50" s="14" t="n">
        <f aca="false">вересень!P50</f>
        <v>1316.61</v>
      </c>
      <c r="E50" s="14" t="n">
        <f aca="false">вересень!Q50</f>
        <v>0</v>
      </c>
      <c r="F50" s="13" t="n">
        <f aca="false">вересень!F50</f>
        <v>0</v>
      </c>
      <c r="G50" s="13" t="n">
        <f aca="false">вересень!G50</f>
        <v>35.68</v>
      </c>
      <c r="H50" s="13" t="n">
        <f aca="false">вересень!H50</f>
        <v>0</v>
      </c>
      <c r="I50" s="13" t="n">
        <f aca="false">вересень!I50</f>
        <v>4.1</v>
      </c>
      <c r="J50" s="14" t="n">
        <f aca="false">ROUND(G50*I50,2)</f>
        <v>146.29</v>
      </c>
      <c r="K50" s="14"/>
      <c r="L50" s="14"/>
      <c r="M50" s="14"/>
      <c r="N50" s="14" t="n">
        <f aca="false">ROUND((G50*I50)-K50-L50-M50,2)</f>
        <v>146.29</v>
      </c>
      <c r="O50" s="14"/>
      <c r="P50" s="14" t="n">
        <f aca="false">ROUND(IF(D50=0,IF((N50-E50-O50)&gt;0,(N50-E50-O50),0),IF((D50+N50-O50)&gt;0,(D50+N50-O50),0)),2)</f>
        <v>1462.9</v>
      </c>
      <c r="Q50" s="14" t="n">
        <f aca="false">ROUND(IF(E50=0,IF((D50+N50-O50)&lt;0,ABS(D50+N50-O50),0),IF((N50-E50-O50)&lt;0,ABS(N50-E50-O50),0)),2)</f>
        <v>0</v>
      </c>
    </row>
    <row r="51" customFormat="false" ht="15" hidden="false" customHeight="true" outlineLevel="0" collapsed="false">
      <c r="A51" s="12" t="s">
        <v>149</v>
      </c>
      <c r="B51" s="12" t="str">
        <f aca="false">вересень!B51</f>
        <v>Бєлая К.В.</v>
      </c>
      <c r="C51" s="12" t="s">
        <v>151</v>
      </c>
      <c r="D51" s="14" t="n">
        <f aca="false">вересень!P51</f>
        <v>4658.02</v>
      </c>
      <c r="E51" s="14" t="n">
        <f aca="false">вересень!Q51</f>
        <v>0</v>
      </c>
      <c r="F51" s="13" t="n">
        <f aca="false">вересень!F51</f>
        <v>0</v>
      </c>
      <c r="G51" s="13" t="n">
        <f aca="false">вересень!G51</f>
        <v>49.8</v>
      </c>
      <c r="H51" s="13" t="n">
        <f aca="false">вересень!H51</f>
        <v>0</v>
      </c>
      <c r="I51" s="13" t="n">
        <f aca="false">вересень!I51</f>
        <v>4.1</v>
      </c>
      <c r="J51" s="14" t="n">
        <f aca="false">ROUND(G51*I51,2)</f>
        <v>204.18</v>
      </c>
      <c r="K51" s="14"/>
      <c r="L51" s="14"/>
      <c r="M51" s="14"/>
      <c r="N51" s="14" t="n">
        <f aca="false">ROUND((G51*I51)-K51-L51-M51,2)</f>
        <v>204.18</v>
      </c>
      <c r="O51" s="14"/>
      <c r="P51" s="14" t="n">
        <f aca="false">ROUND(IF(D51=0,IF((N51-E51-O51)&gt;0,(N51-E51-O51),0),IF((D51+N51-O51)&gt;0,(D51+N51-O51),0)),2)</f>
        <v>4862.2</v>
      </c>
      <c r="Q51" s="14" t="n">
        <f aca="false">ROUND(IF(E51=0,IF((D51+N51-O51)&lt;0,ABS(D51+N51-O51),0),IF((N51-E51-O51)&lt;0,ABS(N51-E51-O51),0)),2)</f>
        <v>0</v>
      </c>
    </row>
    <row r="52" customFormat="false" ht="15" hidden="false" customHeight="true" outlineLevel="0" collapsed="false">
      <c r="A52" s="12" t="s">
        <v>152</v>
      </c>
      <c r="B52" s="12" t="str">
        <f aca="false">вересень!B52</f>
        <v>Стадник О.Ф.</v>
      </c>
      <c r="C52" s="12" t="s">
        <v>154</v>
      </c>
      <c r="D52" s="14" t="n">
        <f aca="false">вересень!P52</f>
        <v>8157.18</v>
      </c>
      <c r="E52" s="14" t="n">
        <f aca="false">вересень!Q52</f>
        <v>0</v>
      </c>
      <c r="F52" s="13" t="n">
        <f aca="false">вересень!F52</f>
        <v>0</v>
      </c>
      <c r="G52" s="13" t="n">
        <f aca="false">вересень!G52</f>
        <v>65.9</v>
      </c>
      <c r="H52" s="13" t="n">
        <f aca="false">вересень!H52</f>
        <v>0</v>
      </c>
      <c r="I52" s="13" t="n">
        <f aca="false">вересень!I52</f>
        <v>4.1</v>
      </c>
      <c r="J52" s="14" t="n">
        <f aca="false">ROUND(G52*I52,2)</f>
        <v>270.19</v>
      </c>
      <c r="K52" s="14"/>
      <c r="L52" s="14"/>
      <c r="M52" s="14"/>
      <c r="N52" s="14" t="n">
        <f aca="false">ROUND((G52*I52)-K52-L52-M52,2)</f>
        <v>270.19</v>
      </c>
      <c r="O52" s="14"/>
      <c r="P52" s="14" t="n">
        <f aca="false">ROUND(IF(D52=0,IF((N52-E52-O52)&gt;0,(N52-E52-O52),0),IF((D52+N52-O52)&gt;0,(D52+N52-O52),0)),2)</f>
        <v>8427.37</v>
      </c>
      <c r="Q52" s="14" t="n">
        <f aca="false">ROUND(IF(E52=0,IF((D52+N52-O52)&lt;0,ABS(D52+N52-O52),0),IF((N52-E52-O52)&lt;0,ABS(N52-E52-O52),0)),2)</f>
        <v>0</v>
      </c>
    </row>
    <row r="53" customFormat="false" ht="15" hidden="false" customHeight="true" outlineLevel="0" collapsed="false">
      <c r="A53" s="12" t="s">
        <v>155</v>
      </c>
      <c r="B53" s="12" t="str">
        <f aca="false">вересень!B53</f>
        <v>Ляшенко В.М.</v>
      </c>
      <c r="C53" s="12" t="s">
        <v>157</v>
      </c>
      <c r="D53" s="14" t="n">
        <f aca="false">вересень!P53</f>
        <v>2287.8</v>
      </c>
      <c r="E53" s="14" t="n">
        <f aca="false">вересень!Q53</f>
        <v>0</v>
      </c>
      <c r="F53" s="13" t="n">
        <f aca="false">вересень!F53</f>
        <v>0</v>
      </c>
      <c r="G53" s="13" t="n">
        <f aca="false">вересень!G53</f>
        <v>62</v>
      </c>
      <c r="H53" s="13" t="n">
        <f aca="false">вересень!H53</f>
        <v>0</v>
      </c>
      <c r="I53" s="13" t="n">
        <f aca="false">вересень!I53</f>
        <v>4.1</v>
      </c>
      <c r="J53" s="14" t="n">
        <f aca="false">ROUND(G53*I53,2)</f>
        <v>254.2</v>
      </c>
      <c r="K53" s="14"/>
      <c r="L53" s="14"/>
      <c r="M53" s="14"/>
      <c r="N53" s="14" t="n">
        <f aca="false">ROUND((G53*I53)-K53-L53-M53,2)</f>
        <v>254.2</v>
      </c>
      <c r="O53" s="14"/>
      <c r="P53" s="14" t="n">
        <f aca="false">ROUND(IF(D53=0,IF((N53-E53-O53)&gt;0,(N53-E53-O53),0),IF((D53+N53-O53)&gt;0,(D53+N53-O53),0)),2)</f>
        <v>2542</v>
      </c>
      <c r="Q53" s="14" t="n">
        <f aca="false">ROUND(IF(E53=0,IF((D53+N53-O53)&lt;0,ABS(D53+N53-O53),0),IF((N53-E53-O53)&lt;0,ABS(N53-E53-O53),0)),2)</f>
        <v>0</v>
      </c>
    </row>
    <row r="54" customFormat="false" ht="15" hidden="false" customHeight="true" outlineLevel="0" collapsed="false">
      <c r="A54" s="12" t="s">
        <v>158</v>
      </c>
      <c r="B54" s="12" t="str">
        <f aca="false">вересень!B54</f>
        <v>Смоленська Т.О.</v>
      </c>
      <c r="C54" s="12" t="s">
        <v>160</v>
      </c>
      <c r="D54" s="14" t="n">
        <f aca="false">вересень!P54</f>
        <v>1295.19</v>
      </c>
      <c r="E54" s="14" t="n">
        <f aca="false">вересень!Q54</f>
        <v>0</v>
      </c>
      <c r="F54" s="13" t="n">
        <f aca="false">вересень!F54</f>
        <v>0</v>
      </c>
      <c r="G54" s="13" t="n">
        <f aca="false">вересень!G54</f>
        <v>35.1</v>
      </c>
      <c r="H54" s="13" t="n">
        <f aca="false">вересень!H54</f>
        <v>0</v>
      </c>
      <c r="I54" s="13" t="n">
        <f aca="false">вересень!I54</f>
        <v>4.1</v>
      </c>
      <c r="J54" s="14" t="n">
        <f aca="false">ROUND(G54*I54,2)</f>
        <v>143.91</v>
      </c>
      <c r="K54" s="14"/>
      <c r="L54" s="14"/>
      <c r="M54" s="14"/>
      <c r="N54" s="14" t="n">
        <f aca="false">ROUND((G54*I54)-K54-L54-M54,2)</f>
        <v>143.91</v>
      </c>
      <c r="O54" s="14"/>
      <c r="P54" s="14" t="n">
        <f aca="false">ROUND(IF(D54=0,IF((N54-E54-O54)&gt;0,(N54-E54-O54),0),IF((D54+N54-O54)&gt;0,(D54+N54-O54),0)),2)</f>
        <v>1439.1</v>
      </c>
      <c r="Q54" s="14" t="n">
        <f aca="false">ROUND(IF(E54=0,IF((D54+N54-O54)&lt;0,ABS(D54+N54-O54),0),IF((N54-E54-O54)&lt;0,ABS(N54-E54-O54),0)),2)</f>
        <v>0</v>
      </c>
    </row>
    <row r="55" customFormat="false" ht="15" hidden="false" customHeight="true" outlineLevel="0" collapsed="false">
      <c r="A55" s="12" t="s">
        <v>161</v>
      </c>
      <c r="B55" s="12" t="str">
        <f aca="false">вересень!B55</f>
        <v>Дудка І.В.</v>
      </c>
      <c r="C55" s="12" t="s">
        <v>163</v>
      </c>
      <c r="D55" s="14" t="n">
        <f aca="false">вересень!P55</f>
        <v>1830.24</v>
      </c>
      <c r="E55" s="14" t="n">
        <f aca="false">вересень!Q55</f>
        <v>0</v>
      </c>
      <c r="F55" s="13" t="n">
        <f aca="false">вересень!F55</f>
        <v>0</v>
      </c>
      <c r="G55" s="13" t="n">
        <f aca="false">вересень!G55</f>
        <v>49.6</v>
      </c>
      <c r="H55" s="13" t="n">
        <f aca="false">вересень!H55</f>
        <v>0</v>
      </c>
      <c r="I55" s="13" t="n">
        <f aca="false">вересень!I55</f>
        <v>4.1</v>
      </c>
      <c r="J55" s="14" t="n">
        <f aca="false">ROUND(G55*I55,2)</f>
        <v>203.36</v>
      </c>
      <c r="K55" s="14"/>
      <c r="L55" s="14"/>
      <c r="M55" s="14"/>
      <c r="N55" s="14" t="n">
        <f aca="false">ROUND((G55*I55)-K55-L55-M55,2)</f>
        <v>203.36</v>
      </c>
      <c r="O55" s="14"/>
      <c r="P55" s="14" t="n">
        <f aca="false">ROUND(IF(D55=0,IF((N55-E55-O55)&gt;0,(N55-E55-O55),0),IF((D55+N55-O55)&gt;0,(D55+N55-O55),0)),2)</f>
        <v>2033.6</v>
      </c>
      <c r="Q55" s="14" t="n">
        <f aca="false">ROUND(IF(E55=0,IF((D55+N55-O55)&lt;0,ABS(D55+N55-O55),0),IF((N55-E55-O55)&lt;0,ABS(N55-E55-O55),0)),2)</f>
        <v>0</v>
      </c>
    </row>
    <row r="56" customFormat="false" ht="15" hidden="false" customHeight="true" outlineLevel="0" collapsed="false">
      <c r="A56" s="12" t="s">
        <v>164</v>
      </c>
      <c r="B56" s="12" t="str">
        <f aca="false">вересень!B56</f>
        <v>Буланова Л.І.</v>
      </c>
      <c r="C56" s="12" t="s">
        <v>166</v>
      </c>
      <c r="D56" s="14" t="n">
        <f aca="false">вересень!P56</f>
        <v>2451.6</v>
      </c>
      <c r="E56" s="14" t="n">
        <f aca="false">вересень!Q56</f>
        <v>0</v>
      </c>
      <c r="F56" s="13" t="n">
        <f aca="false">вересень!F56</f>
        <v>0</v>
      </c>
      <c r="G56" s="13" t="n">
        <f aca="false">вересень!G56</f>
        <v>66.44</v>
      </c>
      <c r="H56" s="13" t="n">
        <f aca="false">вересень!H56</f>
        <v>0</v>
      </c>
      <c r="I56" s="13" t="n">
        <f aca="false">вересень!I56</f>
        <v>4.1</v>
      </c>
      <c r="J56" s="14" t="n">
        <f aca="false">ROUND(G56*I56,2)</f>
        <v>272.4</v>
      </c>
      <c r="K56" s="14"/>
      <c r="L56" s="14"/>
      <c r="M56" s="14"/>
      <c r="N56" s="14" t="n">
        <f aca="false">ROUND((G56*I56)-K56-L56-M56,2)</f>
        <v>272.4</v>
      </c>
      <c r="O56" s="14"/>
      <c r="P56" s="14" t="n">
        <f aca="false">ROUND(IF(D56=0,IF((N56-E56-O56)&gt;0,(N56-E56-O56),0),IF((D56+N56-O56)&gt;0,(D56+N56-O56),0)),2)</f>
        <v>2724</v>
      </c>
      <c r="Q56" s="14" t="n">
        <f aca="false">ROUND(IF(E56=0,IF((D56+N56-O56)&lt;0,ABS(D56+N56-O56),0),IF((N56-E56-O56)&lt;0,ABS(N56-E56-O56),0)),2)</f>
        <v>0</v>
      </c>
    </row>
    <row r="57" customFormat="false" ht="15" hidden="false" customHeight="true" outlineLevel="0" collapsed="false">
      <c r="A57" s="12" t="s">
        <v>167</v>
      </c>
      <c r="B57" s="12" t="str">
        <f aca="false">вересень!B57</f>
        <v>Шалімова О.О.</v>
      </c>
      <c r="C57" s="12" t="s">
        <v>169</v>
      </c>
      <c r="D57" s="14" t="n">
        <f aca="false">вересень!P57</f>
        <v>2717.72</v>
      </c>
      <c r="E57" s="14" t="n">
        <f aca="false">вересень!Q57</f>
        <v>0</v>
      </c>
      <c r="F57" s="13" t="n">
        <f aca="false">вересень!F57</f>
        <v>0</v>
      </c>
      <c r="G57" s="13" t="n">
        <f aca="false">вересень!G57</f>
        <v>62.1</v>
      </c>
      <c r="H57" s="13" t="n">
        <f aca="false">вересень!H57</f>
        <v>0</v>
      </c>
      <c r="I57" s="13" t="n">
        <f aca="false">вересень!I57</f>
        <v>4.1</v>
      </c>
      <c r="J57" s="14" t="n">
        <f aca="false">ROUND(G57*I57,2)</f>
        <v>254.61</v>
      </c>
      <c r="K57" s="14"/>
      <c r="L57" s="14"/>
      <c r="M57" s="14"/>
      <c r="N57" s="14" t="n">
        <f aca="false">ROUND((G57*I57)-K57-L57-M57,2)</f>
        <v>254.61</v>
      </c>
      <c r="O57" s="14"/>
      <c r="P57" s="14" t="n">
        <f aca="false">ROUND(IF(D57=0,IF((N57-E57-O57)&gt;0,(N57-E57-O57),0),IF((D57+N57-O57)&gt;0,(D57+N57-O57),0)),2)</f>
        <v>2972.33</v>
      </c>
      <c r="Q57" s="14" t="n">
        <f aca="false">ROUND(IF(E57=0,IF((D57+N57-O57)&lt;0,ABS(D57+N57-O57),0),IF((N57-E57-O57)&lt;0,ABS(N57-E57-O57),0)),2)</f>
        <v>0</v>
      </c>
    </row>
    <row r="58" customFormat="false" ht="15" hidden="false" customHeight="true" outlineLevel="0" collapsed="false">
      <c r="A58" s="12" t="s">
        <v>170</v>
      </c>
      <c r="B58" s="12" t="str">
        <f aca="false">вересень!B58</f>
        <v>Андросик О.О.</v>
      </c>
      <c r="C58" s="12" t="s">
        <v>172</v>
      </c>
      <c r="D58" s="14" t="n">
        <f aca="false">вересень!P58</f>
        <v>2500.81</v>
      </c>
      <c r="E58" s="14" t="n">
        <f aca="false">вересень!Q58</f>
        <v>0</v>
      </c>
      <c r="F58" s="13" t="n">
        <f aca="false">вересень!F58</f>
        <v>0</v>
      </c>
      <c r="G58" s="13" t="n">
        <f aca="false">вересень!G58</f>
        <v>34.9</v>
      </c>
      <c r="H58" s="13" t="n">
        <f aca="false">вересень!H58</f>
        <v>0</v>
      </c>
      <c r="I58" s="13" t="n">
        <f aca="false">вересень!I58</f>
        <v>4.1</v>
      </c>
      <c r="J58" s="14" t="n">
        <f aca="false">ROUND(G58*I58,2)</f>
        <v>143.09</v>
      </c>
      <c r="K58" s="14"/>
      <c r="L58" s="14"/>
      <c r="M58" s="14"/>
      <c r="N58" s="14" t="n">
        <f aca="false">ROUND((G58*I58)-K58-L58-M58,2)</f>
        <v>143.09</v>
      </c>
      <c r="O58" s="14"/>
      <c r="P58" s="14" t="n">
        <f aca="false">ROUND(IF(D58=0,IF((N58-E58-O58)&gt;0,(N58-E58-O58),0),IF((D58+N58-O58)&gt;0,(D58+N58-O58),0)),2)</f>
        <v>2643.9</v>
      </c>
      <c r="Q58" s="14" t="n">
        <f aca="false">ROUND(IF(E58=0,IF((D58+N58-O58)&lt;0,ABS(D58+N58-O58),0),IF((N58-E58-O58)&lt;0,ABS(N58-E58-O58),0)),2)</f>
        <v>0</v>
      </c>
    </row>
    <row r="59" customFormat="false" ht="15" hidden="false" customHeight="true" outlineLevel="0" collapsed="false">
      <c r="A59" s="12" t="s">
        <v>173</v>
      </c>
      <c r="B59" s="12" t="str">
        <f aca="false">вересень!B59</f>
        <v>Токар Є.А.</v>
      </c>
      <c r="C59" s="12" t="s">
        <v>175</v>
      </c>
      <c r="D59" s="14" t="n">
        <f aca="false">вересень!P59</f>
        <v>5155.95</v>
      </c>
      <c r="E59" s="14" t="n">
        <f aca="false">вересень!Q59</f>
        <v>0</v>
      </c>
      <c r="F59" s="13" t="n">
        <f aca="false">вересень!F59</f>
        <v>0</v>
      </c>
      <c r="G59" s="13" t="n">
        <f aca="false">вересень!G59</f>
        <v>49.22</v>
      </c>
      <c r="H59" s="13" t="n">
        <f aca="false">вересень!H59</f>
        <v>0</v>
      </c>
      <c r="I59" s="13" t="n">
        <f aca="false">вересень!I59</f>
        <v>4.1</v>
      </c>
      <c r="J59" s="14" t="n">
        <f aca="false">ROUND(G59*I59,2)</f>
        <v>201.8</v>
      </c>
      <c r="K59" s="14"/>
      <c r="L59" s="14"/>
      <c r="M59" s="14"/>
      <c r="N59" s="14" t="n">
        <f aca="false">ROUND((G59*I59)-K59-L59-M59,2)</f>
        <v>201.8</v>
      </c>
      <c r="O59" s="14"/>
      <c r="P59" s="14" t="n">
        <f aca="false">ROUND(IF(D59=0,IF((N59-E59-O59)&gt;0,(N59-E59-O59),0),IF((D59+N59-O59)&gt;0,(D59+N59-O59),0)),2)</f>
        <v>5357.75</v>
      </c>
      <c r="Q59" s="14" t="n">
        <f aca="false">ROUND(IF(E59=0,IF((D59+N59-O59)&lt;0,ABS(D59+N59-O59),0),IF((N59-E59-O59)&lt;0,ABS(N59-E59-O59),0)),2)</f>
        <v>0</v>
      </c>
    </row>
    <row r="60" customFormat="false" ht="15" hidden="false" customHeight="true" outlineLevel="0" collapsed="false">
      <c r="A60" s="12" t="s">
        <v>176</v>
      </c>
      <c r="B60" s="12" t="str">
        <f aca="false">вересень!B60</f>
        <v>Констанчук І.В.</v>
      </c>
      <c r="C60" s="12" t="s">
        <v>178</v>
      </c>
      <c r="D60" s="14" t="n">
        <f aca="false">вересень!P60</f>
        <v>11286.06</v>
      </c>
      <c r="E60" s="14" t="n">
        <f aca="false">вересень!Q60</f>
        <v>0</v>
      </c>
      <c r="F60" s="13" t="n">
        <f aca="false">вересень!F60</f>
        <v>0</v>
      </c>
      <c r="G60" s="13" t="n">
        <f aca="false">вересень!G60</f>
        <v>65.5</v>
      </c>
      <c r="H60" s="13" t="n">
        <f aca="false">вересень!H60</f>
        <v>0</v>
      </c>
      <c r="I60" s="13" t="n">
        <f aca="false">вересень!I60</f>
        <v>4.1</v>
      </c>
      <c r="J60" s="14" t="n">
        <f aca="false">ROUND(G60*I60,2)</f>
        <v>268.55</v>
      </c>
      <c r="K60" s="14"/>
      <c r="L60" s="14"/>
      <c r="M60" s="14"/>
      <c r="N60" s="14" t="n">
        <f aca="false">ROUND((G60*I60)-K60-L60-M60,2)</f>
        <v>268.55</v>
      </c>
      <c r="O60" s="14"/>
      <c r="P60" s="14" t="n">
        <f aca="false">ROUND(IF(D60=0,IF((N60-E60-O60)&gt;0,(N60-E60-O60),0),IF((D60+N60-O60)&gt;0,(D60+N60-O60),0)),2)</f>
        <v>11554.61</v>
      </c>
      <c r="Q60" s="14" t="n">
        <f aca="false">ROUND(IF(E60=0,IF((D60+N60-O60)&lt;0,ABS(D60+N60-O60),0),IF((N60-E60-O60)&lt;0,ABS(N60-E60-O60),0)),2)</f>
        <v>0</v>
      </c>
    </row>
    <row r="61" customFormat="false" ht="15" hidden="false" customHeight="true" outlineLevel="0" collapsed="false">
      <c r="A61" s="12" t="s">
        <v>179</v>
      </c>
      <c r="B61" s="12" t="str">
        <f aca="false">вересень!B61</f>
        <v>Гончаров В.В.</v>
      </c>
      <c r="C61" s="12" t="s">
        <v>181</v>
      </c>
      <c r="D61" s="14" t="n">
        <f aca="false">вересень!P61</f>
        <v>1665.38</v>
      </c>
      <c r="E61" s="14" t="n">
        <f aca="false">вересень!Q61</f>
        <v>0</v>
      </c>
      <c r="F61" s="13" t="n">
        <f aca="false">вересень!F61</f>
        <v>0</v>
      </c>
      <c r="G61" s="13" t="n">
        <f aca="false">вересень!G61</f>
        <v>62.64</v>
      </c>
      <c r="H61" s="13" t="n">
        <f aca="false">вересень!H61</f>
        <v>0</v>
      </c>
      <c r="I61" s="13" t="n">
        <f aca="false">вересень!I61</f>
        <v>4.1</v>
      </c>
      <c r="J61" s="14" t="n">
        <f aca="false">ROUND(G61*I61,2)</f>
        <v>256.82</v>
      </c>
      <c r="K61" s="14"/>
      <c r="L61" s="14"/>
      <c r="M61" s="14"/>
      <c r="N61" s="14" t="n">
        <f aca="false">ROUND((G61*I61)-K61-L61-M61,2)</f>
        <v>256.82</v>
      </c>
      <c r="O61" s="14"/>
      <c r="P61" s="14" t="n">
        <f aca="false">ROUND(IF(D61=0,IF((N61-E61-O61)&gt;0,(N61-E61-O61),0),IF((D61+N61-O61)&gt;0,(D61+N61-O61),0)),2)</f>
        <v>1922.2</v>
      </c>
      <c r="Q61" s="14" t="n">
        <f aca="false">ROUND(IF(E61=0,IF((D61+N61-O61)&lt;0,ABS(D61+N61-O61),0),IF((N61-E61-O61)&lt;0,ABS(N61-E61-O61),0)),2)</f>
        <v>0</v>
      </c>
    </row>
    <row r="62" customFormat="false" ht="15" hidden="false" customHeight="true" outlineLevel="0" collapsed="false">
      <c r="A62" s="12" t="s">
        <v>182</v>
      </c>
      <c r="B62" s="12" t="str">
        <f aca="false">вересень!B62</f>
        <v>Ляхомський В.О.</v>
      </c>
      <c r="C62" s="12" t="s">
        <v>184</v>
      </c>
      <c r="D62" s="14" t="n">
        <f aca="false">вересень!P62</f>
        <v>2300.44</v>
      </c>
      <c r="E62" s="14" t="n">
        <f aca="false">вересень!Q62</f>
        <v>0</v>
      </c>
      <c r="F62" s="13" t="n">
        <f aca="false">вересень!F62</f>
        <v>0</v>
      </c>
      <c r="G62" s="13" t="n">
        <f aca="false">вересень!G62</f>
        <v>34.9</v>
      </c>
      <c r="H62" s="13" t="n">
        <f aca="false">вересень!H62</f>
        <v>0</v>
      </c>
      <c r="I62" s="13" t="n">
        <f aca="false">вересень!I62</f>
        <v>4.1</v>
      </c>
      <c r="J62" s="14" t="n">
        <f aca="false">ROUND(G62*I62,2)</f>
        <v>143.09</v>
      </c>
      <c r="K62" s="14"/>
      <c r="L62" s="14"/>
      <c r="M62" s="14"/>
      <c r="N62" s="14" t="n">
        <f aca="false">ROUND((G62*I62)-K62-L62-M62,2)</f>
        <v>143.09</v>
      </c>
      <c r="O62" s="14"/>
      <c r="P62" s="14" t="n">
        <f aca="false">ROUND(IF(D62=0,IF((N62-E62-O62)&gt;0,(N62-E62-O62),0),IF((D62+N62-O62)&gt;0,(D62+N62-O62),0)),2)</f>
        <v>2443.53</v>
      </c>
      <c r="Q62" s="14" t="n">
        <f aca="false">ROUND(IF(E62=0,IF((D62+N62-O62)&lt;0,ABS(D62+N62-O62),0),IF((N62-E62-O62)&lt;0,ABS(N62-E62-O62),0)),2)</f>
        <v>0</v>
      </c>
    </row>
    <row r="63" customFormat="false" ht="15" hidden="false" customHeight="true" outlineLevel="0" collapsed="false">
      <c r="A63" s="12" t="s">
        <v>185</v>
      </c>
      <c r="B63" s="12" t="str">
        <f aca="false">вересень!B63</f>
        <v>Крамаренко В.П.</v>
      </c>
      <c r="C63" s="12" t="s">
        <v>187</v>
      </c>
      <c r="D63" s="14" t="n">
        <f aca="false">вересень!P63</f>
        <v>2653.82</v>
      </c>
      <c r="E63" s="14" t="n">
        <f aca="false">вересень!Q63</f>
        <v>0</v>
      </c>
      <c r="F63" s="13" t="n">
        <f aca="false">вересень!F63</f>
        <v>0</v>
      </c>
      <c r="G63" s="13" t="n">
        <f aca="false">вересень!G63</f>
        <v>49.79</v>
      </c>
      <c r="H63" s="13" t="n">
        <f aca="false">вересень!H63</f>
        <v>0</v>
      </c>
      <c r="I63" s="13" t="n">
        <f aca="false">вересень!I63</f>
        <v>4.1</v>
      </c>
      <c r="J63" s="14" t="n">
        <f aca="false">ROUND(G63*I63,2)</f>
        <v>204.14</v>
      </c>
      <c r="K63" s="14"/>
      <c r="L63" s="14"/>
      <c r="M63" s="14"/>
      <c r="N63" s="14" t="n">
        <f aca="false">ROUND((G63*I63)-K63-L63-M63,2)</f>
        <v>204.14</v>
      </c>
      <c r="O63" s="14"/>
      <c r="P63" s="14" t="n">
        <f aca="false">ROUND(IF(D63=0,IF((N63-E63-O63)&gt;0,(N63-E63-O63),0),IF((D63+N63-O63)&gt;0,(D63+N63-O63),0)),2)</f>
        <v>2857.96</v>
      </c>
      <c r="Q63" s="14" t="n">
        <f aca="false">ROUND(IF(E63=0,IF((D63+N63-O63)&lt;0,ABS(D63+N63-O63),0),IF((N63-E63-O63)&lt;0,ABS(N63-E63-O63),0)),2)</f>
        <v>0</v>
      </c>
    </row>
    <row r="64" customFormat="false" ht="15" hidden="false" customHeight="true" outlineLevel="0" collapsed="false">
      <c r="A64" s="12" t="s">
        <v>188</v>
      </c>
      <c r="B64" s="12" t="str">
        <f aca="false">вересень!B64</f>
        <v>Родзик С.Г.</v>
      </c>
      <c r="C64" s="12" t="s">
        <v>190</v>
      </c>
      <c r="D64" s="14" t="n">
        <f aca="false">вересень!P64</f>
        <v>5881.04</v>
      </c>
      <c r="E64" s="14" t="n">
        <f aca="false">вересень!Q64</f>
        <v>0</v>
      </c>
      <c r="F64" s="13" t="n">
        <f aca="false">вересень!F64</f>
        <v>0</v>
      </c>
      <c r="G64" s="13" t="n">
        <f aca="false">вересень!G64</f>
        <v>65.2</v>
      </c>
      <c r="H64" s="13" t="n">
        <f aca="false">вересень!H64</f>
        <v>0</v>
      </c>
      <c r="I64" s="13" t="n">
        <f aca="false">вересень!I64</f>
        <v>4.1</v>
      </c>
      <c r="J64" s="14" t="n">
        <f aca="false">ROUND(G64*I64,2)</f>
        <v>267.32</v>
      </c>
      <c r="K64" s="14"/>
      <c r="L64" s="14"/>
      <c r="M64" s="14"/>
      <c r="N64" s="14" t="n">
        <f aca="false">ROUND((G64*I64)-K64-L64-M64,2)</f>
        <v>267.32</v>
      </c>
      <c r="O64" s="14"/>
      <c r="P64" s="14" t="n">
        <f aca="false">ROUND(IF(D64=0,IF((N64-E64-O64)&gt;0,(N64-E64-O64),0),IF((D64+N64-O64)&gt;0,(D64+N64-O64),0)),2)</f>
        <v>6148.36</v>
      </c>
      <c r="Q64" s="14" t="n">
        <f aca="false">ROUND(IF(E64=0,IF((D64+N64-O64)&lt;0,ABS(D64+N64-O64),0),IF((N64-E64-O64)&lt;0,ABS(N64-E64-O64),0)),2)</f>
        <v>0</v>
      </c>
    </row>
    <row r="65" customFormat="false" ht="15" hidden="false" customHeight="true" outlineLevel="0" collapsed="false">
      <c r="A65" s="12" t="s">
        <v>191</v>
      </c>
      <c r="B65" s="12" t="str">
        <f aca="false">вересень!B65</f>
        <v>Никоненко Н.С.</v>
      </c>
      <c r="C65" s="12" t="s">
        <v>193</v>
      </c>
      <c r="D65" s="14" t="n">
        <f aca="false">вересень!P65</f>
        <v>12326.41</v>
      </c>
      <c r="E65" s="14" t="n">
        <f aca="false">вересень!Q65</f>
        <v>0</v>
      </c>
      <c r="F65" s="13" t="n">
        <f aca="false">вересень!F65</f>
        <v>0</v>
      </c>
      <c r="G65" s="13" t="n">
        <f aca="false">вересень!G65</f>
        <v>61.88</v>
      </c>
      <c r="H65" s="13" t="n">
        <f aca="false">вересень!H65</f>
        <v>0</v>
      </c>
      <c r="I65" s="13" t="n">
        <f aca="false">вересень!I65</f>
        <v>4.1</v>
      </c>
      <c r="J65" s="14" t="n">
        <f aca="false">ROUND(G65*I65,2)</f>
        <v>253.71</v>
      </c>
      <c r="K65" s="14"/>
      <c r="L65" s="14"/>
      <c r="M65" s="14"/>
      <c r="N65" s="14" t="n">
        <f aca="false">ROUND((G65*I65)-K65-L65-M65,2)</f>
        <v>253.71</v>
      </c>
      <c r="O65" s="14"/>
      <c r="P65" s="14" t="n">
        <f aca="false">ROUND(IF(D65=0,IF((N65-E65-O65)&gt;0,(N65-E65-O65),0),IF((D65+N65-O65)&gt;0,(D65+N65-O65),0)),2)</f>
        <v>12580.12</v>
      </c>
      <c r="Q65" s="14" t="n">
        <f aca="false">ROUND(IF(E65=0,IF((D65+N65-O65)&lt;0,ABS(D65+N65-O65),0),IF((N65-E65-O65)&lt;0,ABS(N65-E65-O65),0)),2)</f>
        <v>0</v>
      </c>
    </row>
    <row r="66" customFormat="false" ht="15" hidden="false" customHeight="true" outlineLevel="0" collapsed="false">
      <c r="A66" s="12" t="s">
        <v>194</v>
      </c>
      <c r="B66" s="12" t="str">
        <f aca="false">вересень!B66</f>
        <v>Чепок О.В.</v>
      </c>
      <c r="C66" s="12" t="s">
        <v>196</v>
      </c>
      <c r="D66" s="14" t="n">
        <f aca="false">вересень!P66</f>
        <v>6875.41</v>
      </c>
      <c r="E66" s="14" t="n">
        <f aca="false">вересень!Q66</f>
        <v>0</v>
      </c>
      <c r="F66" s="13" t="n">
        <f aca="false">вересень!F66</f>
        <v>0</v>
      </c>
      <c r="G66" s="13" t="n">
        <f aca="false">вересень!G66</f>
        <v>35</v>
      </c>
      <c r="H66" s="13" t="n">
        <f aca="false">вересень!H66</f>
        <v>0</v>
      </c>
      <c r="I66" s="13" t="n">
        <f aca="false">вересень!I66</f>
        <v>4.1</v>
      </c>
      <c r="J66" s="14" t="n">
        <f aca="false">ROUND(G66*I66,2)</f>
        <v>143.5</v>
      </c>
      <c r="K66" s="14"/>
      <c r="L66" s="14"/>
      <c r="M66" s="14"/>
      <c r="N66" s="14" t="n">
        <f aca="false">ROUND((G66*I66)-K66-L66-M66,2)</f>
        <v>143.5</v>
      </c>
      <c r="O66" s="14"/>
      <c r="P66" s="14" t="n">
        <f aca="false">ROUND(IF(D66=0,IF((N66-E66-O66)&gt;0,(N66-E66-O66),0),IF((D66+N66-O66)&gt;0,(D66+N66-O66),0)),2)</f>
        <v>7018.91</v>
      </c>
      <c r="Q66" s="14" t="n">
        <f aca="false">ROUND(IF(E66=0,IF((D66+N66-O66)&lt;0,ABS(D66+N66-O66),0),IF((N66-E66-O66)&lt;0,ABS(N66-E66-O66),0)),2)</f>
        <v>0</v>
      </c>
    </row>
    <row r="67" customFormat="false" ht="15" hidden="false" customHeight="true" outlineLevel="0" collapsed="false">
      <c r="A67" s="12" t="s">
        <v>197</v>
      </c>
      <c r="B67" s="12" t="str">
        <f aca="false">вересень!B67</f>
        <v>Горошенко Л.С.</v>
      </c>
      <c r="C67" s="12" t="s">
        <v>199</v>
      </c>
      <c r="D67" s="14" t="n">
        <f aca="false">вересень!P67</f>
        <v>3840.47</v>
      </c>
      <c r="E67" s="14" t="n">
        <f aca="false">вересень!Q67</f>
        <v>0</v>
      </c>
      <c r="F67" s="13" t="n">
        <f aca="false">вересень!F67</f>
        <v>0</v>
      </c>
      <c r="G67" s="13" t="n">
        <f aca="false">вересень!G67</f>
        <v>49.3</v>
      </c>
      <c r="H67" s="13" t="n">
        <f aca="false">вересень!H67</f>
        <v>0</v>
      </c>
      <c r="I67" s="13" t="n">
        <f aca="false">вересень!I67</f>
        <v>4.1</v>
      </c>
      <c r="J67" s="14" t="n">
        <f aca="false">ROUND(G67*I67,2)</f>
        <v>202.13</v>
      </c>
      <c r="K67" s="14"/>
      <c r="L67" s="14"/>
      <c r="M67" s="14"/>
      <c r="N67" s="14" t="n">
        <f aca="false">ROUND((G67*I67)-K67-L67-M67,2)</f>
        <v>202.13</v>
      </c>
      <c r="O67" s="14"/>
      <c r="P67" s="14" t="n">
        <f aca="false">ROUND(IF(D67=0,IF((N67-E67-O67)&gt;0,(N67-E67-O67),0),IF((D67+N67-O67)&gt;0,(D67+N67-O67),0)),2)</f>
        <v>4042.6</v>
      </c>
      <c r="Q67" s="14" t="n">
        <f aca="false">ROUND(IF(E67=0,IF((D67+N67-O67)&lt;0,ABS(D67+N67-O67),0),IF((N67-E67-O67)&lt;0,ABS(N67-E67-O67),0)),2)</f>
        <v>0</v>
      </c>
    </row>
    <row r="68" customFormat="false" ht="15" hidden="false" customHeight="true" outlineLevel="0" collapsed="false">
      <c r="A68" s="12" t="s">
        <v>200</v>
      </c>
      <c r="B68" s="12" t="str">
        <f aca="false">вересень!B68</f>
        <v>Неграчева Л.Г.</v>
      </c>
      <c r="C68" s="12" t="s">
        <v>202</v>
      </c>
      <c r="D68" s="14" t="n">
        <f aca="false">вересень!P68</f>
        <v>2457.54</v>
      </c>
      <c r="E68" s="14" t="n">
        <f aca="false">вересень!Q68</f>
        <v>0</v>
      </c>
      <c r="F68" s="13" t="n">
        <f aca="false">вересень!F68</f>
        <v>0</v>
      </c>
      <c r="G68" s="13" t="n">
        <f aca="false">вересень!G68</f>
        <v>66.6</v>
      </c>
      <c r="H68" s="13" t="n">
        <f aca="false">вересень!H68</f>
        <v>0</v>
      </c>
      <c r="I68" s="13" t="n">
        <f aca="false">вересень!I68</f>
        <v>4.1</v>
      </c>
      <c r="J68" s="14" t="n">
        <f aca="false">ROUND(G68*I68,2)</f>
        <v>273.06</v>
      </c>
      <c r="K68" s="14"/>
      <c r="L68" s="14"/>
      <c r="M68" s="14"/>
      <c r="N68" s="14" t="n">
        <f aca="false">ROUND((G68*I68)-K68-L68-M68,2)</f>
        <v>273.06</v>
      </c>
      <c r="O68" s="14"/>
      <c r="P68" s="14" t="n">
        <f aca="false">ROUND(IF(D68=0,IF((N68-E68-O68)&gt;0,(N68-E68-O68),0),IF((D68+N68-O68)&gt;0,(D68+N68-O68),0)),2)</f>
        <v>2730.6</v>
      </c>
      <c r="Q68" s="14" t="n">
        <f aca="false">ROUND(IF(E68=0,IF((D68+N68-O68)&lt;0,ABS(D68+N68-O68),0),IF((N68-E68-O68)&lt;0,ABS(N68-E68-O68),0)),2)</f>
        <v>0</v>
      </c>
    </row>
    <row r="69" customFormat="false" ht="15" hidden="false" customHeight="true" outlineLevel="0" collapsed="false">
      <c r="A69" s="12" t="s">
        <v>203</v>
      </c>
      <c r="B69" s="12" t="str">
        <f aca="false">вересень!B69</f>
        <v>Брежнєв О.В.</v>
      </c>
      <c r="C69" s="12" t="s">
        <v>205</v>
      </c>
      <c r="D69" s="14" t="n">
        <f aca="false">вересень!P69</f>
        <v>3697.63</v>
      </c>
      <c r="E69" s="14" t="n">
        <f aca="false">вересень!Q69</f>
        <v>0</v>
      </c>
      <c r="F69" s="13" t="n">
        <f aca="false">вересень!F69</f>
        <v>0</v>
      </c>
      <c r="G69" s="13" t="n">
        <f aca="false">вересень!G69</f>
        <v>61.88</v>
      </c>
      <c r="H69" s="13" t="n">
        <f aca="false">вересень!H69</f>
        <v>0</v>
      </c>
      <c r="I69" s="13" t="n">
        <f aca="false">вересень!I69</f>
        <v>4.1</v>
      </c>
      <c r="J69" s="14" t="n">
        <f aca="false">ROUND(G69*I69,2)</f>
        <v>253.71</v>
      </c>
      <c r="K69" s="14"/>
      <c r="L69" s="14"/>
      <c r="M69" s="14"/>
      <c r="N69" s="14" t="n">
        <f aca="false">ROUND((G69*I69)-K69-L69-M69,2)</f>
        <v>253.71</v>
      </c>
      <c r="O69" s="14"/>
      <c r="P69" s="14" t="n">
        <f aca="false">ROUND(IF(D69=0,IF((N69-E69-O69)&gt;0,(N69-E69-O69),0),IF((D69+N69-O69)&gt;0,(D69+N69-O69),0)),2)</f>
        <v>3951.34</v>
      </c>
      <c r="Q69" s="14" t="n">
        <f aca="false">ROUND(IF(E69=0,IF((D69+N69-O69)&lt;0,ABS(D69+N69-O69),0),IF((N69-E69-O69)&lt;0,ABS(N69-E69-O69),0)),2)</f>
        <v>0</v>
      </c>
    </row>
    <row r="70" customFormat="false" ht="15" hidden="false" customHeight="true" outlineLevel="0" collapsed="false">
      <c r="A70" s="12" t="s">
        <v>206</v>
      </c>
      <c r="B70" s="12" t="str">
        <f aca="false">вересень!B70</f>
        <v>Горбатюк К.О.</v>
      </c>
      <c r="C70" s="12" t="s">
        <v>208</v>
      </c>
      <c r="D70" s="14" t="n">
        <f aca="false">вересень!P70</f>
        <v>2293.44</v>
      </c>
      <c r="E70" s="14" t="n">
        <f aca="false">вересень!Q70</f>
        <v>0</v>
      </c>
      <c r="F70" s="13" t="n">
        <f aca="false">вересень!F70</f>
        <v>0</v>
      </c>
      <c r="G70" s="13" t="n">
        <f aca="false">вересень!G70</f>
        <v>34.96</v>
      </c>
      <c r="H70" s="13" t="n">
        <f aca="false">вересень!H70</f>
        <v>0</v>
      </c>
      <c r="I70" s="13" t="n">
        <f aca="false">вересень!I70</f>
        <v>4.1</v>
      </c>
      <c r="J70" s="14" t="n">
        <f aca="false">ROUND(G70*I70,2)</f>
        <v>143.34</v>
      </c>
      <c r="K70" s="14"/>
      <c r="L70" s="14"/>
      <c r="M70" s="14"/>
      <c r="N70" s="14" t="n">
        <f aca="false">ROUND((G70*I70)-K70-L70-M70,2)</f>
        <v>143.34</v>
      </c>
      <c r="O70" s="14"/>
      <c r="P70" s="14" t="n">
        <f aca="false">ROUND(IF(D70=0,IF((N70-E70-O70)&gt;0,(N70-E70-O70),0),IF((D70+N70-O70)&gt;0,(D70+N70-O70),0)),2)</f>
        <v>2436.78</v>
      </c>
      <c r="Q70" s="14" t="n">
        <f aca="false">ROUND(IF(E70=0,IF((D70+N70-O70)&lt;0,ABS(D70+N70-O70),0),IF((N70-E70-O70)&lt;0,ABS(N70-E70-O70),0)),2)</f>
        <v>0</v>
      </c>
    </row>
    <row r="71" customFormat="false" ht="15" hidden="false" customHeight="true" outlineLevel="0" collapsed="false">
      <c r="A71" s="12" t="s">
        <v>209</v>
      </c>
      <c r="B71" s="12" t="str">
        <f aca="false">вересень!B71</f>
        <v>Божик М.О.</v>
      </c>
      <c r="C71" s="12" t="s">
        <v>211</v>
      </c>
      <c r="D71" s="14" t="n">
        <f aca="false">вересень!P71</f>
        <v>1640.96</v>
      </c>
      <c r="E71" s="14" t="n">
        <f aca="false">вересень!Q71</f>
        <v>0</v>
      </c>
      <c r="F71" s="13" t="n">
        <f aca="false">вересень!F71</f>
        <v>0</v>
      </c>
      <c r="G71" s="13" t="n">
        <f aca="false">вересень!G71</f>
        <v>50.03</v>
      </c>
      <c r="H71" s="13" t="n">
        <f aca="false">вересень!H71</f>
        <v>0</v>
      </c>
      <c r="I71" s="13" t="n">
        <f aca="false">вересень!I71</f>
        <v>4.1</v>
      </c>
      <c r="J71" s="14" t="n">
        <f aca="false">ROUND(G71*I71,2)</f>
        <v>205.12</v>
      </c>
      <c r="K71" s="14"/>
      <c r="L71" s="14"/>
      <c r="M71" s="14"/>
      <c r="N71" s="14" t="n">
        <f aca="false">ROUND((G71*I71)-K71-L71-M71,2)</f>
        <v>205.12</v>
      </c>
      <c r="O71" s="14"/>
      <c r="P71" s="14" t="n">
        <f aca="false">ROUND(IF(D71=0,IF((N71-E71-O71)&gt;0,(N71-E71-O71),0),IF((D71+N71-O71)&gt;0,(D71+N71-O71),0)),2)</f>
        <v>1846.08</v>
      </c>
      <c r="Q71" s="14" t="n">
        <f aca="false">ROUND(IF(E71=0,IF((D71+N71-O71)&lt;0,ABS(D71+N71-O71),0),IF((N71-E71-O71)&lt;0,ABS(N71-E71-O71),0)),2)</f>
        <v>0</v>
      </c>
    </row>
    <row r="72" customFormat="false" ht="15" hidden="false" customHeight="true" outlineLevel="0" collapsed="false">
      <c r="A72" s="12" t="s">
        <v>212</v>
      </c>
      <c r="B72" s="12" t="str">
        <f aca="false">вересень!B72</f>
        <v>Зайченко С.Л</v>
      </c>
      <c r="C72" s="12" t="s">
        <v>214</v>
      </c>
      <c r="D72" s="14" t="n">
        <f aca="false">вересень!P72</f>
        <v>14929.05</v>
      </c>
      <c r="E72" s="14" t="n">
        <f aca="false">вересень!Q72</f>
        <v>0</v>
      </c>
      <c r="F72" s="13" t="n">
        <f aca="false">вересень!F72</f>
        <v>0</v>
      </c>
      <c r="G72" s="13" t="n">
        <f aca="false">вересень!G72</f>
        <v>65.15</v>
      </c>
      <c r="H72" s="13" t="n">
        <f aca="false">вересень!H72</f>
        <v>0</v>
      </c>
      <c r="I72" s="13" t="n">
        <f aca="false">вересень!I72</f>
        <v>4.1</v>
      </c>
      <c r="J72" s="14" t="n">
        <f aca="false">ROUND(G72*I72,2)</f>
        <v>267.12</v>
      </c>
      <c r="K72" s="14"/>
      <c r="L72" s="14"/>
      <c r="M72" s="14"/>
      <c r="N72" s="14" t="n">
        <f aca="false">ROUND((G72*I72)-K72-L72-M72,2)</f>
        <v>267.12</v>
      </c>
      <c r="O72" s="14"/>
      <c r="P72" s="14" t="n">
        <f aca="false">ROUND(IF(D72=0,IF((N72-E72-O72)&gt;0,(N72-E72-O72),0),IF((D72+N72-O72)&gt;0,(D72+N72-O72),0)),2)</f>
        <v>15196.17</v>
      </c>
      <c r="Q72" s="14" t="n">
        <f aca="false">ROUND(IF(E72=0,IF((D72+N72-O72)&lt;0,ABS(D72+N72-O72),0),IF((N72-E72-O72)&lt;0,ABS(N72-E72-O72),0)),2)</f>
        <v>0</v>
      </c>
    </row>
    <row r="73" customFormat="false" ht="15" hidden="false" customHeight="true" outlineLevel="0" collapsed="false">
      <c r="A73" s="12" t="s">
        <v>215</v>
      </c>
      <c r="B73" s="12" t="str">
        <f aca="false">вересень!B73</f>
        <v>Бессараб Н.Г.</v>
      </c>
      <c r="C73" s="12" t="s">
        <v>217</v>
      </c>
      <c r="D73" s="14" t="n">
        <f aca="false">вересень!P73</f>
        <v>3887.79</v>
      </c>
      <c r="E73" s="14" t="n">
        <f aca="false">вересень!Q73</f>
        <v>0</v>
      </c>
      <c r="F73" s="13" t="n">
        <f aca="false">вересень!F73</f>
        <v>0</v>
      </c>
      <c r="G73" s="13" t="n">
        <f aca="false">вересень!G73</f>
        <v>63.41</v>
      </c>
      <c r="H73" s="13" t="n">
        <f aca="false">вересень!H73</f>
        <v>0</v>
      </c>
      <c r="I73" s="13" t="n">
        <f aca="false">вересень!I73</f>
        <v>4.1</v>
      </c>
      <c r="J73" s="14" t="n">
        <f aca="false">ROUND(G73*I73,2)</f>
        <v>259.98</v>
      </c>
      <c r="K73" s="14"/>
      <c r="L73" s="14"/>
      <c r="M73" s="14"/>
      <c r="N73" s="14" t="n">
        <f aca="false">ROUND((G73*I73)-K73-L73-M73,2)</f>
        <v>259.98</v>
      </c>
      <c r="O73" s="14"/>
      <c r="P73" s="14" t="n">
        <f aca="false">ROUND(IF(D73=0,IF((N73-E73-O73)&gt;0,(N73-E73-O73),0),IF((D73+N73-O73)&gt;0,(D73+N73-O73),0)),2)</f>
        <v>4147.77</v>
      </c>
      <c r="Q73" s="14" t="n">
        <f aca="false">ROUND(IF(E73=0,IF((D73+N73-O73)&lt;0,ABS(D73+N73-O73),0),IF((N73-E73-O73)&lt;0,ABS(N73-E73-O73),0)),2)</f>
        <v>0</v>
      </c>
    </row>
    <row r="74" customFormat="false" ht="15" hidden="false" customHeight="true" outlineLevel="0" collapsed="false">
      <c r="A74" s="12" t="s">
        <v>218</v>
      </c>
      <c r="B74" s="12" t="str">
        <f aca="false">вересень!B74</f>
        <v>Прохорова С.І.</v>
      </c>
      <c r="C74" s="12" t="s">
        <v>220</v>
      </c>
      <c r="D74" s="14" t="n">
        <f aca="false">вересень!P74</f>
        <v>1252.76</v>
      </c>
      <c r="E74" s="14" t="n">
        <f aca="false">вересень!Q74</f>
        <v>0</v>
      </c>
      <c r="F74" s="13" t="n">
        <f aca="false">вересень!F74</f>
        <v>0</v>
      </c>
      <c r="G74" s="13" t="n">
        <f aca="false">вересень!G74</f>
        <v>35.19</v>
      </c>
      <c r="H74" s="13" t="n">
        <f aca="false">вересень!H74</f>
        <v>0</v>
      </c>
      <c r="I74" s="13" t="n">
        <f aca="false">вересень!I74</f>
        <v>4.1</v>
      </c>
      <c r="J74" s="14" t="n">
        <f aca="false">ROUND(G74*I74,2)</f>
        <v>144.28</v>
      </c>
      <c r="K74" s="14"/>
      <c r="L74" s="14"/>
      <c r="M74" s="14"/>
      <c r="N74" s="14" t="n">
        <f aca="false">ROUND((G74*I74)-K74-L74-M74,2)</f>
        <v>144.28</v>
      </c>
      <c r="O74" s="14"/>
      <c r="P74" s="14" t="n">
        <f aca="false">ROUND(IF(D74=0,IF((N74-E74-O74)&gt;0,(N74-E74-O74),0),IF((D74+N74-O74)&gt;0,(D74+N74-O74),0)),2)</f>
        <v>1397.04</v>
      </c>
      <c r="Q74" s="14" t="n">
        <f aca="false">ROUND(IF(E74=0,IF((D74+N74-O74)&lt;0,ABS(D74+N74-O74),0),IF((N74-E74-O74)&lt;0,ABS(N74-E74-O74),0)),2)</f>
        <v>0</v>
      </c>
    </row>
    <row r="75" customFormat="false" ht="15" hidden="false" customHeight="true" outlineLevel="0" collapsed="false">
      <c r="A75" s="12" t="s">
        <v>221</v>
      </c>
      <c r="B75" s="12" t="str">
        <f aca="false">вересень!B75</f>
        <v>Браташ А.Ф.</v>
      </c>
      <c r="C75" s="12" t="s">
        <v>223</v>
      </c>
      <c r="D75" s="14" t="n">
        <f aca="false">вересень!P75</f>
        <v>11722.02</v>
      </c>
      <c r="E75" s="14" t="n">
        <f aca="false">вересень!Q75</f>
        <v>0</v>
      </c>
      <c r="F75" s="13" t="n">
        <f aca="false">вересень!F75</f>
        <v>0</v>
      </c>
      <c r="G75" s="13" t="n">
        <f aca="false">вересень!G75</f>
        <v>49.89</v>
      </c>
      <c r="H75" s="13" t="n">
        <f aca="false">вересень!H75</f>
        <v>0</v>
      </c>
      <c r="I75" s="13" t="n">
        <f aca="false">вересень!I75</f>
        <v>4.1</v>
      </c>
      <c r="J75" s="14" t="n">
        <f aca="false">ROUND(G75*I75,2)</f>
        <v>204.55</v>
      </c>
      <c r="K75" s="14"/>
      <c r="L75" s="14"/>
      <c r="M75" s="14"/>
      <c r="N75" s="14" t="n">
        <f aca="false">ROUND((G75*I75)-K75-L75-M75,2)</f>
        <v>204.55</v>
      </c>
      <c r="O75" s="14"/>
      <c r="P75" s="14" t="n">
        <f aca="false">ROUND(IF(D75=0,IF((N75-E75-O75)&gt;0,(N75-E75-O75),0),IF((D75+N75-O75)&gt;0,(D75+N75-O75),0)),2)</f>
        <v>11926.57</v>
      </c>
      <c r="Q75" s="14" t="n">
        <f aca="false">ROUND(IF(E75=0,IF((D75+N75-O75)&lt;0,ABS(D75+N75-O75),0),IF((N75-E75-O75)&lt;0,ABS(N75-E75-O75),0)),2)</f>
        <v>0</v>
      </c>
    </row>
    <row r="76" customFormat="false" ht="15" hidden="false" customHeight="true" outlineLevel="0" collapsed="false">
      <c r="A76" s="12" t="s">
        <v>224</v>
      </c>
      <c r="B76" s="12" t="str">
        <f aca="false">вересень!B76</f>
        <v>Кудас Д.О.</v>
      </c>
      <c r="C76" s="12" t="s">
        <v>226</v>
      </c>
      <c r="D76" s="14" t="n">
        <f aca="false">вересень!P76</f>
        <v>3466.06</v>
      </c>
      <c r="E76" s="14" t="n">
        <f aca="false">вересень!Q76</f>
        <v>0</v>
      </c>
      <c r="F76" s="13" t="n">
        <f aca="false">вересень!F76</f>
        <v>0</v>
      </c>
      <c r="G76" s="13" t="n">
        <f aca="false">вересень!G76</f>
        <v>65.03</v>
      </c>
      <c r="H76" s="13" t="n">
        <f aca="false">вересень!H76</f>
        <v>0</v>
      </c>
      <c r="I76" s="13" t="n">
        <f aca="false">вересень!I76</f>
        <v>4.1</v>
      </c>
      <c r="J76" s="14" t="n">
        <f aca="false">ROUND(G76*I76,2)</f>
        <v>266.62</v>
      </c>
      <c r="K76" s="14"/>
      <c r="L76" s="14"/>
      <c r="M76" s="14"/>
      <c r="N76" s="14" t="n">
        <f aca="false">ROUND((G76*I76)-K76-L76-M76,2)</f>
        <v>266.62</v>
      </c>
      <c r="O76" s="14"/>
      <c r="P76" s="14" t="n">
        <f aca="false">ROUND(IF(D76=0,IF((N76-E76-O76)&gt;0,(N76-E76-O76),0),IF((D76+N76-O76)&gt;0,(D76+N76-O76),0)),2)</f>
        <v>3732.68</v>
      </c>
      <c r="Q76" s="14" t="n">
        <f aca="false">ROUND(IF(E76=0,IF((D76+N76-O76)&lt;0,ABS(D76+N76-O76),0),IF((N76-E76-O76)&lt;0,ABS(N76-E76-O76),0)),2)</f>
        <v>0</v>
      </c>
    </row>
    <row r="77" customFormat="false" ht="15" hidden="false" customHeight="true" outlineLevel="0" collapsed="false">
      <c r="A77" s="12" t="s">
        <v>227</v>
      </c>
      <c r="B77" s="12" t="str">
        <f aca="false">вересень!B77</f>
        <v>Шушлєбін Б.В.</v>
      </c>
      <c r="C77" s="12" t="s">
        <v>229</v>
      </c>
      <c r="D77" s="14" t="n">
        <f aca="false">вересень!P77</f>
        <v>2121.15</v>
      </c>
      <c r="E77" s="14" t="n">
        <f aca="false">вересень!Q77</f>
        <v>0</v>
      </c>
      <c r="F77" s="13" t="n">
        <f aca="false">вересень!F77</f>
        <v>0</v>
      </c>
      <c r="G77" s="13" t="n">
        <f aca="false">вересень!G77</f>
        <v>62.11</v>
      </c>
      <c r="H77" s="13" t="n">
        <f aca="false">вересень!H77</f>
        <v>0</v>
      </c>
      <c r="I77" s="13" t="n">
        <f aca="false">вересень!I77</f>
        <v>4.1</v>
      </c>
      <c r="J77" s="14" t="n">
        <f aca="false">ROUND(G77*I77,2)</f>
        <v>254.65</v>
      </c>
      <c r="K77" s="14"/>
      <c r="L77" s="14"/>
      <c r="M77" s="14"/>
      <c r="N77" s="14" t="n">
        <f aca="false">ROUND((G77*I77)-K77-L77-M77,2)</f>
        <v>254.65</v>
      </c>
      <c r="O77" s="14"/>
      <c r="P77" s="14" t="n">
        <f aca="false">ROUND(IF(D77=0,IF((N77-E77-O77)&gt;0,(N77-E77-O77),0),IF((D77+N77-O77)&gt;0,(D77+N77-O77),0)),2)</f>
        <v>2375.8</v>
      </c>
      <c r="Q77" s="14" t="n">
        <f aca="false">ROUND(IF(E77=0,IF((D77+N77-O77)&lt;0,ABS(D77+N77-O77),0),IF((N77-E77-O77)&lt;0,ABS(N77-E77-O77),0)),2)</f>
        <v>0</v>
      </c>
    </row>
    <row r="78" customFormat="false" ht="15" hidden="false" customHeight="true" outlineLevel="0" collapsed="false">
      <c r="A78" s="12" t="s">
        <v>230</v>
      </c>
      <c r="B78" s="12" t="str">
        <f aca="false">вересень!B78</f>
        <v>Бородіна І.О.</v>
      </c>
      <c r="C78" s="12" t="s">
        <v>232</v>
      </c>
      <c r="D78" s="14" t="n">
        <f aca="false">вересень!P78</f>
        <v>7477.8</v>
      </c>
      <c r="E78" s="14" t="n">
        <f aca="false">вересень!Q78</f>
        <v>0</v>
      </c>
      <c r="F78" s="13" t="n">
        <f aca="false">вересень!F78</f>
        <v>0</v>
      </c>
      <c r="G78" s="13" t="n">
        <f aca="false">вересень!G78</f>
        <v>34.9</v>
      </c>
      <c r="H78" s="13" t="n">
        <f aca="false">вересень!H78</f>
        <v>0</v>
      </c>
      <c r="I78" s="13" t="n">
        <f aca="false">вересень!I78</f>
        <v>4.1</v>
      </c>
      <c r="J78" s="14" t="n">
        <f aca="false">ROUND(G78*I78,2)</f>
        <v>143.09</v>
      </c>
      <c r="K78" s="14"/>
      <c r="L78" s="14"/>
      <c r="M78" s="14"/>
      <c r="N78" s="14" t="n">
        <f aca="false">ROUND((G78*I78)-K78-L78-M78,2)</f>
        <v>143.09</v>
      </c>
      <c r="O78" s="14"/>
      <c r="P78" s="14" t="n">
        <f aca="false">ROUND(IF(D78=0,IF((N78-E78-O78)&gt;0,(N78-E78-O78),0),IF((D78+N78-O78)&gt;0,(D78+N78-O78),0)),2)</f>
        <v>7620.89</v>
      </c>
      <c r="Q78" s="14" t="n">
        <f aca="false">ROUND(IF(E78=0,IF((D78+N78-O78)&lt;0,ABS(D78+N78-O78),0),IF((N78-E78-O78)&lt;0,ABS(N78-E78-O78),0)),2)</f>
        <v>0</v>
      </c>
    </row>
    <row r="79" customFormat="false" ht="15" hidden="false" customHeight="true" outlineLevel="0" collapsed="false">
      <c r="A79" s="12" t="s">
        <v>233</v>
      </c>
      <c r="B79" s="12" t="str">
        <f aca="false">вересень!B79</f>
        <v>Котурга Л.Й.</v>
      </c>
      <c r="C79" s="12" t="s">
        <v>235</v>
      </c>
      <c r="D79" s="14" t="n">
        <f aca="false">вересень!P79</f>
        <v>1815.48</v>
      </c>
      <c r="E79" s="14" t="n">
        <f aca="false">вересень!Q79</f>
        <v>0</v>
      </c>
      <c r="F79" s="13" t="n">
        <f aca="false">вересень!F79</f>
        <v>0</v>
      </c>
      <c r="G79" s="13" t="n">
        <f aca="false">вересень!G79</f>
        <v>49.2</v>
      </c>
      <c r="H79" s="13" t="n">
        <f aca="false">вересень!H79</f>
        <v>0</v>
      </c>
      <c r="I79" s="13" t="n">
        <f aca="false">вересень!I79</f>
        <v>4.1</v>
      </c>
      <c r="J79" s="14" t="n">
        <f aca="false">ROUND(G79*I79,2)</f>
        <v>201.72</v>
      </c>
      <c r="K79" s="14"/>
      <c r="L79" s="14"/>
      <c r="M79" s="14"/>
      <c r="N79" s="14" t="n">
        <f aca="false">ROUND((G79*I79)-K79-L79-M79,2)</f>
        <v>201.72</v>
      </c>
      <c r="O79" s="14"/>
      <c r="P79" s="14" t="n">
        <f aca="false">ROUND(IF(D79=0,IF((N79-E79-O79)&gt;0,(N79-E79-O79),0),IF((D79+N79-O79)&gt;0,(D79+N79-O79),0)),2)</f>
        <v>2017.2</v>
      </c>
      <c r="Q79" s="14" t="n">
        <f aca="false">ROUND(IF(E79=0,IF((D79+N79-O79)&lt;0,ABS(D79+N79-O79),0),IF((N79-E79-O79)&lt;0,ABS(N79-E79-O79),0)),2)</f>
        <v>0</v>
      </c>
    </row>
    <row r="80" customFormat="false" ht="15" hidden="false" customHeight="true" outlineLevel="0" collapsed="false">
      <c r="A80" s="12" t="s">
        <v>236</v>
      </c>
      <c r="B80" s="12" t="str">
        <f aca="false">вересень!B80</f>
        <v>Горова О.І.</v>
      </c>
      <c r="C80" s="12" t="s">
        <v>238</v>
      </c>
      <c r="D80" s="14" t="n">
        <f aca="false">вересень!P80</f>
        <v>2682.6</v>
      </c>
      <c r="E80" s="14" t="n">
        <f aca="false">вересень!Q80</f>
        <v>0</v>
      </c>
      <c r="F80" s="13" t="n">
        <f aca="false">вересень!F80</f>
        <v>0</v>
      </c>
      <c r="G80" s="13" t="n">
        <f aca="false">вересень!G80</f>
        <v>65.43</v>
      </c>
      <c r="H80" s="13" t="n">
        <f aca="false">вересень!H80</f>
        <v>0</v>
      </c>
      <c r="I80" s="13" t="n">
        <f aca="false">вересень!I80</f>
        <v>4.1</v>
      </c>
      <c r="J80" s="14" t="n">
        <f aca="false">ROUND(G80*I80,2)</f>
        <v>268.26</v>
      </c>
      <c r="K80" s="14"/>
      <c r="L80" s="14"/>
      <c r="M80" s="14"/>
      <c r="N80" s="14" t="n">
        <f aca="false">ROUND((G80*I80)-K80-L80-M80,2)</f>
        <v>268.26</v>
      </c>
      <c r="O80" s="14"/>
      <c r="P80" s="14" t="n">
        <f aca="false">ROUND(IF(D80=0,IF((N80-E80-O80)&gt;0,(N80-E80-O80),0),IF((D80+N80-O80)&gt;0,(D80+N80-O80),0)),2)</f>
        <v>2950.86</v>
      </c>
      <c r="Q80" s="14" t="n">
        <f aca="false">ROUND(IF(E80=0,IF((D80+N80-O80)&lt;0,ABS(D80+N80-O80),0),IF((N80-E80-O80)&lt;0,ABS(N80-E80-O80),0)),2)</f>
        <v>0</v>
      </c>
    </row>
    <row r="81" customFormat="false" ht="15" hidden="false" customHeight="true" outlineLevel="0" collapsed="false">
      <c r="A81" s="12" t="s">
        <v>239</v>
      </c>
      <c r="B81" s="12" t="str">
        <f aca="false">вересень!B81</f>
        <v>Рибакевич М.П.</v>
      </c>
      <c r="C81" s="12" t="s">
        <v>241</v>
      </c>
      <c r="D81" s="14" t="n">
        <f aca="false">вересень!P81</f>
        <v>3392.35</v>
      </c>
      <c r="E81" s="14" t="n">
        <f aca="false">вересень!Q81</f>
        <v>0</v>
      </c>
      <c r="F81" s="13" t="n">
        <f aca="false">вересень!F81</f>
        <v>0</v>
      </c>
      <c r="G81" s="13" t="n">
        <f aca="false">вересень!G81</f>
        <v>64.5</v>
      </c>
      <c r="H81" s="13" t="n">
        <f aca="false">вересень!H81</f>
        <v>0</v>
      </c>
      <c r="I81" s="13" t="n">
        <f aca="false">вересень!I81</f>
        <v>4.1</v>
      </c>
      <c r="J81" s="14" t="n">
        <f aca="false">ROUND(G81*I81,2)</f>
        <v>264.45</v>
      </c>
      <c r="K81" s="14"/>
      <c r="L81" s="14"/>
      <c r="M81" s="14"/>
      <c r="N81" s="14" t="n">
        <f aca="false">ROUND((G81*I81)-K81-L81-M81,2)</f>
        <v>264.45</v>
      </c>
      <c r="O81" s="14"/>
      <c r="P81" s="14" t="n">
        <f aca="false">ROUND(IF(D81=0,IF((N81-E81-O81)&gt;0,(N81-E81-O81),0),IF((D81+N81-O81)&gt;0,(D81+N81-O81),0)),2)</f>
        <v>3656.8</v>
      </c>
      <c r="Q81" s="14" t="n">
        <f aca="false">ROUND(IF(E81=0,IF((D81+N81-O81)&lt;0,ABS(D81+N81-O81),0),IF((N81-E81-O81)&lt;0,ABS(N81-E81-O81),0)),2)</f>
        <v>0</v>
      </c>
    </row>
    <row r="82" customFormat="false" ht="15" hidden="false" customHeight="true" outlineLevel="0" collapsed="false">
      <c r="A82" s="12" t="s">
        <v>242</v>
      </c>
      <c r="B82" s="12" t="str">
        <f aca="false">вересень!B82</f>
        <v>Башкалов В.В.</v>
      </c>
      <c r="C82" s="12" t="s">
        <v>244</v>
      </c>
      <c r="D82" s="14" t="n">
        <f aca="false">вересень!P82</f>
        <v>1871.6</v>
      </c>
      <c r="E82" s="14" t="n">
        <f aca="false">вересень!Q82</f>
        <v>0</v>
      </c>
      <c r="F82" s="13" t="n">
        <f aca="false">вересень!F82</f>
        <v>0</v>
      </c>
      <c r="G82" s="13" t="n">
        <f aca="false">вересень!G82</f>
        <v>50.8</v>
      </c>
      <c r="H82" s="13" t="n">
        <f aca="false">вересень!H82</f>
        <v>0</v>
      </c>
      <c r="I82" s="13" t="n">
        <f aca="false">вересень!I82</f>
        <v>4.1</v>
      </c>
      <c r="J82" s="14" t="n">
        <f aca="false">ROUND(G82*I82,2)</f>
        <v>208.28</v>
      </c>
      <c r="K82" s="14"/>
      <c r="L82" s="14"/>
      <c r="M82" s="14"/>
      <c r="N82" s="14" t="n">
        <f aca="false">ROUND((G82*I82)-K82-L82-M82,2)</f>
        <v>208.28</v>
      </c>
      <c r="O82" s="14"/>
      <c r="P82" s="14" t="n">
        <f aca="false">ROUND(IF(D82=0,IF((N82-E82-O82)&gt;0,(N82-E82-O82),0),IF((D82+N82-O82)&gt;0,(D82+N82-O82),0)),2)</f>
        <v>2079.88</v>
      </c>
      <c r="Q82" s="14" t="n">
        <f aca="false">ROUND(IF(E82=0,IF((D82+N82-O82)&lt;0,ABS(D82+N82-O82),0),IF((N82-E82-O82)&lt;0,ABS(N82-E82-O82),0)),2)</f>
        <v>0</v>
      </c>
    </row>
    <row r="83" customFormat="false" ht="15" hidden="false" customHeight="true" outlineLevel="0" collapsed="false">
      <c r="A83" s="12" t="s">
        <v>245</v>
      </c>
      <c r="B83" s="12" t="str">
        <f aca="false">вересень!B83</f>
        <v>Тіхенко Г.Д.</v>
      </c>
      <c r="C83" s="12" t="s">
        <v>247</v>
      </c>
      <c r="D83" s="14" t="n">
        <f aca="false">вересень!P83</f>
        <v>5005.32</v>
      </c>
      <c r="E83" s="14" t="n">
        <f aca="false">вересень!Q83</f>
        <v>0</v>
      </c>
      <c r="F83" s="13" t="n">
        <f aca="false">вересень!F83</f>
        <v>0</v>
      </c>
      <c r="G83" s="13" t="n">
        <f aca="false">вересень!G83</f>
        <v>34.9</v>
      </c>
      <c r="H83" s="13" t="n">
        <f aca="false">вересень!H83</f>
        <v>0</v>
      </c>
      <c r="I83" s="13" t="n">
        <f aca="false">вересень!I83</f>
        <v>4.1</v>
      </c>
      <c r="J83" s="14" t="n">
        <f aca="false">ROUND(G83*I83,2)</f>
        <v>143.09</v>
      </c>
      <c r="K83" s="14"/>
      <c r="L83" s="14"/>
      <c r="M83" s="14"/>
      <c r="N83" s="14" t="n">
        <f aca="false">ROUND((G83*I83)-K83-L83-M83,2)</f>
        <v>143.09</v>
      </c>
      <c r="O83" s="14"/>
      <c r="P83" s="14" t="n">
        <f aca="false">ROUND(IF(D83=0,IF((N83-E83-O83)&gt;0,(N83-E83-O83),0),IF((D83+N83-O83)&gt;0,(D83+N83-O83),0)),2)</f>
        <v>5148.41</v>
      </c>
      <c r="Q83" s="14" t="n">
        <f aca="false">ROUND(IF(E83=0,IF((D83+N83-O83)&lt;0,ABS(D83+N83-O83),0),IF((N83-E83-O83)&lt;0,ABS(N83-E83-O83),0)),2)</f>
        <v>0</v>
      </c>
    </row>
    <row r="84" customFormat="false" ht="15" hidden="false" customHeight="true" outlineLevel="0" collapsed="false">
      <c r="A84" s="12" t="s">
        <v>248</v>
      </c>
      <c r="B84" s="12" t="str">
        <f aca="false">вересень!B84</f>
        <v>Головченко В.Г.</v>
      </c>
      <c r="C84" s="12" t="s">
        <v>250</v>
      </c>
      <c r="D84" s="14" t="n">
        <f aca="false">вересень!P84</f>
        <v>2251</v>
      </c>
      <c r="E84" s="14" t="n">
        <f aca="false">вересень!Q84</f>
        <v>0</v>
      </c>
      <c r="F84" s="13" t="n">
        <f aca="false">вересень!F84</f>
        <v>0</v>
      </c>
      <c r="G84" s="13" t="n">
        <f aca="false">вересень!G84</f>
        <v>61</v>
      </c>
      <c r="H84" s="13" t="n">
        <f aca="false">вересень!H84</f>
        <v>0</v>
      </c>
      <c r="I84" s="13" t="n">
        <f aca="false">вересень!I84</f>
        <v>4.1</v>
      </c>
      <c r="J84" s="14" t="n">
        <f aca="false">ROUND(G84*I84,2)</f>
        <v>250.1</v>
      </c>
      <c r="K84" s="14"/>
      <c r="L84" s="14"/>
      <c r="M84" s="14"/>
      <c r="N84" s="14" t="n">
        <f aca="false">ROUND((G84*I84)-K84-L84-M84,2)</f>
        <v>250.1</v>
      </c>
      <c r="O84" s="14"/>
      <c r="P84" s="14" t="n">
        <f aca="false">ROUND(IF(D84=0,IF((N84-E84-O84)&gt;0,(N84-E84-O84),0),IF((D84+N84-O84)&gt;0,(D84+N84-O84),0)),2)</f>
        <v>2501.1</v>
      </c>
      <c r="Q84" s="14" t="n">
        <f aca="false">ROUND(IF(E84=0,IF((D84+N84-O84)&lt;0,ABS(D84+N84-O84),0),IF((N84-E84-O84)&lt;0,ABS(N84-E84-O84),0)),2)</f>
        <v>0</v>
      </c>
    </row>
    <row r="85" customFormat="false" ht="15" hidden="false" customHeight="true" outlineLevel="0" collapsed="false">
      <c r="A85" s="12" t="s">
        <v>251</v>
      </c>
      <c r="B85" s="12" t="str">
        <f aca="false">вересень!B85</f>
        <v>Семанішина Є.С.</v>
      </c>
      <c r="C85" s="12" t="s">
        <v>253</v>
      </c>
      <c r="D85" s="14" t="n">
        <f aca="false">вересень!P85</f>
        <v>2781.2</v>
      </c>
      <c r="E85" s="14" t="n">
        <f aca="false">вересень!Q85</f>
        <v>0</v>
      </c>
      <c r="F85" s="13" t="n">
        <f aca="false">вересень!F85</f>
        <v>0</v>
      </c>
      <c r="G85" s="13" t="n">
        <f aca="false">вересень!G85</f>
        <v>64.5</v>
      </c>
      <c r="H85" s="13" t="n">
        <f aca="false">вересень!H85</f>
        <v>0</v>
      </c>
      <c r="I85" s="13" t="n">
        <f aca="false">вересень!I85</f>
        <v>4.1</v>
      </c>
      <c r="J85" s="14" t="n">
        <f aca="false">ROUND(G85*I85,2)</f>
        <v>264.45</v>
      </c>
      <c r="K85" s="14"/>
      <c r="L85" s="14"/>
      <c r="M85" s="14"/>
      <c r="N85" s="14" t="n">
        <f aca="false">ROUND((G85*I85)-K85-L85-M85,2)</f>
        <v>264.45</v>
      </c>
      <c r="O85" s="14"/>
      <c r="P85" s="14" t="n">
        <f aca="false">ROUND(IF(D85=0,IF((N85-E85-O85)&gt;0,(N85-E85-O85),0),IF((D85+N85-O85)&gt;0,(D85+N85-O85),0)),2)</f>
        <v>3045.65</v>
      </c>
      <c r="Q85" s="14" t="n">
        <f aca="false">ROUND(IF(E85=0,IF((D85+N85-O85)&lt;0,ABS(D85+N85-O85),0),IF((N85-E85-O85)&lt;0,ABS(N85-E85-O85),0)),2)</f>
        <v>0</v>
      </c>
    </row>
    <row r="86" customFormat="false" ht="15" hidden="false" customHeight="true" outlineLevel="0" collapsed="false">
      <c r="A86" s="12" t="s">
        <v>254</v>
      </c>
      <c r="B86" s="12" t="str">
        <f aca="false">вересень!B86</f>
        <v>Зінченко Ю.В.</v>
      </c>
      <c r="C86" s="12" t="s">
        <v>256</v>
      </c>
      <c r="D86" s="14" t="n">
        <f aca="false">вересень!P86</f>
        <v>1803.43</v>
      </c>
      <c r="E86" s="14" t="n">
        <f aca="false">вересень!Q86</f>
        <v>0</v>
      </c>
      <c r="F86" s="13" t="n">
        <f aca="false">вересень!F86</f>
        <v>0</v>
      </c>
      <c r="G86" s="13" t="n">
        <f aca="false">вересень!G86</f>
        <v>49.3</v>
      </c>
      <c r="H86" s="13" t="n">
        <f aca="false">вересень!H86</f>
        <v>0</v>
      </c>
      <c r="I86" s="13" t="n">
        <f aca="false">вересень!I86</f>
        <v>4.1</v>
      </c>
      <c r="J86" s="14" t="n">
        <f aca="false">ROUND(G86*I86,2)</f>
        <v>202.13</v>
      </c>
      <c r="K86" s="14"/>
      <c r="L86" s="14"/>
      <c r="M86" s="14"/>
      <c r="N86" s="14" t="n">
        <f aca="false">ROUND((G86*I86)-K86-L86-M86,2)</f>
        <v>202.13</v>
      </c>
      <c r="O86" s="14"/>
      <c r="P86" s="14" t="n">
        <f aca="false">ROUND(IF(D86=0,IF((N86-E86-O86)&gt;0,(N86-E86-O86),0),IF((D86+N86-O86)&gt;0,(D86+N86-O86),0)),2)</f>
        <v>2005.56</v>
      </c>
      <c r="Q86" s="14" t="n">
        <f aca="false">ROUND(IF(E86=0,IF((D86+N86-O86)&lt;0,ABS(D86+N86-O86),0),IF((N86-E86-O86)&lt;0,ABS(N86-E86-O86),0)),2)</f>
        <v>0</v>
      </c>
    </row>
    <row r="87" customFormat="false" ht="15" hidden="false" customHeight="true" outlineLevel="0" collapsed="false">
      <c r="A87" s="12" t="s">
        <v>257</v>
      </c>
      <c r="B87" s="12" t="str">
        <f aca="false">вересень!B87</f>
        <v>Рилова Г.П.</v>
      </c>
      <c r="C87" s="12" t="s">
        <v>259</v>
      </c>
      <c r="D87" s="14" t="n">
        <f aca="false">вересень!P87</f>
        <v>1435</v>
      </c>
      <c r="E87" s="14" t="n">
        <f aca="false">вересень!Q87</f>
        <v>0</v>
      </c>
      <c r="F87" s="13" t="n">
        <f aca="false">вересень!F87</f>
        <v>0</v>
      </c>
      <c r="G87" s="13" t="n">
        <f aca="false">вересень!G87</f>
        <v>35</v>
      </c>
      <c r="H87" s="13" t="n">
        <f aca="false">вересень!H87</f>
        <v>0</v>
      </c>
      <c r="I87" s="13" t="n">
        <f aca="false">вересень!I87</f>
        <v>4.1</v>
      </c>
      <c r="J87" s="14" t="n">
        <f aca="false">ROUND(G87*I87,2)</f>
        <v>143.5</v>
      </c>
      <c r="K87" s="14"/>
      <c r="L87" s="14"/>
      <c r="M87" s="14"/>
      <c r="N87" s="14" t="n">
        <f aca="false">ROUND((G87*I87)-K87-L87-M87,2)</f>
        <v>143.5</v>
      </c>
      <c r="O87" s="14"/>
      <c r="P87" s="14" t="n">
        <f aca="false">ROUND(IF(D87=0,IF((N87-E87-O87)&gt;0,(N87-E87-O87),0),IF((D87+N87-O87)&gt;0,(D87+N87-O87),0)),2)</f>
        <v>1578.5</v>
      </c>
      <c r="Q87" s="14" t="n">
        <f aca="false">ROUND(IF(E87=0,IF((D87+N87-O87)&lt;0,ABS(D87+N87-O87),0),IF((N87-E87-O87)&lt;0,ABS(N87-E87-O87),0)),2)</f>
        <v>0</v>
      </c>
    </row>
    <row r="88" customFormat="false" ht="15" hidden="false" customHeight="true" outlineLevel="0" collapsed="false">
      <c r="A88" s="12" t="s">
        <v>260</v>
      </c>
      <c r="B88" s="12" t="str">
        <f aca="false">вересень!B88</f>
        <v>Ленський І.О.</v>
      </c>
      <c r="C88" s="12" t="s">
        <v>262</v>
      </c>
      <c r="D88" s="14" t="n">
        <f aca="false">вересень!P88</f>
        <v>2533.8</v>
      </c>
      <c r="E88" s="14" t="n">
        <f aca="false">вересень!Q88</f>
        <v>0</v>
      </c>
      <c r="F88" s="13" t="n">
        <f aca="false">вересень!F88</f>
        <v>0</v>
      </c>
      <c r="G88" s="13" t="n">
        <f aca="false">вересень!G88</f>
        <v>61.8</v>
      </c>
      <c r="H88" s="13" t="n">
        <f aca="false">вересень!H88</f>
        <v>0</v>
      </c>
      <c r="I88" s="13" t="n">
        <f aca="false">вересень!I88</f>
        <v>4.1</v>
      </c>
      <c r="J88" s="14" t="n">
        <f aca="false">ROUND(G88*I88,2)</f>
        <v>253.38</v>
      </c>
      <c r="K88" s="14"/>
      <c r="L88" s="14"/>
      <c r="M88" s="14"/>
      <c r="N88" s="14" t="n">
        <f aca="false">ROUND((G88*I88)-K88-L88-M88,2)</f>
        <v>253.38</v>
      </c>
      <c r="O88" s="14"/>
      <c r="P88" s="14" t="n">
        <f aca="false">ROUND(IF(D88=0,IF((N88-E88-O88)&gt;0,(N88-E88-O88),0),IF((D88+N88-O88)&gt;0,(D88+N88-O88),0)),2)</f>
        <v>2787.18</v>
      </c>
      <c r="Q88" s="14" t="n">
        <f aca="false">ROUND(IF(E88=0,IF((D88+N88-O88)&lt;0,ABS(D88+N88-O88),0),IF((N88-E88-O88)&lt;0,ABS(N88-E88-O88),0)),2)</f>
        <v>0</v>
      </c>
    </row>
    <row r="89" customFormat="false" ht="15" hidden="false" customHeight="true" outlineLevel="0" collapsed="false">
      <c r="A89" s="12" t="s">
        <v>263</v>
      </c>
      <c r="B89" s="12" t="str">
        <f aca="false">вересень!B89</f>
        <v>Слюсар О.О.</v>
      </c>
      <c r="C89" s="12" t="s">
        <v>265</v>
      </c>
      <c r="D89" s="14" t="n">
        <f aca="false">вересень!P89</f>
        <v>14975.45</v>
      </c>
      <c r="E89" s="14" t="n">
        <f aca="false">вересень!Q89</f>
        <v>0</v>
      </c>
      <c r="F89" s="13" t="n">
        <f aca="false">вересень!F89</f>
        <v>0</v>
      </c>
      <c r="G89" s="13" t="n">
        <f aca="false">вересень!G89</f>
        <v>65.81</v>
      </c>
      <c r="H89" s="13" t="n">
        <f aca="false">вересень!H89</f>
        <v>0</v>
      </c>
      <c r="I89" s="13" t="n">
        <f aca="false">вересень!I89</f>
        <v>4.1</v>
      </c>
      <c r="J89" s="14" t="n">
        <f aca="false">ROUND(G89*I89,2)</f>
        <v>269.82</v>
      </c>
      <c r="K89" s="14"/>
      <c r="L89" s="14"/>
      <c r="M89" s="14"/>
      <c r="N89" s="14" t="n">
        <f aca="false">ROUND((G89*I89)-K89-L89-M89,2)</f>
        <v>269.82</v>
      </c>
      <c r="O89" s="14"/>
      <c r="P89" s="14" t="n">
        <f aca="false">ROUND(IF(D89=0,IF((N89-E89-O89)&gt;0,(N89-E89-O89),0),IF((D89+N89-O89)&gt;0,(D89+N89-O89),0)),2)</f>
        <v>15245.27</v>
      </c>
      <c r="Q89" s="14" t="n">
        <f aca="false">ROUND(IF(E89=0,IF((D89+N89-O89)&lt;0,ABS(D89+N89-O89),0),IF((N89-E89-O89)&lt;0,ABS(N89-E89-O89),0)),2)</f>
        <v>0</v>
      </c>
    </row>
    <row r="90" customFormat="false" ht="15" hidden="false" customHeight="true" outlineLevel="0" collapsed="false">
      <c r="A90" s="12" t="s">
        <v>266</v>
      </c>
      <c r="B90" s="12" t="str">
        <f aca="false">вересень!B90</f>
        <v>Кісельов Г.О.</v>
      </c>
      <c r="C90" s="12" t="s">
        <v>268</v>
      </c>
      <c r="D90" s="14" t="n">
        <f aca="false">вересень!P90</f>
        <v>1221.24</v>
      </c>
      <c r="E90" s="14" t="n">
        <f aca="false">вересень!Q90</f>
        <v>0</v>
      </c>
      <c r="F90" s="13" t="n">
        <f aca="false">вересень!F90</f>
        <v>0</v>
      </c>
      <c r="G90" s="13" t="n">
        <f aca="false">вересень!G90</f>
        <v>49.7</v>
      </c>
      <c r="H90" s="13" t="n">
        <f aca="false">вересень!H90</f>
        <v>0</v>
      </c>
      <c r="I90" s="13" t="n">
        <f aca="false">вересень!I90</f>
        <v>4.1</v>
      </c>
      <c r="J90" s="14" t="n">
        <f aca="false">ROUND(G90*I90,2)</f>
        <v>203.77</v>
      </c>
      <c r="K90" s="14"/>
      <c r="L90" s="14"/>
      <c r="M90" s="14"/>
      <c r="N90" s="14" t="n">
        <f aca="false">ROUND((G90*I90)-K90-L90-M90,2)</f>
        <v>203.77</v>
      </c>
      <c r="O90" s="14"/>
      <c r="P90" s="14" t="n">
        <f aca="false">ROUND(IF(D90=0,IF((N90-E90-O90)&gt;0,(N90-E90-O90),0),IF((D90+N90-O90)&gt;0,(D90+N90-O90),0)),2)</f>
        <v>1425.01</v>
      </c>
      <c r="Q90" s="14" t="n">
        <f aca="false">ROUND(IF(E90=0,IF((D90+N90-O90)&lt;0,ABS(D90+N90-O90),0),IF((N90-E90-O90)&lt;0,ABS(N90-E90-O90),0)),2)</f>
        <v>0</v>
      </c>
    </row>
    <row r="91" customFormat="false" ht="15" hidden="false" customHeight="true" outlineLevel="0" collapsed="false">
      <c r="A91" s="12" t="s">
        <v>269</v>
      </c>
      <c r="B91" s="12" t="str">
        <f aca="false">вересень!B91</f>
        <v>Губанова Н.С.</v>
      </c>
      <c r="C91" s="12" t="s">
        <v>271</v>
      </c>
      <c r="D91" s="14" t="n">
        <f aca="false">вересень!P91</f>
        <v>7072.5</v>
      </c>
      <c r="E91" s="14" t="n">
        <f aca="false">вересень!Q91</f>
        <v>0</v>
      </c>
      <c r="F91" s="13" t="n">
        <f aca="false">вересень!F91</f>
        <v>0</v>
      </c>
      <c r="G91" s="13" t="n">
        <f aca="false">вересень!G91</f>
        <v>34.5</v>
      </c>
      <c r="H91" s="13" t="n">
        <f aca="false">вересень!H91</f>
        <v>0</v>
      </c>
      <c r="I91" s="13" t="n">
        <f aca="false">вересень!I91</f>
        <v>4.1</v>
      </c>
      <c r="J91" s="14" t="n">
        <f aca="false">ROUND(G91*I91,2)</f>
        <v>141.45</v>
      </c>
      <c r="K91" s="14"/>
      <c r="L91" s="14"/>
      <c r="M91" s="14"/>
      <c r="N91" s="14" t="n">
        <f aca="false">ROUND((G91*I91)-K91-L91-M91,2)</f>
        <v>141.45</v>
      </c>
      <c r="O91" s="14"/>
      <c r="P91" s="14" t="n">
        <f aca="false">ROUND(IF(D91=0,IF((N91-E91-O91)&gt;0,(N91-E91-O91),0),IF((D91+N91-O91)&gt;0,(D91+N91-O91),0)),2)</f>
        <v>7213.95</v>
      </c>
      <c r="Q91" s="14" t="n">
        <f aca="false">ROUND(IF(E91=0,IF((D91+N91-O91)&lt;0,ABS(D91+N91-O91),0),IF((N91-E91-O91)&lt;0,ABS(N91-E91-O91),0)),2)</f>
        <v>0</v>
      </c>
    </row>
    <row r="92" customFormat="false" ht="15" hidden="false" customHeight="true" outlineLevel="0" collapsed="false">
      <c r="A92" s="12" t="s">
        <v>272</v>
      </c>
      <c r="B92" s="12" t="str">
        <f aca="false">вересень!B92</f>
        <v>Попова А.В.</v>
      </c>
      <c r="C92" s="12" t="s">
        <v>274</v>
      </c>
      <c r="D92" s="14" t="n">
        <f aca="false">вересень!P92</f>
        <v>6058.99</v>
      </c>
      <c r="E92" s="14" t="n">
        <f aca="false">вересень!Q92</f>
        <v>0</v>
      </c>
      <c r="F92" s="13" t="n">
        <f aca="false">вересень!F92</f>
        <v>0</v>
      </c>
      <c r="G92" s="13" t="n">
        <f aca="false">вересень!G92</f>
        <v>62.4</v>
      </c>
      <c r="H92" s="13" t="n">
        <f aca="false">вересень!H92</f>
        <v>0</v>
      </c>
      <c r="I92" s="13" t="n">
        <f aca="false">вересень!I92</f>
        <v>4.1</v>
      </c>
      <c r="J92" s="14" t="n">
        <f aca="false">ROUND(G92*I92,2)</f>
        <v>255.84</v>
      </c>
      <c r="K92" s="14"/>
      <c r="L92" s="14"/>
      <c r="M92" s="14"/>
      <c r="N92" s="14" t="n">
        <f aca="false">ROUND((G92*I92)-K92-L92-M92,2)</f>
        <v>255.84</v>
      </c>
      <c r="O92" s="14"/>
      <c r="P92" s="14" t="n">
        <f aca="false">ROUND(IF(D92=0,IF((N92-E92-O92)&gt;0,(N92-E92-O92),0),IF((D92+N92-O92)&gt;0,(D92+N92-O92),0)),2)</f>
        <v>6314.83</v>
      </c>
      <c r="Q92" s="14" t="n">
        <f aca="false">ROUND(IF(E92=0,IF((D92+N92-O92)&lt;0,ABS(D92+N92-O92),0),IF((N92-E92-O92)&lt;0,ABS(N92-E92-O92),0)),2)</f>
        <v>0</v>
      </c>
    </row>
    <row r="93" customFormat="false" ht="15" hidden="false" customHeight="true" outlineLevel="0" collapsed="false">
      <c r="A93" s="12" t="s">
        <v>275</v>
      </c>
      <c r="B93" s="12" t="str">
        <f aca="false">вересень!B93</f>
        <v>Стародубець О.К.</v>
      </c>
      <c r="C93" s="12" t="s">
        <v>277</v>
      </c>
      <c r="D93" s="14" t="n">
        <f aca="false">вересень!P93</f>
        <v>2724.9</v>
      </c>
      <c r="E93" s="14" t="n">
        <f aca="false">вересень!Q93</f>
        <v>0</v>
      </c>
      <c r="F93" s="13" t="n">
        <f aca="false">вересень!F93</f>
        <v>0</v>
      </c>
      <c r="G93" s="13" t="n">
        <f aca="false">вересень!G93</f>
        <v>66.46</v>
      </c>
      <c r="H93" s="13" t="n">
        <f aca="false">вересень!H93</f>
        <v>0</v>
      </c>
      <c r="I93" s="13" t="n">
        <f aca="false">вересень!I93</f>
        <v>4.1</v>
      </c>
      <c r="J93" s="14" t="n">
        <f aca="false">ROUND(G93*I93,2)</f>
        <v>272.49</v>
      </c>
      <c r="K93" s="14"/>
      <c r="L93" s="14"/>
      <c r="M93" s="14"/>
      <c r="N93" s="14" t="n">
        <f aca="false">ROUND((G93*I93)-K93-L93-M93,2)</f>
        <v>272.49</v>
      </c>
      <c r="O93" s="14"/>
      <c r="P93" s="14" t="n">
        <f aca="false">ROUND(IF(D93=0,IF((N93-E93-O93)&gt;0,(N93-E93-O93),0),IF((D93+N93-O93)&gt;0,(D93+N93-O93),0)),2)</f>
        <v>2997.39</v>
      </c>
      <c r="Q93" s="14" t="n">
        <f aca="false">ROUND(IF(E93=0,IF((D93+N93-O93)&lt;0,ABS(D93+N93-O93),0),IF((N93-E93-O93)&lt;0,ABS(N93-E93-O93),0)),2)</f>
        <v>0</v>
      </c>
    </row>
    <row r="94" customFormat="false" ht="15" hidden="false" customHeight="true" outlineLevel="0" collapsed="false">
      <c r="A94" s="12" t="s">
        <v>278</v>
      </c>
      <c r="B94" s="12" t="str">
        <f aca="false">вересень!B94</f>
        <v>Сакун Т.А.</v>
      </c>
      <c r="C94" s="12" t="s">
        <v>280</v>
      </c>
      <c r="D94" s="14" t="n">
        <f aca="false">вересень!P94</f>
        <v>9621.63</v>
      </c>
      <c r="E94" s="14" t="n">
        <f aca="false">вересень!Q94</f>
        <v>0</v>
      </c>
      <c r="F94" s="13" t="n">
        <f aca="false">вересень!F94</f>
        <v>0</v>
      </c>
      <c r="G94" s="13" t="n">
        <f aca="false">вересень!G94</f>
        <v>49.73</v>
      </c>
      <c r="H94" s="13" t="n">
        <f aca="false">вересень!H94</f>
        <v>0</v>
      </c>
      <c r="I94" s="13" t="n">
        <f aca="false">вересень!I94</f>
        <v>4.1</v>
      </c>
      <c r="J94" s="14" t="n">
        <f aca="false">ROUND(G94*I94,2)</f>
        <v>203.89</v>
      </c>
      <c r="K94" s="14"/>
      <c r="L94" s="14"/>
      <c r="M94" s="14"/>
      <c r="N94" s="14" t="n">
        <f aca="false">ROUND((G94*I94)-K94-L94-M94,2)</f>
        <v>203.89</v>
      </c>
      <c r="O94" s="14"/>
      <c r="P94" s="14" t="n">
        <f aca="false">ROUND(IF(D94=0,IF((N94-E94-O94)&gt;0,(N94-E94-O94),0),IF((D94+N94-O94)&gt;0,(D94+N94-O94),0)),2)</f>
        <v>9825.52</v>
      </c>
      <c r="Q94" s="14" t="n">
        <f aca="false">ROUND(IF(E94=0,IF((D94+N94-O94)&lt;0,ABS(D94+N94-O94),0),IF((N94-E94-O94)&lt;0,ABS(N94-E94-O94),0)),2)</f>
        <v>0</v>
      </c>
    </row>
    <row r="95" customFormat="false" ht="15" hidden="false" customHeight="true" outlineLevel="0" collapsed="false">
      <c r="A95" s="12" t="s">
        <v>281</v>
      </c>
      <c r="B95" s="12" t="str">
        <f aca="false">вересень!B95</f>
        <v>Фатєєв Ю.О.</v>
      </c>
      <c r="C95" s="12" t="s">
        <v>283</v>
      </c>
      <c r="D95" s="14" t="n">
        <f aca="false">вересень!P95</f>
        <v>10231.5</v>
      </c>
      <c r="E95" s="14" t="n">
        <f aca="false">вересень!Q95</f>
        <v>0</v>
      </c>
      <c r="F95" s="13" t="n">
        <f aca="false">вересень!F95</f>
        <v>0</v>
      </c>
      <c r="G95" s="13" t="n">
        <f aca="false">вересень!G95</f>
        <v>34.9</v>
      </c>
      <c r="H95" s="13" t="n">
        <f aca="false">вересень!H95</f>
        <v>0</v>
      </c>
      <c r="I95" s="13" t="n">
        <f aca="false">вересень!I95</f>
        <v>4.1</v>
      </c>
      <c r="J95" s="14" t="n">
        <f aca="false">ROUND(G95*I95,2)</f>
        <v>143.09</v>
      </c>
      <c r="K95" s="14"/>
      <c r="L95" s="14"/>
      <c r="M95" s="14"/>
      <c r="N95" s="14" t="n">
        <f aca="false">ROUND((G95*I95)-K95-L95-M95,2)</f>
        <v>143.09</v>
      </c>
      <c r="O95" s="14"/>
      <c r="P95" s="14" t="n">
        <f aca="false">ROUND(IF(D95=0,IF((N95-E95-O95)&gt;0,(N95-E95-O95),0),IF((D95+N95-O95)&gt;0,(D95+N95-O95),0)),2)</f>
        <v>10374.59</v>
      </c>
      <c r="Q95" s="14" t="n">
        <f aca="false">ROUND(IF(E95=0,IF((D95+N95-O95)&lt;0,ABS(D95+N95-O95),0),IF((N95-E95-O95)&lt;0,ABS(N95-E95-O95),0)),2)</f>
        <v>0</v>
      </c>
    </row>
    <row r="96" customFormat="false" ht="15" hidden="false" customHeight="true" outlineLevel="0" collapsed="false">
      <c r="A96" s="12" t="s">
        <v>284</v>
      </c>
      <c r="B96" s="12" t="str">
        <f aca="false">вересень!B96</f>
        <v>Лукашов Є.В.</v>
      </c>
      <c r="C96" s="12" t="s">
        <v>286</v>
      </c>
      <c r="D96" s="14" t="n">
        <f aca="false">вересень!P96</f>
        <v>15661.5</v>
      </c>
      <c r="E96" s="14" t="n">
        <f aca="false">вересень!Q96</f>
        <v>0</v>
      </c>
      <c r="F96" s="13" t="n">
        <f aca="false">вересень!F96</f>
        <v>0</v>
      </c>
      <c r="G96" s="13" t="n">
        <f aca="false">вересень!G96</f>
        <v>61.9</v>
      </c>
      <c r="H96" s="13" t="n">
        <f aca="false">вересень!H96</f>
        <v>0</v>
      </c>
      <c r="I96" s="13" t="n">
        <f aca="false">вересень!I96</f>
        <v>4.1</v>
      </c>
      <c r="J96" s="14" t="n">
        <f aca="false">ROUND(G96*I96,2)</f>
        <v>253.79</v>
      </c>
      <c r="K96" s="14"/>
      <c r="L96" s="14"/>
      <c r="M96" s="14"/>
      <c r="N96" s="14" t="n">
        <f aca="false">ROUND((G96*I96)-K96-L96-M96,2)</f>
        <v>253.79</v>
      </c>
      <c r="O96" s="14"/>
      <c r="P96" s="14" t="n">
        <f aca="false">ROUND(IF(D96=0,IF((N96-E96-O96)&gt;0,(N96-E96-O96),0),IF((D96+N96-O96)&gt;0,(D96+N96-O96),0)),2)</f>
        <v>15915.29</v>
      </c>
      <c r="Q96" s="14" t="n">
        <f aca="false">ROUND(IF(E96=0,IF((D96+N96-O96)&lt;0,ABS(D96+N96-O96),0),IF((N96-E96-O96)&lt;0,ABS(N96-E96-O96),0)),2)</f>
        <v>0</v>
      </c>
    </row>
    <row r="97" customFormat="false" ht="15" hidden="false" customHeight="true" outlineLevel="0" collapsed="false">
      <c r="A97" s="12" t="s">
        <v>287</v>
      </c>
      <c r="B97" s="12" t="str">
        <f aca="false">вересень!B97</f>
        <v>Довбета В.М.</v>
      </c>
      <c r="C97" s="12" t="s">
        <v>289</v>
      </c>
      <c r="D97" s="14" t="n">
        <f aca="false">вересень!P97</f>
        <v>2137.33</v>
      </c>
      <c r="E97" s="14" t="n">
        <f aca="false">вересень!Q97</f>
        <v>0</v>
      </c>
      <c r="F97" s="13" t="n">
        <f aca="false">вересень!F97</f>
        <v>0</v>
      </c>
      <c r="G97" s="13" t="n">
        <f aca="false">вересень!G97</f>
        <v>65.3</v>
      </c>
      <c r="H97" s="13" t="n">
        <f aca="false">вересень!H97</f>
        <v>0</v>
      </c>
      <c r="I97" s="13" t="n">
        <f aca="false">вересень!I97</f>
        <v>4.1</v>
      </c>
      <c r="J97" s="14" t="n">
        <f aca="false">ROUND(G97*I97,2)</f>
        <v>267.73</v>
      </c>
      <c r="K97" s="14"/>
      <c r="L97" s="14"/>
      <c r="M97" s="14"/>
      <c r="N97" s="14" t="n">
        <f aca="false">ROUND((G97*I97)-K97-L97-M97,2)</f>
        <v>267.73</v>
      </c>
      <c r="O97" s="14"/>
      <c r="P97" s="14" t="n">
        <f aca="false">ROUND(IF(D97=0,IF((N97-E97-O97)&gt;0,(N97-E97-O97),0),IF((D97+N97-O97)&gt;0,(D97+N97-O97),0)),2)</f>
        <v>2405.06</v>
      </c>
      <c r="Q97" s="14" t="n">
        <f aca="false">ROUND(IF(E97=0,IF((D97+N97-O97)&lt;0,ABS(D97+N97-O97),0),IF((N97-E97-O97)&lt;0,ABS(N97-E97-O97),0)),2)</f>
        <v>0</v>
      </c>
    </row>
    <row r="98" customFormat="false" ht="15" hidden="false" customHeight="true" outlineLevel="0" collapsed="false">
      <c r="A98" s="12" t="s">
        <v>290</v>
      </c>
      <c r="B98" s="12" t="str">
        <f aca="false">вересень!B98</f>
        <v>Черняк К.В.</v>
      </c>
      <c r="C98" s="12" t="s">
        <v>292</v>
      </c>
      <c r="D98" s="14" t="n">
        <f aca="false">вересень!P98</f>
        <v>1597.52</v>
      </c>
      <c r="E98" s="14" t="n">
        <f aca="false">вересень!Q98</f>
        <v>0</v>
      </c>
      <c r="F98" s="13" t="n">
        <f aca="false">вересень!F98</f>
        <v>0</v>
      </c>
      <c r="G98" s="13" t="n">
        <f aca="false">вересень!G98</f>
        <v>49.48</v>
      </c>
      <c r="H98" s="13" t="n">
        <f aca="false">вересень!H98</f>
        <v>0</v>
      </c>
      <c r="I98" s="13" t="n">
        <f aca="false">вересень!I98</f>
        <v>4.1</v>
      </c>
      <c r="J98" s="14" t="n">
        <f aca="false">ROUND(G98*I98,2)</f>
        <v>202.87</v>
      </c>
      <c r="K98" s="14"/>
      <c r="L98" s="14"/>
      <c r="M98" s="14"/>
      <c r="N98" s="14" t="n">
        <f aca="false">ROUND((G98*I98)-K98-L98-M98,2)</f>
        <v>202.87</v>
      </c>
      <c r="O98" s="14"/>
      <c r="P98" s="14" t="n">
        <f aca="false">ROUND(IF(D98=0,IF((N98-E98-O98)&gt;0,(N98-E98-O98),0),IF((D98+N98-O98)&gt;0,(D98+N98-O98),0)),2)</f>
        <v>1800.39</v>
      </c>
      <c r="Q98" s="14" t="n">
        <f aca="false">ROUND(IF(E98=0,IF((D98+N98-O98)&lt;0,ABS(D98+N98-O98),0),IF((N98-E98-O98)&lt;0,ABS(N98-E98-O98),0)),2)</f>
        <v>0</v>
      </c>
    </row>
    <row r="99" customFormat="false" ht="15" hidden="false" customHeight="true" outlineLevel="0" collapsed="false">
      <c r="A99" s="12" t="s">
        <v>293</v>
      </c>
      <c r="B99" s="12" t="str">
        <f aca="false">вересень!B99</f>
        <v>Довбета С.П.</v>
      </c>
      <c r="C99" s="12" t="s">
        <v>295</v>
      </c>
      <c r="D99" s="14" t="n">
        <f aca="false">вересень!P99</f>
        <v>1292.05</v>
      </c>
      <c r="E99" s="14" t="n">
        <f aca="false">вересень!Q99</f>
        <v>0</v>
      </c>
      <c r="F99" s="13" t="n">
        <f aca="false">вересень!F99</f>
        <v>0</v>
      </c>
      <c r="G99" s="13" t="n">
        <f aca="false">вересень!G99</f>
        <v>35.1</v>
      </c>
      <c r="H99" s="13" t="n">
        <f aca="false">вересень!H99</f>
        <v>0</v>
      </c>
      <c r="I99" s="13" t="n">
        <f aca="false">вересень!I99</f>
        <v>4.1</v>
      </c>
      <c r="J99" s="14" t="n">
        <f aca="false">ROUND(G99*I99,2)</f>
        <v>143.91</v>
      </c>
      <c r="K99" s="14"/>
      <c r="L99" s="14"/>
      <c r="M99" s="14"/>
      <c r="N99" s="14" t="n">
        <f aca="false">ROUND((G99*I99)-K99-L99-M99,2)</f>
        <v>143.91</v>
      </c>
      <c r="O99" s="14"/>
      <c r="P99" s="14" t="n">
        <f aca="false">ROUND(IF(D99=0,IF((N99-E99-O99)&gt;0,(N99-E99-O99),0),IF((D99+N99-O99)&gt;0,(D99+N99-O99),0)),2)</f>
        <v>1435.96</v>
      </c>
      <c r="Q99" s="14" t="n">
        <f aca="false">ROUND(IF(E99=0,IF((D99+N99-O99)&lt;0,ABS(D99+N99-O99),0),IF((N99-E99-O99)&lt;0,ABS(N99-E99-O99),0)),2)</f>
        <v>0</v>
      </c>
    </row>
    <row r="100" customFormat="false" ht="15" hidden="false" customHeight="true" outlineLevel="0" collapsed="false">
      <c r="A100" s="12" t="s">
        <v>296</v>
      </c>
      <c r="B100" s="12" t="str">
        <f aca="false">вересень!B100</f>
        <v>Липка Г.Ю.</v>
      </c>
      <c r="C100" s="12" t="s">
        <v>298</v>
      </c>
      <c r="D100" s="14" t="n">
        <f aca="false">вересень!P100</f>
        <v>15288.08</v>
      </c>
      <c r="E100" s="14" t="n">
        <f aca="false">вересень!Q100</f>
        <v>0</v>
      </c>
      <c r="F100" s="13" t="n">
        <f aca="false">вересень!F100</f>
        <v>0</v>
      </c>
      <c r="G100" s="13" t="n">
        <f aca="false">вересень!G100</f>
        <v>63.2</v>
      </c>
      <c r="H100" s="13" t="n">
        <f aca="false">вересень!H100</f>
        <v>0</v>
      </c>
      <c r="I100" s="13" t="n">
        <f aca="false">вересень!I100</f>
        <v>4.1</v>
      </c>
      <c r="J100" s="14" t="n">
        <f aca="false">ROUND(G100*I100,2)</f>
        <v>259.12</v>
      </c>
      <c r="K100" s="14"/>
      <c r="L100" s="14"/>
      <c r="M100" s="14"/>
      <c r="N100" s="14" t="n">
        <f aca="false">ROUND((G100*I100)-K100-L100-M100,2)</f>
        <v>259.12</v>
      </c>
      <c r="O100" s="14"/>
      <c r="P100" s="14" t="n">
        <f aca="false">ROUND(IF(D100=0,IF((N100-E100-O100)&gt;0,(N100-E100-O100),0),IF((D100+N100-O100)&gt;0,(D100+N100-O100),0)),2)</f>
        <v>15547.2</v>
      </c>
      <c r="Q100" s="14" t="n">
        <f aca="false">ROUND(IF(E100=0,IF((D100+N100-O100)&lt;0,ABS(D100+N100-O100),0),IF((N100-E100-O100)&lt;0,ABS(N100-E100-O100),0)),2)</f>
        <v>0</v>
      </c>
    </row>
    <row r="101" customFormat="false" ht="15" hidden="false" customHeight="true" outlineLevel="0" collapsed="false">
      <c r="A101" s="12" t="s">
        <v>299</v>
      </c>
      <c r="B101" s="12" t="str">
        <f aca="false">вересень!B101</f>
        <v>Утьосов Д.М.</v>
      </c>
      <c r="C101" s="12" t="s">
        <v>301</v>
      </c>
      <c r="D101" s="14" t="n">
        <f aca="false">вересень!P101</f>
        <v>9833.93</v>
      </c>
      <c r="E101" s="14" t="n">
        <f aca="false">вересень!Q101</f>
        <v>0</v>
      </c>
      <c r="F101" s="13" t="n">
        <f aca="false">вересень!F101</f>
        <v>0</v>
      </c>
      <c r="G101" s="13" t="n">
        <f aca="false">вересень!G101</f>
        <v>66.1</v>
      </c>
      <c r="H101" s="13" t="n">
        <f aca="false">вересень!H101</f>
        <v>0</v>
      </c>
      <c r="I101" s="13" t="n">
        <f aca="false">вересень!I101</f>
        <v>4.1</v>
      </c>
      <c r="J101" s="14" t="n">
        <f aca="false">ROUND(G101*I101,2)</f>
        <v>271.01</v>
      </c>
      <c r="K101" s="14"/>
      <c r="L101" s="14"/>
      <c r="M101" s="14"/>
      <c r="N101" s="14" t="n">
        <f aca="false">ROUND((G101*I101)-K101-L101-M101,2)</f>
        <v>271.01</v>
      </c>
      <c r="O101" s="14"/>
      <c r="P101" s="14" t="n">
        <f aca="false">ROUND(IF(D101=0,IF((N101-E101-O101)&gt;0,(N101-E101-O101),0),IF((D101+N101-O101)&gt;0,(D101+N101-O101),0)),2)</f>
        <v>10104.94</v>
      </c>
      <c r="Q101" s="14" t="n">
        <f aca="false">ROUND(IF(E101=0,IF((D101+N101-O101)&lt;0,ABS(D101+N101-O101),0),IF((N101-E101-O101)&lt;0,ABS(N101-E101-O101),0)),2)</f>
        <v>0</v>
      </c>
    </row>
    <row r="102" customFormat="false" ht="15" hidden="false" customHeight="true" outlineLevel="0" collapsed="false">
      <c r="A102" s="12" t="s">
        <v>302</v>
      </c>
      <c r="B102" s="12" t="str">
        <f aca="false">вересень!B102</f>
        <v>Стеценко Д.М.</v>
      </c>
      <c r="C102" s="12" t="s">
        <v>304</v>
      </c>
      <c r="D102" s="14" t="n">
        <f aca="false">вересень!P102</f>
        <v>9188.17</v>
      </c>
      <c r="E102" s="14" t="n">
        <f aca="false">вересень!Q102</f>
        <v>0</v>
      </c>
      <c r="F102" s="13" t="n">
        <f aca="false">вересень!F102</f>
        <v>0</v>
      </c>
      <c r="G102" s="13" t="n">
        <f aca="false">вересень!G102</f>
        <v>49.8</v>
      </c>
      <c r="H102" s="13" t="n">
        <f aca="false">вересень!H102</f>
        <v>0</v>
      </c>
      <c r="I102" s="13" t="n">
        <f aca="false">вересень!I102</f>
        <v>4.1</v>
      </c>
      <c r="J102" s="14" t="n">
        <f aca="false">ROUND(G102*I102,2)</f>
        <v>204.18</v>
      </c>
      <c r="K102" s="14"/>
      <c r="L102" s="14"/>
      <c r="M102" s="14"/>
      <c r="N102" s="14" t="n">
        <f aca="false">ROUND((G102*I102)-K102-L102-M102,2)</f>
        <v>204.18</v>
      </c>
      <c r="O102" s="14"/>
      <c r="P102" s="14" t="n">
        <f aca="false">ROUND(IF(D102=0,IF((N102-E102-O102)&gt;0,(N102-E102-O102),0),IF((D102+N102-O102)&gt;0,(D102+N102-O102),0)),2)</f>
        <v>9392.35</v>
      </c>
      <c r="Q102" s="14" t="n">
        <f aca="false">ROUND(IF(E102=0,IF((D102+N102-O102)&lt;0,ABS(D102+N102-O102),0),IF((N102-E102-O102)&lt;0,ABS(N102-E102-O102),0)),2)</f>
        <v>0</v>
      </c>
    </row>
    <row r="103" customFormat="false" ht="15" hidden="false" customHeight="true" outlineLevel="0" collapsed="false">
      <c r="A103" s="12" t="s">
        <v>305</v>
      </c>
      <c r="B103" s="12" t="str">
        <f aca="false">вересень!B103</f>
        <v>Задніпряна О.М.</v>
      </c>
      <c r="C103" s="12" t="s">
        <v>307</v>
      </c>
      <c r="D103" s="14" t="n">
        <f aca="false">вересень!P103</f>
        <v>7520.18</v>
      </c>
      <c r="E103" s="14" t="n">
        <f aca="false">вересень!Q103</f>
        <v>0</v>
      </c>
      <c r="F103" s="13" t="n">
        <f aca="false">вересень!F103</f>
        <v>0</v>
      </c>
      <c r="G103" s="13" t="n">
        <f aca="false">вересень!G103</f>
        <v>34.6</v>
      </c>
      <c r="H103" s="13" t="n">
        <f aca="false">вересень!H103</f>
        <v>0</v>
      </c>
      <c r="I103" s="13" t="n">
        <f aca="false">вересень!I103</f>
        <v>4.1</v>
      </c>
      <c r="J103" s="14" t="n">
        <f aca="false">ROUND(G103*I103,2)</f>
        <v>141.86</v>
      </c>
      <c r="K103" s="14"/>
      <c r="L103" s="14"/>
      <c r="M103" s="14"/>
      <c r="N103" s="14" t="n">
        <f aca="false">ROUND((G103*I103)-K103-L103-M103,2)</f>
        <v>141.86</v>
      </c>
      <c r="O103" s="14"/>
      <c r="P103" s="14" t="n">
        <f aca="false">ROUND(IF(D103=0,IF((N103-E103-O103)&gt;0,(N103-E103-O103),0),IF((D103+N103-O103)&gt;0,(D103+N103-O103),0)),2)</f>
        <v>7662.04</v>
      </c>
      <c r="Q103" s="14" t="n">
        <f aca="false">ROUND(IF(E103=0,IF((D103+N103-O103)&lt;0,ABS(D103+N103-O103),0),IF((N103-E103-O103)&lt;0,ABS(N103-E103-O103),0)),2)</f>
        <v>0</v>
      </c>
    </row>
    <row r="104" customFormat="false" ht="15" hidden="false" customHeight="true" outlineLevel="0" collapsed="false">
      <c r="A104" s="12" t="s">
        <v>308</v>
      </c>
      <c r="B104" s="12" t="str">
        <f aca="false">вересень!B104</f>
        <v>Геращенко М.Д.</v>
      </c>
      <c r="C104" s="12" t="s">
        <v>310</v>
      </c>
      <c r="D104" s="14" t="n">
        <f aca="false">вересень!P104</f>
        <v>2309.94</v>
      </c>
      <c r="E104" s="14" t="n">
        <f aca="false">вересень!Q104</f>
        <v>0</v>
      </c>
      <c r="F104" s="13" t="n">
        <f aca="false">вересень!F104</f>
        <v>0</v>
      </c>
      <c r="G104" s="13" t="n">
        <f aca="false">вересень!G104</f>
        <v>62.6</v>
      </c>
      <c r="H104" s="13" t="n">
        <f aca="false">вересень!H104</f>
        <v>0</v>
      </c>
      <c r="I104" s="13" t="n">
        <f aca="false">вересень!I104</f>
        <v>4.1</v>
      </c>
      <c r="J104" s="14" t="n">
        <f aca="false">ROUND(G104*I104,2)</f>
        <v>256.66</v>
      </c>
      <c r="K104" s="14"/>
      <c r="L104" s="14"/>
      <c r="M104" s="14"/>
      <c r="N104" s="14" t="n">
        <f aca="false">ROUND((G104*I104)-K104-L104-M104,2)</f>
        <v>256.66</v>
      </c>
      <c r="O104" s="14"/>
      <c r="P104" s="14" t="n">
        <f aca="false">ROUND(IF(D104=0,IF((N104-E104-O104)&gt;0,(N104-E104-O104),0),IF((D104+N104-O104)&gt;0,(D104+N104-O104),0)),2)</f>
        <v>2566.6</v>
      </c>
      <c r="Q104" s="14" t="n">
        <f aca="false">ROUND(IF(E104=0,IF((D104+N104-O104)&lt;0,ABS(D104+N104-O104),0),IF((N104-E104-O104)&lt;0,ABS(N104-E104-O104),0)),2)</f>
        <v>0</v>
      </c>
    </row>
    <row r="105" customFormat="false" ht="15" hidden="false" customHeight="true" outlineLevel="0" collapsed="false">
      <c r="A105" s="12" t="s">
        <v>311</v>
      </c>
      <c r="B105" s="12" t="str">
        <f aca="false">вересень!B105</f>
        <v>Горб В.М.</v>
      </c>
      <c r="C105" s="12" t="s">
        <v>313</v>
      </c>
      <c r="D105" s="14" t="n">
        <f aca="false">вересень!P105</f>
        <v>13708.15</v>
      </c>
      <c r="E105" s="14" t="n">
        <f aca="false">вересень!Q105</f>
        <v>0</v>
      </c>
      <c r="F105" s="13" t="n">
        <f aca="false">вересень!F105</f>
        <v>0</v>
      </c>
      <c r="G105" s="13" t="n">
        <f aca="false">вересень!G105</f>
        <v>65.57</v>
      </c>
      <c r="H105" s="13" t="n">
        <f aca="false">вересень!H105</f>
        <v>0</v>
      </c>
      <c r="I105" s="13" t="n">
        <f aca="false">вересень!I105</f>
        <v>4.1</v>
      </c>
      <c r="J105" s="14" t="n">
        <f aca="false">ROUND(G105*I105,2)</f>
        <v>268.84</v>
      </c>
      <c r="K105" s="14"/>
      <c r="L105" s="14"/>
      <c r="M105" s="14"/>
      <c r="N105" s="14" t="n">
        <f aca="false">ROUND((G105*I105)-K105-L105-M105,2)</f>
        <v>268.84</v>
      </c>
      <c r="O105" s="14"/>
      <c r="P105" s="14" t="n">
        <f aca="false">ROUND(IF(D105=0,IF((N105-E105-O105)&gt;0,(N105-E105-O105),0),IF((D105+N105-O105)&gt;0,(D105+N105-O105),0)),2)</f>
        <v>13976.99</v>
      </c>
      <c r="Q105" s="14" t="n">
        <f aca="false">ROUND(IF(E105=0,IF((D105+N105-O105)&lt;0,ABS(D105+N105-O105),0),IF((N105-E105-O105)&lt;0,ABS(N105-E105-O105),0)),2)</f>
        <v>0</v>
      </c>
    </row>
    <row r="106" customFormat="false" ht="15" hidden="false" customHeight="true" outlineLevel="0" collapsed="false">
      <c r="A106" s="12" t="s">
        <v>314</v>
      </c>
      <c r="B106" s="12" t="str">
        <f aca="false">вересень!B106</f>
        <v>Нойок Г.К.</v>
      </c>
      <c r="C106" s="12" t="s">
        <v>316</v>
      </c>
      <c r="D106" s="14" t="n">
        <f aca="false">вересень!P106</f>
        <v>9201.77</v>
      </c>
      <c r="E106" s="14" t="n">
        <f aca="false">вересень!Q106</f>
        <v>0</v>
      </c>
      <c r="F106" s="13" t="n">
        <f aca="false">вересень!F106</f>
        <v>0</v>
      </c>
      <c r="G106" s="13" t="n">
        <f aca="false">вересень!G106</f>
        <v>49.8</v>
      </c>
      <c r="H106" s="13" t="n">
        <f aca="false">вересень!H106</f>
        <v>0</v>
      </c>
      <c r="I106" s="13" t="n">
        <f aca="false">вересень!I106</f>
        <v>4.1</v>
      </c>
      <c r="J106" s="14" t="n">
        <f aca="false">ROUND(G106*I106,2)</f>
        <v>204.18</v>
      </c>
      <c r="K106" s="14"/>
      <c r="L106" s="14"/>
      <c r="M106" s="14"/>
      <c r="N106" s="14" t="n">
        <f aca="false">ROUND((G106*I106)-K106-L106-M106,2)</f>
        <v>204.18</v>
      </c>
      <c r="O106" s="14"/>
      <c r="P106" s="14" t="n">
        <f aca="false">ROUND(IF(D106=0,IF((N106-E106-O106)&gt;0,(N106-E106-O106),0),IF((D106+N106-O106)&gt;0,(D106+N106-O106),0)),2)</f>
        <v>9405.95</v>
      </c>
      <c r="Q106" s="14" t="n">
        <f aca="false">ROUND(IF(E106=0,IF((D106+N106-O106)&lt;0,ABS(D106+N106-O106),0),IF((N106-E106-O106)&lt;0,ABS(N106-E106-O106),0)),2)</f>
        <v>0</v>
      </c>
    </row>
    <row r="107" customFormat="false" ht="15" hidden="false" customHeight="true" outlineLevel="0" collapsed="false">
      <c r="A107" s="12" t="s">
        <v>317</v>
      </c>
      <c r="B107" s="12" t="str">
        <f aca="false">вересень!B107</f>
        <v>Сафонова О.В.</v>
      </c>
      <c r="C107" s="12" t="s">
        <v>319</v>
      </c>
      <c r="D107" s="14" t="n">
        <f aca="false">вересень!P107</f>
        <v>7251.77</v>
      </c>
      <c r="E107" s="14" t="n">
        <f aca="false">вересень!Q107</f>
        <v>0</v>
      </c>
      <c r="F107" s="13" t="n">
        <f aca="false">вересень!F107</f>
        <v>0</v>
      </c>
      <c r="G107" s="13" t="n">
        <f aca="false">вересень!G107</f>
        <v>34.9</v>
      </c>
      <c r="H107" s="13" t="n">
        <f aca="false">вересень!H107</f>
        <v>0</v>
      </c>
      <c r="I107" s="13" t="n">
        <f aca="false">вересень!I107</f>
        <v>4.1</v>
      </c>
      <c r="J107" s="14" t="n">
        <f aca="false">ROUND(G107*I107,2)</f>
        <v>143.09</v>
      </c>
      <c r="K107" s="14"/>
      <c r="L107" s="14"/>
      <c r="M107" s="14"/>
      <c r="N107" s="14" t="n">
        <f aca="false">ROUND((G107*I107)-K107-L107-M107,2)</f>
        <v>143.09</v>
      </c>
      <c r="O107" s="14"/>
      <c r="P107" s="14" t="n">
        <f aca="false">ROUND(IF(D107=0,IF((N107-E107-O107)&gt;0,(N107-E107-O107),0),IF((D107+N107-O107)&gt;0,(D107+N107-O107),0)),2)</f>
        <v>7394.86</v>
      </c>
      <c r="Q107" s="14" t="n">
        <f aca="false">ROUND(IF(E107=0,IF((D107+N107-O107)&lt;0,ABS(D107+N107-O107),0),IF((N107-E107-O107)&lt;0,ABS(N107-E107-O107),0)),2)</f>
        <v>0</v>
      </c>
    </row>
    <row r="108" customFormat="false" ht="15" hidden="false" customHeight="true" outlineLevel="0" collapsed="false">
      <c r="A108" s="12" t="s">
        <v>320</v>
      </c>
      <c r="B108" s="12" t="str">
        <f aca="false">вересень!B108</f>
        <v>Вінарська Н.П.</v>
      </c>
      <c r="C108" s="12" t="s">
        <v>322</v>
      </c>
      <c r="D108" s="14" t="n">
        <f aca="false">вересень!P108</f>
        <v>14413.64</v>
      </c>
      <c r="E108" s="14" t="n">
        <f aca="false">вересень!Q108</f>
        <v>0</v>
      </c>
      <c r="F108" s="13" t="n">
        <f aca="false">вересень!F108</f>
        <v>0</v>
      </c>
      <c r="G108" s="13" t="n">
        <f aca="false">вересень!G108</f>
        <v>62.78</v>
      </c>
      <c r="H108" s="13" t="n">
        <f aca="false">вересень!H108</f>
        <v>0</v>
      </c>
      <c r="I108" s="13" t="n">
        <f aca="false">вересень!I108</f>
        <v>4.1</v>
      </c>
      <c r="J108" s="14" t="n">
        <f aca="false">ROUND(G108*I108,2)</f>
        <v>257.4</v>
      </c>
      <c r="K108" s="14"/>
      <c r="L108" s="14"/>
      <c r="M108" s="14"/>
      <c r="N108" s="14" t="n">
        <f aca="false">ROUND((G108*I108)-K108-L108-M108,2)</f>
        <v>257.4</v>
      </c>
      <c r="O108" s="14"/>
      <c r="P108" s="14" t="n">
        <f aca="false">ROUND(IF(D108=0,IF((N108-E108-O108)&gt;0,(N108-E108-O108),0),IF((D108+N108-O108)&gt;0,(D108+N108-O108),0)),2)</f>
        <v>14671.04</v>
      </c>
      <c r="Q108" s="14" t="n">
        <f aca="false">ROUND(IF(E108=0,IF((D108+N108-O108)&lt;0,ABS(D108+N108-O108),0),IF((N108-E108-O108)&lt;0,ABS(N108-E108-O108),0)),2)</f>
        <v>0</v>
      </c>
    </row>
    <row r="109" customFormat="false" ht="15" hidden="false" customHeight="true" outlineLevel="0" collapsed="false">
      <c r="A109" s="12" t="s">
        <v>323</v>
      </c>
      <c r="B109" s="12" t="str">
        <f aca="false">вересень!B109</f>
        <v>Чернова Н.І.</v>
      </c>
      <c r="C109" s="12" t="s">
        <v>325</v>
      </c>
      <c r="D109" s="14" t="n">
        <f aca="false">вересень!P109</f>
        <v>15139.31</v>
      </c>
      <c r="E109" s="14" t="n">
        <f aca="false">вересень!Q109</f>
        <v>0</v>
      </c>
      <c r="F109" s="13" t="n">
        <f aca="false">вересень!F109</f>
        <v>0</v>
      </c>
      <c r="G109" s="13" t="n">
        <f aca="false">вересень!G109</f>
        <v>66.29</v>
      </c>
      <c r="H109" s="13" t="n">
        <f aca="false">вересень!H109</f>
        <v>0</v>
      </c>
      <c r="I109" s="13" t="n">
        <f aca="false">вересень!I109</f>
        <v>4.1</v>
      </c>
      <c r="J109" s="14" t="n">
        <f aca="false">ROUND(G109*I109,2)</f>
        <v>271.79</v>
      </c>
      <c r="K109" s="14"/>
      <c r="L109" s="14"/>
      <c r="M109" s="14"/>
      <c r="N109" s="14" t="n">
        <f aca="false">ROUND((G109*I109)-K109-L109-M109,2)</f>
        <v>271.79</v>
      </c>
      <c r="O109" s="14"/>
      <c r="P109" s="14" t="n">
        <f aca="false">ROUND(IF(D109=0,IF((N109-E109-O109)&gt;0,(N109-E109-O109),0),IF((D109+N109-O109)&gt;0,(D109+N109-O109),0)),2)</f>
        <v>15411.1</v>
      </c>
      <c r="Q109" s="14" t="n">
        <f aca="false">ROUND(IF(E109=0,IF((D109+N109-O109)&lt;0,ABS(D109+N109-O109),0),IF((N109-E109-O109)&lt;0,ABS(N109-E109-O109),0)),2)</f>
        <v>0</v>
      </c>
    </row>
    <row r="110" customFormat="false" ht="15" hidden="false" customHeight="true" outlineLevel="0" collapsed="false">
      <c r="A110" s="12" t="s">
        <v>326</v>
      </c>
      <c r="B110" s="12" t="str">
        <f aca="false">вересень!B110</f>
        <v>Кошева Н.П</v>
      </c>
      <c r="C110" s="12" t="s">
        <v>328</v>
      </c>
      <c r="D110" s="14" t="n">
        <f aca="false">вересень!P110</f>
        <v>11094</v>
      </c>
      <c r="E110" s="14" t="n">
        <f aca="false">вересень!Q110</f>
        <v>0</v>
      </c>
      <c r="F110" s="13" t="n">
        <f aca="false">вересень!F110</f>
        <v>0</v>
      </c>
      <c r="G110" s="13" t="n">
        <f aca="false">вересень!G110</f>
        <v>50</v>
      </c>
      <c r="H110" s="13" t="n">
        <f aca="false">вересень!H110</f>
        <v>0</v>
      </c>
      <c r="I110" s="13" t="n">
        <f aca="false">вересень!I110</f>
        <v>4.1</v>
      </c>
      <c r="J110" s="14" t="n">
        <f aca="false">ROUND(G110*I110,2)</f>
        <v>205</v>
      </c>
      <c r="K110" s="14"/>
      <c r="L110" s="14"/>
      <c r="M110" s="14"/>
      <c r="N110" s="14" t="n">
        <f aca="false">ROUND((G110*I110)-K110-L110-M110,2)</f>
        <v>205</v>
      </c>
      <c r="O110" s="14"/>
      <c r="P110" s="14" t="n">
        <f aca="false">ROUND(IF(D110=0,IF((N110-E110-O110)&gt;0,(N110-E110-O110),0),IF((D110+N110-O110)&gt;0,(D110+N110-O110),0)),2)</f>
        <v>11299</v>
      </c>
      <c r="Q110" s="14" t="n">
        <f aca="false">ROUND(IF(E110=0,IF((D110+N110-O110)&lt;0,ABS(D110+N110-O110),0),IF((N110-E110-O110)&lt;0,ABS(N110-E110-O110),0)),2)</f>
        <v>0</v>
      </c>
    </row>
    <row r="111" customFormat="false" ht="15" hidden="false" customHeight="true" outlineLevel="0" collapsed="false">
      <c r="A111" s="12" t="s">
        <v>329</v>
      </c>
      <c r="B111" s="12" t="str">
        <f aca="false">вересень!B111</f>
        <v>Уривський Д.Б.</v>
      </c>
      <c r="C111" s="12" t="s">
        <v>331</v>
      </c>
      <c r="D111" s="14" t="n">
        <f aca="false">вересень!P111</f>
        <v>8112.59</v>
      </c>
      <c r="E111" s="14" t="n">
        <f aca="false">вересень!Q111</f>
        <v>0</v>
      </c>
      <c r="F111" s="13" t="n">
        <f aca="false">вересень!F111</f>
        <v>0</v>
      </c>
      <c r="G111" s="13" t="n">
        <f aca="false">вересень!G111</f>
        <v>35</v>
      </c>
      <c r="H111" s="13" t="n">
        <f aca="false">вересень!H111</f>
        <v>0</v>
      </c>
      <c r="I111" s="13" t="n">
        <f aca="false">вересень!I111</f>
        <v>4.1</v>
      </c>
      <c r="J111" s="14" t="n">
        <f aca="false">ROUND(G111*I111,2)</f>
        <v>143.5</v>
      </c>
      <c r="K111" s="14"/>
      <c r="L111" s="14"/>
      <c r="M111" s="14"/>
      <c r="N111" s="14" t="n">
        <f aca="false">ROUND((G111*I111)-K111-L111-M111,2)</f>
        <v>143.5</v>
      </c>
      <c r="O111" s="14"/>
      <c r="P111" s="14" t="n">
        <f aca="false">ROUND(IF(D111=0,IF((N111-E111-O111)&gt;0,(N111-E111-O111),0),IF((D111+N111-O111)&gt;0,(D111+N111-O111),0)),2)</f>
        <v>8256.09</v>
      </c>
      <c r="Q111" s="14" t="n">
        <f aca="false">ROUND(IF(E111=0,IF((D111+N111-O111)&lt;0,ABS(D111+N111-O111),0),IF((N111-E111-O111)&lt;0,ABS(N111-E111-O111),0)),2)</f>
        <v>0</v>
      </c>
    </row>
    <row r="112" customFormat="false" ht="15" hidden="false" customHeight="true" outlineLevel="0" collapsed="false">
      <c r="A112" s="12" t="s">
        <v>332</v>
      </c>
      <c r="B112" s="12" t="str">
        <f aca="false">вересень!B112</f>
        <v>АДПСУ (Чорноморець В.М.)</v>
      </c>
      <c r="C112" s="12" t="s">
        <v>334</v>
      </c>
      <c r="D112" s="14" t="n">
        <f aca="false">вересень!P112</f>
        <v>5260.71</v>
      </c>
      <c r="E112" s="14" t="n">
        <f aca="false">вересень!Q112</f>
        <v>0</v>
      </c>
      <c r="F112" s="13" t="n">
        <f aca="false">вересень!F112</f>
        <v>0</v>
      </c>
      <c r="G112" s="13" t="n">
        <f aca="false">вересень!G112</f>
        <v>61.1</v>
      </c>
      <c r="H112" s="13" t="n">
        <f aca="false">вересень!H112</f>
        <v>0</v>
      </c>
      <c r="I112" s="13" t="n">
        <f aca="false">вересень!I112</f>
        <v>4.1</v>
      </c>
      <c r="J112" s="14" t="n">
        <f aca="false">ROUND(G112*I112,2)</f>
        <v>250.51</v>
      </c>
      <c r="K112" s="14"/>
      <c r="L112" s="14"/>
      <c r="M112" s="14"/>
      <c r="N112" s="14" t="n">
        <f aca="false">ROUND((G112*I112)-K112-L112-M112,2)</f>
        <v>250.51</v>
      </c>
      <c r="O112" s="14"/>
      <c r="P112" s="14" t="n">
        <f aca="false">ROUND(IF(D112=0,IF((N112-E112-O112)&gt;0,(N112-E112-O112),0),IF((D112+N112-O112)&gt;0,(D112+N112-O112),0)),2)</f>
        <v>5511.22</v>
      </c>
      <c r="Q112" s="14" t="n">
        <f aca="false">ROUND(IF(E112=0,IF((D112+N112-O112)&lt;0,ABS(D112+N112-O112),0),IF((N112-E112-O112)&lt;0,ABS(N112-E112-O112),0)),2)</f>
        <v>0</v>
      </c>
    </row>
    <row r="113" customFormat="false" ht="15" hidden="false" customHeight="true" outlineLevel="0" collapsed="false">
      <c r="A113" s="12" t="s">
        <v>335</v>
      </c>
      <c r="B113" s="12" t="str">
        <f aca="false">вересень!B113</f>
        <v>Дмитренко Г.В.</v>
      </c>
      <c r="C113" s="12" t="s">
        <v>337</v>
      </c>
      <c r="D113" s="14" t="n">
        <f aca="false">вересень!P113</f>
        <v>13880.22</v>
      </c>
      <c r="E113" s="14" t="n">
        <f aca="false">вересень!Q113</f>
        <v>0</v>
      </c>
      <c r="F113" s="13" t="n">
        <f aca="false">вересень!F113</f>
        <v>0</v>
      </c>
      <c r="G113" s="13" t="n">
        <f aca="false">вересень!G113</f>
        <v>64.89</v>
      </c>
      <c r="H113" s="13" t="n">
        <f aca="false">вересень!H113</f>
        <v>0</v>
      </c>
      <c r="I113" s="13" t="n">
        <f aca="false">вересень!I113</f>
        <v>4.1</v>
      </c>
      <c r="J113" s="14" t="n">
        <f aca="false">ROUND(G113*I113,2)</f>
        <v>266.05</v>
      </c>
      <c r="K113" s="14"/>
      <c r="L113" s="14"/>
      <c r="M113" s="14"/>
      <c r="N113" s="14" t="n">
        <f aca="false">ROUND((G113*I113)-K113-L113-M113,2)</f>
        <v>266.05</v>
      </c>
      <c r="O113" s="14"/>
      <c r="P113" s="14" t="n">
        <f aca="false">ROUND(IF(D113=0,IF((N113-E113-O113)&gt;0,(N113-E113-O113),0),IF((D113+N113-O113)&gt;0,(D113+N113-O113),0)),2)</f>
        <v>14146.27</v>
      </c>
      <c r="Q113" s="14" t="n">
        <f aca="false">ROUND(IF(E113=0,IF((D113+N113-O113)&lt;0,ABS(D113+N113-O113),0),IF((N113-E113-O113)&lt;0,ABS(N113-E113-O113),0)),2)</f>
        <v>0</v>
      </c>
    </row>
    <row r="114" customFormat="false" ht="15" hidden="false" customHeight="true" outlineLevel="0" collapsed="false">
      <c r="A114" s="12" t="s">
        <v>338</v>
      </c>
      <c r="B114" s="12" t="str">
        <f aca="false">вересень!B114</f>
        <v>Номерова Т.В.</v>
      </c>
      <c r="C114" s="12" t="s">
        <v>340</v>
      </c>
      <c r="D114" s="14" t="n">
        <f aca="false">вересень!P114</f>
        <v>1638.56</v>
      </c>
      <c r="E114" s="14" t="n">
        <f aca="false">вересень!Q114</f>
        <v>0</v>
      </c>
      <c r="F114" s="13" t="n">
        <f aca="false">вересень!F114</f>
        <v>0</v>
      </c>
      <c r="G114" s="13" t="n">
        <f aca="false">вересень!G114</f>
        <v>49.96</v>
      </c>
      <c r="H114" s="13" t="n">
        <f aca="false">вересень!H114</f>
        <v>0</v>
      </c>
      <c r="I114" s="13" t="n">
        <f aca="false">вересень!I114</f>
        <v>4.1</v>
      </c>
      <c r="J114" s="14" t="n">
        <f aca="false">ROUND(G114*I114,2)</f>
        <v>204.84</v>
      </c>
      <c r="K114" s="14"/>
      <c r="L114" s="14"/>
      <c r="M114" s="14"/>
      <c r="N114" s="14" t="n">
        <f aca="false">ROUND((G114*I114)-K114-L114-M114,2)</f>
        <v>204.84</v>
      </c>
      <c r="O114" s="14"/>
      <c r="P114" s="14" t="n">
        <f aca="false">ROUND(IF(D114=0,IF((N114-E114-O114)&gt;0,(N114-E114-O114),0),IF((D114+N114-O114)&gt;0,(D114+N114-O114),0)),2)</f>
        <v>1843.4</v>
      </c>
      <c r="Q114" s="14" t="n">
        <f aca="false">ROUND(IF(E114=0,IF((D114+N114-O114)&lt;0,ABS(D114+N114-O114),0),IF((N114-E114-O114)&lt;0,ABS(N114-E114-O114),0)),2)</f>
        <v>0</v>
      </c>
    </row>
    <row r="115" customFormat="false" ht="15" hidden="false" customHeight="true" outlineLevel="0" collapsed="false">
      <c r="A115" s="12" t="s">
        <v>341</v>
      </c>
      <c r="B115" s="12" t="str">
        <f aca="false">вересень!B115</f>
        <v>Самойлова О.В.</v>
      </c>
      <c r="C115" s="12" t="s">
        <v>343</v>
      </c>
      <c r="D115" s="14" t="n">
        <f aca="false">вересень!P115</f>
        <v>1273.05</v>
      </c>
      <c r="E115" s="14" t="n">
        <f aca="false">вересень!Q115</f>
        <v>0</v>
      </c>
      <c r="F115" s="13" t="n">
        <f aca="false">вересень!F115</f>
        <v>0</v>
      </c>
      <c r="G115" s="13" t="n">
        <f aca="false">вересень!G115</f>
        <v>34.5</v>
      </c>
      <c r="H115" s="13" t="n">
        <f aca="false">вересень!H115</f>
        <v>0</v>
      </c>
      <c r="I115" s="13" t="n">
        <f aca="false">вересень!I115</f>
        <v>4.1</v>
      </c>
      <c r="J115" s="14" t="n">
        <f aca="false">ROUND(G115*I115,2)</f>
        <v>141.45</v>
      </c>
      <c r="K115" s="14"/>
      <c r="L115" s="14"/>
      <c r="M115" s="14"/>
      <c r="N115" s="14" t="n">
        <f aca="false">ROUND((G115*I115)-K115-L115-M115,2)</f>
        <v>141.45</v>
      </c>
      <c r="O115" s="14"/>
      <c r="P115" s="14" t="n">
        <f aca="false">ROUND(IF(D115=0,IF((N115-E115-O115)&gt;0,(N115-E115-O115),0),IF((D115+N115-O115)&gt;0,(D115+N115-O115),0)),2)</f>
        <v>1414.5</v>
      </c>
      <c r="Q115" s="14" t="n">
        <f aca="false">ROUND(IF(E115=0,IF((D115+N115-O115)&lt;0,ABS(D115+N115-O115),0),IF((N115-E115-O115)&lt;0,ABS(N115-E115-O115),0)),2)</f>
        <v>0</v>
      </c>
    </row>
    <row r="116" customFormat="false" ht="15" hidden="false" customHeight="true" outlineLevel="0" collapsed="false">
      <c r="A116" s="12" t="s">
        <v>344</v>
      </c>
      <c r="B116" s="12" t="str">
        <f aca="false">вересень!B116</f>
        <v>Випенко О.І.</v>
      </c>
      <c r="C116" s="12" t="s">
        <v>346</v>
      </c>
      <c r="D116" s="14" t="n">
        <f aca="false">вересень!P116</f>
        <v>17462.05</v>
      </c>
      <c r="E116" s="14" t="n">
        <f aca="false">вересень!Q116</f>
        <v>0</v>
      </c>
      <c r="F116" s="13" t="n">
        <f aca="false">вересень!F116</f>
        <v>0</v>
      </c>
      <c r="G116" s="13" t="n">
        <f aca="false">вересень!G116</f>
        <v>62.9</v>
      </c>
      <c r="H116" s="13" t="n">
        <f aca="false">вересень!H116</f>
        <v>0</v>
      </c>
      <c r="I116" s="13" t="n">
        <f aca="false">вересень!I116</f>
        <v>4.1</v>
      </c>
      <c r="J116" s="14" t="n">
        <f aca="false">ROUND(G116*I116,2)</f>
        <v>257.89</v>
      </c>
      <c r="K116" s="14"/>
      <c r="L116" s="14"/>
      <c r="M116" s="14"/>
      <c r="N116" s="14" t="n">
        <f aca="false">ROUND((G116*I116)-K116-L116-M116,2)</f>
        <v>257.89</v>
      </c>
      <c r="O116" s="14"/>
      <c r="P116" s="14" t="n">
        <f aca="false">ROUND(IF(D116=0,IF((N116-E116-O116)&gt;0,(N116-E116-O116),0),IF((D116+N116-O116)&gt;0,(D116+N116-O116),0)),2)</f>
        <v>17719.94</v>
      </c>
      <c r="Q116" s="14" t="n">
        <f aca="false">ROUND(IF(E116=0,IF((D116+N116-O116)&lt;0,ABS(D116+N116-O116),0),IF((N116-E116-O116)&lt;0,ABS(N116-E116-O116),0)),2)</f>
        <v>0</v>
      </c>
    </row>
    <row r="117" customFormat="false" ht="15" hidden="false" customHeight="true" outlineLevel="0" collapsed="false">
      <c r="A117" s="12" t="s">
        <v>347</v>
      </c>
      <c r="B117" s="12" t="str">
        <f aca="false">вересень!B117</f>
        <v>Саприкін Ю.О.</v>
      </c>
      <c r="C117" s="12" t="s">
        <v>349</v>
      </c>
      <c r="D117" s="14" t="n">
        <f aca="false">вересень!P117</f>
        <v>3985.2</v>
      </c>
      <c r="E117" s="14" t="n">
        <f aca="false">вересень!Q117</f>
        <v>0</v>
      </c>
      <c r="F117" s="13" t="n">
        <f aca="false">вересень!F117</f>
        <v>0</v>
      </c>
      <c r="G117" s="13" t="n">
        <f aca="false">вересень!G117</f>
        <v>97.2</v>
      </c>
      <c r="H117" s="13" t="n">
        <f aca="false">вересень!H117</f>
        <v>0</v>
      </c>
      <c r="I117" s="13" t="n">
        <f aca="false">вересень!I117</f>
        <v>4.1</v>
      </c>
      <c r="J117" s="14" t="n">
        <f aca="false">ROUND(G117*I117,2)</f>
        <v>398.52</v>
      </c>
      <c r="K117" s="14"/>
      <c r="L117" s="14"/>
      <c r="M117" s="14"/>
      <c r="N117" s="14" t="n">
        <f aca="false">ROUND((G117*I117)-K117-L117-M117,2)</f>
        <v>398.52</v>
      </c>
      <c r="O117" s="14"/>
      <c r="P117" s="14" t="n">
        <f aca="false">ROUND(IF(D117=0,IF((N117-E117-O117)&gt;0,(N117-E117-O117),0),IF((D117+N117-O117)&gt;0,(D117+N117-O117),0)),2)</f>
        <v>4383.72</v>
      </c>
      <c r="Q117" s="14" t="n">
        <f aca="false">ROUND(IF(E117=0,IF((D117+N117-O117)&lt;0,ABS(D117+N117-O117),0),IF((N117-E117-O117)&lt;0,ABS(N117-E117-O117),0)),2)</f>
        <v>0</v>
      </c>
    </row>
    <row r="118" customFormat="false" ht="15" hidden="false" customHeight="true" outlineLevel="0" collapsed="false">
      <c r="A118" s="12" t="s">
        <v>350</v>
      </c>
      <c r="B118" s="12" t="str">
        <f aca="false">вересень!B118</f>
        <v>Мовчан В.М.</v>
      </c>
      <c r="C118" s="12" t="s">
        <v>352</v>
      </c>
      <c r="D118" s="14" t="n">
        <f aca="false">вересень!P118</f>
        <v>1798.92</v>
      </c>
      <c r="E118" s="14" t="n">
        <f aca="false">вересень!Q118</f>
        <v>0</v>
      </c>
      <c r="F118" s="13" t="n">
        <f aca="false">вересень!F118</f>
        <v>0</v>
      </c>
      <c r="G118" s="13" t="n">
        <f aca="false">вересень!G118</f>
        <v>48.75</v>
      </c>
      <c r="H118" s="13" t="n">
        <f aca="false">вересень!H118</f>
        <v>0</v>
      </c>
      <c r="I118" s="13" t="n">
        <f aca="false">вересень!I118</f>
        <v>4.1</v>
      </c>
      <c r="J118" s="14" t="n">
        <f aca="false">ROUND(G118*I118,2)</f>
        <v>199.88</v>
      </c>
      <c r="K118" s="14"/>
      <c r="L118" s="14"/>
      <c r="M118" s="14"/>
      <c r="N118" s="14" t="n">
        <f aca="false">ROUND((G118*I118)-K118-L118-M118,2)</f>
        <v>199.88</v>
      </c>
      <c r="O118" s="14"/>
      <c r="P118" s="14" t="n">
        <f aca="false">ROUND(IF(D118=0,IF((N118-E118-O118)&gt;0,(N118-E118-O118),0),IF((D118+N118-O118)&gt;0,(D118+N118-O118),0)),2)</f>
        <v>1998.8</v>
      </c>
      <c r="Q118" s="14" t="n">
        <f aca="false">ROUND(IF(E118=0,IF((D118+N118-O118)&lt;0,ABS(D118+N118-O118),0),IF((N118-E118-O118)&lt;0,ABS(N118-E118-O118),0)),2)</f>
        <v>0</v>
      </c>
    </row>
    <row r="119" customFormat="false" ht="15" hidden="false" customHeight="true" outlineLevel="0" collapsed="false">
      <c r="A119" s="12" t="s">
        <v>353</v>
      </c>
      <c r="B119" s="12" t="str">
        <f aca="false">вересень!B119</f>
        <v>Величко Н.М.</v>
      </c>
      <c r="C119" s="12" t="s">
        <v>355</v>
      </c>
      <c r="D119" s="14" t="n">
        <f aca="false">вересень!P119</f>
        <v>2535.02</v>
      </c>
      <c r="E119" s="14" t="n">
        <f aca="false">вересень!Q119</f>
        <v>0</v>
      </c>
      <c r="F119" s="13" t="n">
        <f aca="false">вересень!F119</f>
        <v>0</v>
      </c>
      <c r="G119" s="13" t="n">
        <f aca="false">вересень!G119</f>
        <v>63.8</v>
      </c>
      <c r="H119" s="13" t="n">
        <f aca="false">вересень!H119</f>
        <v>0</v>
      </c>
      <c r="I119" s="13" t="n">
        <f aca="false">вересень!I119</f>
        <v>4.1</v>
      </c>
      <c r="J119" s="14" t="n">
        <f aca="false">ROUND(G119*I119,2)</f>
        <v>261.58</v>
      </c>
      <c r="K119" s="14"/>
      <c r="L119" s="14"/>
      <c r="M119" s="14"/>
      <c r="N119" s="14" t="n">
        <f aca="false">ROUND((G119*I119)-K119-L119-M119,2)</f>
        <v>261.58</v>
      </c>
      <c r="O119" s="14"/>
      <c r="P119" s="14" t="n">
        <f aca="false">ROUND(IF(D119=0,IF((N119-E119-O119)&gt;0,(N119-E119-O119),0),IF((D119+N119-O119)&gt;0,(D119+N119-O119),0)),2)</f>
        <v>2796.6</v>
      </c>
      <c r="Q119" s="14" t="n">
        <f aca="false">ROUND(IF(E119=0,IF((D119+N119-O119)&lt;0,ABS(D119+N119-O119),0),IF((N119-E119-O119)&lt;0,ABS(N119-E119-O119),0)),2)</f>
        <v>0</v>
      </c>
    </row>
    <row r="120" customFormat="false" ht="15" hidden="false" customHeight="true" outlineLevel="0" collapsed="false">
      <c r="A120" s="12" t="s">
        <v>356</v>
      </c>
      <c r="B120" s="12" t="str">
        <f aca="false">вересень!B120</f>
        <v>Бухлов С.В.</v>
      </c>
      <c r="C120" s="12" t="s">
        <v>358</v>
      </c>
      <c r="D120" s="14" t="n">
        <f aca="false">вересень!P120</f>
        <v>19544.19</v>
      </c>
      <c r="E120" s="14" t="n">
        <f aca="false">вересень!Q120</f>
        <v>0</v>
      </c>
      <c r="F120" s="13" t="n">
        <f aca="false">вересень!F120</f>
        <v>0</v>
      </c>
      <c r="G120" s="13" t="n">
        <f aca="false">вересень!G120</f>
        <v>62.6</v>
      </c>
      <c r="H120" s="13" t="n">
        <f aca="false">вересень!H120</f>
        <v>0</v>
      </c>
      <c r="I120" s="13" t="n">
        <f aca="false">вересень!I120</f>
        <v>4.1</v>
      </c>
      <c r="J120" s="14" t="n">
        <f aca="false">ROUND(G120*I120,2)</f>
        <v>256.66</v>
      </c>
      <c r="K120" s="14"/>
      <c r="L120" s="14"/>
      <c r="M120" s="14"/>
      <c r="N120" s="14" t="n">
        <f aca="false">ROUND((G120*I120)-K120-L120-M120,2)</f>
        <v>256.66</v>
      </c>
      <c r="O120" s="14"/>
      <c r="P120" s="14" t="n">
        <f aca="false">ROUND(IF(D120=0,IF((N120-E120-O120)&gt;0,(N120-E120-O120),0),IF((D120+N120-O120)&gt;0,(D120+N120-O120),0)),2)</f>
        <v>19800.85</v>
      </c>
      <c r="Q120" s="14" t="n">
        <f aca="false">ROUND(IF(E120=0,IF((D120+N120-O120)&lt;0,ABS(D120+N120-O120),0),IF((N120-E120-O120)&lt;0,ABS(N120-E120-O120),0)),2)</f>
        <v>0</v>
      </c>
    </row>
    <row r="121" customFormat="false" ht="15" hidden="false" customHeight="true" outlineLevel="0" collapsed="false">
      <c r="A121" s="12" t="s">
        <v>359</v>
      </c>
      <c r="B121" s="12" t="str">
        <f aca="false">вересень!B121</f>
        <v>Перепеліцина Т.Ю.</v>
      </c>
      <c r="C121" s="12" t="s">
        <v>361</v>
      </c>
      <c r="D121" s="14" t="n">
        <f aca="false">вересень!P121</f>
        <v>3683.62</v>
      </c>
      <c r="E121" s="14" t="n">
        <f aca="false">вересень!Q121</f>
        <v>0</v>
      </c>
      <c r="F121" s="13" t="n">
        <f aca="false">вересень!F121</f>
        <v>0</v>
      </c>
      <c r="G121" s="13" t="n">
        <f aca="false">вересень!G121</f>
        <v>34.7</v>
      </c>
      <c r="H121" s="13" t="n">
        <f aca="false">вересень!H121</f>
        <v>0</v>
      </c>
      <c r="I121" s="13" t="n">
        <f aca="false">вересень!I121</f>
        <v>4.1</v>
      </c>
      <c r="J121" s="14" t="n">
        <f aca="false">ROUND(G121*I121,2)</f>
        <v>142.27</v>
      </c>
      <c r="K121" s="14"/>
      <c r="L121" s="14"/>
      <c r="M121" s="14"/>
      <c r="N121" s="14" t="n">
        <f aca="false">ROUND((G121*I121)-K121-L121-M121,2)</f>
        <v>142.27</v>
      </c>
      <c r="O121" s="14"/>
      <c r="P121" s="14" t="n">
        <f aca="false">ROUND(IF(D121=0,IF((N121-E121-O121)&gt;0,(N121-E121-O121),0),IF((D121+N121-O121)&gt;0,(D121+N121-O121),0)),2)</f>
        <v>3825.89</v>
      </c>
      <c r="Q121" s="14" t="n">
        <f aca="false">ROUND(IF(E121=0,IF((D121+N121-O121)&lt;0,ABS(D121+N121-O121),0),IF((N121-E121-O121)&lt;0,ABS(N121-E121-O121),0)),2)</f>
        <v>0</v>
      </c>
    </row>
    <row r="122" customFormat="false" ht="15" hidden="false" customHeight="true" outlineLevel="0" collapsed="false">
      <c r="A122" s="12" t="s">
        <v>362</v>
      </c>
      <c r="B122" s="12" t="str">
        <f aca="false">вересень!B122</f>
        <v>Свєтлова Т.Ю.</v>
      </c>
      <c r="C122" s="12" t="s">
        <v>364</v>
      </c>
      <c r="D122" s="14" t="n">
        <f aca="false">вересень!P122</f>
        <v>5074.85</v>
      </c>
      <c r="E122" s="14" t="n">
        <f aca="false">вересень!Q122</f>
        <v>0</v>
      </c>
      <c r="F122" s="13" t="n">
        <f aca="false">вересень!F122</f>
        <v>0</v>
      </c>
      <c r="G122" s="13" t="n">
        <f aca="false">вересень!G122</f>
        <v>49.72</v>
      </c>
      <c r="H122" s="13" t="n">
        <f aca="false">вересень!H122</f>
        <v>0</v>
      </c>
      <c r="I122" s="13" t="n">
        <f aca="false">вересень!I122</f>
        <v>4.1</v>
      </c>
      <c r="J122" s="14" t="n">
        <f aca="false">ROUND(G122*I122,2)</f>
        <v>203.85</v>
      </c>
      <c r="K122" s="14"/>
      <c r="L122" s="14"/>
      <c r="M122" s="14"/>
      <c r="N122" s="14" t="n">
        <f aca="false">ROUND((G122*I122)-K122-L122-M122,2)</f>
        <v>203.85</v>
      </c>
      <c r="O122" s="14"/>
      <c r="P122" s="14" t="n">
        <f aca="false">ROUND(IF(D122=0,IF((N122-E122-O122)&gt;0,(N122-E122-O122),0),IF((D122+N122-O122)&gt;0,(D122+N122-O122),0)),2)</f>
        <v>5278.7</v>
      </c>
      <c r="Q122" s="14" t="n">
        <f aca="false">ROUND(IF(E122=0,IF((D122+N122-O122)&lt;0,ABS(D122+N122-O122),0),IF((N122-E122-O122)&lt;0,ABS(N122-E122-O122),0)),2)</f>
        <v>0</v>
      </c>
    </row>
    <row r="123" customFormat="false" ht="15" hidden="false" customHeight="true" outlineLevel="0" collapsed="false">
      <c r="A123" s="12" t="s">
        <v>365</v>
      </c>
      <c r="B123" s="12" t="str">
        <f aca="false">вересень!B123</f>
        <v>Маркова О.М.</v>
      </c>
      <c r="C123" s="12" t="s">
        <v>367</v>
      </c>
      <c r="D123" s="14" t="n">
        <f aca="false">вересень!P123</f>
        <v>2453.65</v>
      </c>
      <c r="E123" s="14" t="n">
        <f aca="false">вересень!Q123</f>
        <v>0</v>
      </c>
      <c r="F123" s="13" t="n">
        <f aca="false">вересень!F123</f>
        <v>0</v>
      </c>
      <c r="G123" s="13" t="n">
        <f aca="false">вересень!G123</f>
        <v>65.1</v>
      </c>
      <c r="H123" s="13" t="n">
        <f aca="false">вересень!H123</f>
        <v>0</v>
      </c>
      <c r="I123" s="13" t="n">
        <f aca="false">вересень!I123</f>
        <v>4.1</v>
      </c>
      <c r="J123" s="14" t="n">
        <f aca="false">ROUND(G123*I123,2)</f>
        <v>266.91</v>
      </c>
      <c r="K123" s="14"/>
      <c r="L123" s="14"/>
      <c r="M123" s="14"/>
      <c r="N123" s="14" t="n">
        <f aca="false">ROUND((G123*I123)-K123-L123-M123,2)</f>
        <v>266.91</v>
      </c>
      <c r="O123" s="14"/>
      <c r="P123" s="14" t="n">
        <f aca="false">ROUND(IF(D123=0,IF((N123-E123-O123)&gt;0,(N123-E123-O123),0),IF((D123+N123-O123)&gt;0,(D123+N123-O123),0)),2)</f>
        <v>2720.56</v>
      </c>
      <c r="Q123" s="14" t="n">
        <f aca="false">ROUND(IF(E123=0,IF((D123+N123-O123)&lt;0,ABS(D123+N123-O123),0),IF((N123-E123-O123)&lt;0,ABS(N123-E123-O123),0)),2)</f>
        <v>0</v>
      </c>
    </row>
    <row r="124" customFormat="false" ht="15" hidden="false" customHeight="true" outlineLevel="0" collapsed="false">
      <c r="A124" s="12" t="s">
        <v>368</v>
      </c>
      <c r="B124" s="12" t="str">
        <f aca="false">вересень!B124</f>
        <v>Ракитська А.М.</v>
      </c>
      <c r="C124" s="12" t="s">
        <v>370</v>
      </c>
      <c r="D124" s="14" t="n">
        <f aca="false">вересень!P124</f>
        <v>2287.14</v>
      </c>
      <c r="E124" s="14" t="n">
        <f aca="false">вересень!Q124</f>
        <v>0</v>
      </c>
      <c r="F124" s="13" t="n">
        <f aca="false">вересень!F124</f>
        <v>0</v>
      </c>
      <c r="G124" s="13" t="n">
        <f aca="false">вересень!G124</f>
        <v>62.18</v>
      </c>
      <c r="H124" s="13" t="n">
        <f aca="false">вересень!H124</f>
        <v>0</v>
      </c>
      <c r="I124" s="13" t="n">
        <f aca="false">вересень!I124</f>
        <v>4.1</v>
      </c>
      <c r="J124" s="14" t="n">
        <f aca="false">ROUND(G124*I124,2)</f>
        <v>254.94</v>
      </c>
      <c r="K124" s="14"/>
      <c r="L124" s="14"/>
      <c r="M124" s="14"/>
      <c r="N124" s="14" t="n">
        <f aca="false">ROUND((G124*I124)-K124-L124-M124,2)</f>
        <v>254.94</v>
      </c>
      <c r="O124" s="14"/>
      <c r="P124" s="14" t="n">
        <f aca="false">ROUND(IF(D124=0,IF((N124-E124-O124)&gt;0,(N124-E124-O124),0),IF((D124+N124-O124)&gt;0,(D124+N124-O124),0)),2)</f>
        <v>2542.08</v>
      </c>
      <c r="Q124" s="14" t="n">
        <f aca="false">ROUND(IF(E124=0,IF((D124+N124-O124)&lt;0,ABS(D124+N124-O124),0),IF((N124-E124-O124)&lt;0,ABS(N124-E124-O124),0)),2)</f>
        <v>0</v>
      </c>
    </row>
    <row r="125" customFormat="false" ht="15" hidden="false" customHeight="true" outlineLevel="0" collapsed="false">
      <c r="A125" s="12" t="s">
        <v>371</v>
      </c>
      <c r="B125" s="12" t="str">
        <f aca="false">вересень!B125</f>
        <v>Гусак К.С.</v>
      </c>
      <c r="C125" s="12" t="s">
        <v>373</v>
      </c>
      <c r="D125" s="14" t="n">
        <f aca="false">вересень!P125</f>
        <v>7976.19</v>
      </c>
      <c r="E125" s="14" t="n">
        <f aca="false">вересень!Q125</f>
        <v>0</v>
      </c>
      <c r="F125" s="13" t="n">
        <f aca="false">вересень!F125</f>
        <v>0</v>
      </c>
      <c r="G125" s="13" t="n">
        <f aca="false">вересень!G125</f>
        <v>35.1</v>
      </c>
      <c r="H125" s="13" t="n">
        <f aca="false">вересень!H125</f>
        <v>0</v>
      </c>
      <c r="I125" s="13" t="n">
        <f aca="false">вересень!I125</f>
        <v>4.1</v>
      </c>
      <c r="J125" s="14" t="n">
        <f aca="false">ROUND(G125*I125,2)</f>
        <v>143.91</v>
      </c>
      <c r="K125" s="14"/>
      <c r="L125" s="14"/>
      <c r="M125" s="14"/>
      <c r="N125" s="14" t="n">
        <f aca="false">ROUND((G125*I125)-K125-L125-M125,2)</f>
        <v>143.91</v>
      </c>
      <c r="O125" s="14"/>
      <c r="P125" s="14" t="n">
        <f aca="false">ROUND(IF(D125=0,IF((N125-E125-O125)&gt;0,(N125-E125-O125),0),IF((D125+N125-O125)&gt;0,(D125+N125-O125),0)),2)</f>
        <v>8120.1</v>
      </c>
      <c r="Q125" s="14" t="n">
        <f aca="false">ROUND(IF(E125=0,IF((D125+N125-O125)&lt;0,ABS(D125+N125-O125),0),IF((N125-E125-O125)&lt;0,ABS(N125-E125-O125),0)),2)</f>
        <v>0</v>
      </c>
    </row>
    <row r="126" customFormat="false" ht="15" hidden="false" customHeight="true" outlineLevel="0" collapsed="false">
      <c r="A126" s="12" t="s">
        <v>374</v>
      </c>
      <c r="B126" s="12" t="str">
        <f aca="false">вересень!B126</f>
        <v>Пісоченко М.Г.</v>
      </c>
      <c r="C126" s="12" t="s">
        <v>376</v>
      </c>
      <c r="D126" s="14" t="n">
        <f aca="false">вересень!P126</f>
        <v>2041.8</v>
      </c>
      <c r="E126" s="14" t="n">
        <f aca="false">вересень!Q126</f>
        <v>0</v>
      </c>
      <c r="F126" s="13" t="n">
        <f aca="false">вересень!F126</f>
        <v>0</v>
      </c>
      <c r="G126" s="13" t="n">
        <f aca="false">вересень!G126</f>
        <v>49.8</v>
      </c>
      <c r="H126" s="13" t="n">
        <f aca="false">вересень!H126</f>
        <v>0</v>
      </c>
      <c r="I126" s="13" t="n">
        <f aca="false">вересень!I126</f>
        <v>4.1</v>
      </c>
      <c r="J126" s="14" t="n">
        <f aca="false">ROUND(G126*I126,2)</f>
        <v>204.18</v>
      </c>
      <c r="K126" s="14"/>
      <c r="L126" s="14"/>
      <c r="M126" s="14"/>
      <c r="N126" s="14" t="n">
        <f aca="false">ROUND((G126*I126)-K126-L126-M126,2)</f>
        <v>204.18</v>
      </c>
      <c r="O126" s="14"/>
      <c r="P126" s="14" t="n">
        <f aca="false">ROUND(IF(D126=0,IF((N126-E126-O126)&gt;0,(N126-E126-O126),0),IF((D126+N126-O126)&gt;0,(D126+N126-O126),0)),2)</f>
        <v>2245.98</v>
      </c>
      <c r="Q126" s="14" t="n">
        <f aca="false">ROUND(IF(E126=0,IF((D126+N126-O126)&lt;0,ABS(D126+N126-O126),0),IF((N126-E126-O126)&lt;0,ABS(N126-E126-O126),0)),2)</f>
        <v>0</v>
      </c>
    </row>
    <row r="127" customFormat="false" ht="15" hidden="false" customHeight="true" outlineLevel="0" collapsed="false">
      <c r="A127" s="12" t="s">
        <v>377</v>
      </c>
      <c r="B127" s="12" t="str">
        <f aca="false">вересень!B127</f>
        <v>Столяр О.М.</v>
      </c>
      <c r="C127" s="12" t="s">
        <v>379</v>
      </c>
      <c r="D127" s="14" t="n">
        <f aca="false">вересень!P127</f>
        <v>5354.6</v>
      </c>
      <c r="E127" s="14" t="n">
        <f aca="false">вересень!Q127</f>
        <v>0</v>
      </c>
      <c r="F127" s="13" t="n">
        <f aca="false">вересень!F127</f>
        <v>0</v>
      </c>
      <c r="G127" s="13" t="n">
        <f aca="false">вересень!G127</f>
        <v>65.3</v>
      </c>
      <c r="H127" s="13" t="n">
        <f aca="false">вересень!H127</f>
        <v>0</v>
      </c>
      <c r="I127" s="13" t="n">
        <f aca="false">вересень!I127</f>
        <v>4.1</v>
      </c>
      <c r="J127" s="14" t="n">
        <f aca="false">ROUND(G127*I127,2)</f>
        <v>267.73</v>
      </c>
      <c r="K127" s="14"/>
      <c r="L127" s="14"/>
      <c r="M127" s="14"/>
      <c r="N127" s="14" t="n">
        <f aca="false">ROUND((G127*I127)-K127-L127-M127,2)</f>
        <v>267.73</v>
      </c>
      <c r="O127" s="14"/>
      <c r="P127" s="14" t="n">
        <f aca="false">ROUND(IF(D127=0,IF((N127-E127-O127)&gt;0,(N127-E127-O127),0),IF((D127+N127-O127)&gt;0,(D127+N127-O127),0)),2)</f>
        <v>5622.33</v>
      </c>
      <c r="Q127" s="14" t="n">
        <f aca="false">ROUND(IF(E127=0,IF((D127+N127-O127)&lt;0,ABS(D127+N127-O127),0),IF((N127-E127-O127)&lt;0,ABS(N127-E127-O127),0)),2)</f>
        <v>0</v>
      </c>
    </row>
    <row r="128" customFormat="false" ht="15" hidden="false" customHeight="true" outlineLevel="0" collapsed="false">
      <c r="A128" s="12" t="s">
        <v>380</v>
      </c>
      <c r="B128" s="12" t="str">
        <f aca="false">вересень!B128</f>
        <v>Рєзніков В.П.</v>
      </c>
      <c r="C128" s="12" t="s">
        <v>382</v>
      </c>
      <c r="D128" s="14" t="n">
        <f aca="false">вересень!P128</f>
        <v>1980.69</v>
      </c>
      <c r="E128" s="14" t="n">
        <f aca="false">вересень!Q128</f>
        <v>0</v>
      </c>
      <c r="F128" s="13" t="n">
        <f aca="false">вересень!F128</f>
        <v>0</v>
      </c>
      <c r="G128" s="13" t="n">
        <f aca="false">вересень!G128</f>
        <v>62.44</v>
      </c>
      <c r="H128" s="13" t="n">
        <f aca="false">вересень!H128</f>
        <v>0</v>
      </c>
      <c r="I128" s="13" t="n">
        <f aca="false">вересень!I128</f>
        <v>4.1</v>
      </c>
      <c r="J128" s="14" t="n">
        <f aca="false">ROUND(G128*I128,2)</f>
        <v>256</v>
      </c>
      <c r="K128" s="14"/>
      <c r="L128" s="14"/>
      <c r="M128" s="14"/>
      <c r="N128" s="14" t="n">
        <f aca="false">ROUND((G128*I128)-K128-L128-M128,2)</f>
        <v>256</v>
      </c>
      <c r="O128" s="14"/>
      <c r="P128" s="14" t="n">
        <f aca="false">ROUND(IF(D128=0,IF((N128-E128-O128)&gt;0,(N128-E128-O128),0),IF((D128+N128-O128)&gt;0,(D128+N128-O128),0)),2)</f>
        <v>2236.69</v>
      </c>
      <c r="Q128" s="14" t="n">
        <f aca="false">ROUND(IF(E128=0,IF((D128+N128-O128)&lt;0,ABS(D128+N128-O128),0),IF((N128-E128-O128)&lt;0,ABS(N128-E128-O128),0)),2)</f>
        <v>0</v>
      </c>
    </row>
    <row r="129" customFormat="false" ht="15" hidden="false" customHeight="true" outlineLevel="0" collapsed="false">
      <c r="A129" s="12" t="s">
        <v>383</v>
      </c>
      <c r="B129" s="12" t="str">
        <f aca="false">вересень!B129</f>
        <v>Золотоверха Я.І.</v>
      </c>
      <c r="C129" s="12" t="s">
        <v>385</v>
      </c>
      <c r="D129" s="14" t="n">
        <f aca="false">вересень!P129</f>
        <v>1313.64</v>
      </c>
      <c r="E129" s="14" t="n">
        <f aca="false">вересень!Q129</f>
        <v>0</v>
      </c>
      <c r="F129" s="13" t="n">
        <f aca="false">вересень!F129</f>
        <v>0</v>
      </c>
      <c r="G129" s="13" t="n">
        <f aca="false">вересень!G129</f>
        <v>35.6</v>
      </c>
      <c r="H129" s="13" t="n">
        <f aca="false">вересень!H129</f>
        <v>0</v>
      </c>
      <c r="I129" s="13" t="n">
        <f aca="false">вересень!I129</f>
        <v>4.1</v>
      </c>
      <c r="J129" s="14" t="n">
        <f aca="false">ROUND(G129*I129,2)</f>
        <v>145.96</v>
      </c>
      <c r="K129" s="14"/>
      <c r="L129" s="14"/>
      <c r="M129" s="14"/>
      <c r="N129" s="14" t="n">
        <f aca="false">ROUND((G129*I129)-K129-L129-M129,2)</f>
        <v>145.96</v>
      </c>
      <c r="O129" s="14"/>
      <c r="P129" s="14" t="n">
        <f aca="false">ROUND(IF(D129=0,IF((N129-E129-O129)&gt;0,(N129-E129-O129),0),IF((D129+N129-O129)&gt;0,(D129+N129-O129),0)),2)</f>
        <v>1459.6</v>
      </c>
      <c r="Q129" s="14" t="n">
        <f aca="false">ROUND(IF(E129=0,IF((D129+N129-O129)&lt;0,ABS(D129+N129-O129),0),IF((N129-E129-O129)&lt;0,ABS(N129-E129-O129),0)),2)</f>
        <v>0</v>
      </c>
    </row>
    <row r="130" customFormat="false" ht="15" hidden="false" customHeight="true" outlineLevel="0" collapsed="false">
      <c r="A130" s="12" t="s">
        <v>386</v>
      </c>
      <c r="B130" s="12" t="str">
        <f aca="false">вересень!B130</f>
        <v>Бурлаков А.В.</v>
      </c>
      <c r="C130" s="12" t="s">
        <v>388</v>
      </c>
      <c r="D130" s="14" t="n">
        <f aca="false">вересень!P130</f>
        <v>2037.47</v>
      </c>
      <c r="E130" s="14" t="n">
        <f aca="false">вересень!Q130</f>
        <v>0</v>
      </c>
      <c r="F130" s="13" t="n">
        <f aca="false">вересень!F130</f>
        <v>0</v>
      </c>
      <c r="G130" s="13" t="n">
        <f aca="false">вересень!G130</f>
        <v>49.7</v>
      </c>
      <c r="H130" s="13" t="n">
        <f aca="false">вересень!H130</f>
        <v>0</v>
      </c>
      <c r="I130" s="13" t="n">
        <f aca="false">вересень!I130</f>
        <v>4.1</v>
      </c>
      <c r="J130" s="14" t="n">
        <f aca="false">ROUND(G130*I130,2)</f>
        <v>203.77</v>
      </c>
      <c r="K130" s="14"/>
      <c r="L130" s="14"/>
      <c r="M130" s="14"/>
      <c r="N130" s="14" t="n">
        <f aca="false">ROUND((G130*I130)-K130-L130-M130,2)</f>
        <v>203.77</v>
      </c>
      <c r="O130" s="14"/>
      <c r="P130" s="14" t="n">
        <f aca="false">ROUND(IF(D130=0,IF((N130-E130-O130)&gt;0,(N130-E130-O130),0),IF((D130+N130-O130)&gt;0,(D130+N130-O130),0)),2)</f>
        <v>2241.24</v>
      </c>
      <c r="Q130" s="14" t="n">
        <f aca="false">ROUND(IF(E130=0,IF((D130+N130-O130)&lt;0,ABS(D130+N130-O130),0),IF((N130-E130-O130)&lt;0,ABS(N130-E130-O130),0)),2)</f>
        <v>0</v>
      </c>
    </row>
    <row r="131" customFormat="false" ht="15" hidden="false" customHeight="true" outlineLevel="0" collapsed="false">
      <c r="A131" s="12" t="s">
        <v>389</v>
      </c>
      <c r="B131" s="12" t="str">
        <f aca="false">вересень!B131</f>
        <v>Сикула О.Ю.</v>
      </c>
      <c r="C131" s="12" t="s">
        <v>391</v>
      </c>
      <c r="D131" s="14" t="n">
        <f aca="false">вересень!P131</f>
        <v>6404.08</v>
      </c>
      <c r="E131" s="14" t="n">
        <f aca="false">вересень!Q131</f>
        <v>0</v>
      </c>
      <c r="F131" s="13" t="n">
        <f aca="false">вересень!F131</f>
        <v>0</v>
      </c>
      <c r="G131" s="13" t="n">
        <f aca="false">вересень!G131</f>
        <v>65.15</v>
      </c>
      <c r="H131" s="13" t="n">
        <f aca="false">вересень!H131</f>
        <v>0</v>
      </c>
      <c r="I131" s="13" t="n">
        <f aca="false">вересень!I131</f>
        <v>4.1</v>
      </c>
      <c r="J131" s="14" t="n">
        <f aca="false">ROUND(G131*I131,2)</f>
        <v>267.12</v>
      </c>
      <c r="K131" s="14"/>
      <c r="L131" s="14"/>
      <c r="M131" s="14"/>
      <c r="N131" s="14" t="n">
        <f aca="false">ROUND((G131*I131)-K131-L131-M131,2)</f>
        <v>267.12</v>
      </c>
      <c r="O131" s="14"/>
      <c r="P131" s="14" t="n">
        <f aca="false">ROUND(IF(D131=0,IF((N131-E131-O131)&gt;0,(N131-E131-O131),0),IF((D131+N131-O131)&gt;0,(D131+N131-O131),0)),2)</f>
        <v>6671.2</v>
      </c>
      <c r="Q131" s="14" t="n">
        <f aca="false">ROUND(IF(E131=0,IF((D131+N131-O131)&lt;0,ABS(D131+N131-O131),0),IF((N131-E131-O131)&lt;0,ABS(N131-E131-O131),0)),2)</f>
        <v>0</v>
      </c>
    </row>
    <row r="132" customFormat="false" ht="15" hidden="false" customHeight="true" outlineLevel="0" collapsed="false">
      <c r="A132" s="12" t="s">
        <v>392</v>
      </c>
      <c r="B132" s="12" t="str">
        <f aca="false">вересень!B132</f>
        <v>Арістов О.О.</v>
      </c>
      <c r="C132" s="12" t="s">
        <v>394</v>
      </c>
      <c r="D132" s="14" t="n">
        <f aca="false">вересень!P132</f>
        <v>2583</v>
      </c>
      <c r="E132" s="14" t="n">
        <f aca="false">вересень!Q132</f>
        <v>0</v>
      </c>
      <c r="F132" s="13" t="n">
        <f aca="false">вересень!F132</f>
        <v>0</v>
      </c>
      <c r="G132" s="13" t="n">
        <f aca="false">вересень!G132</f>
        <v>63</v>
      </c>
      <c r="H132" s="13" t="n">
        <f aca="false">вересень!H132</f>
        <v>0</v>
      </c>
      <c r="I132" s="13" t="n">
        <f aca="false">вересень!I132</f>
        <v>4.1</v>
      </c>
      <c r="J132" s="14" t="n">
        <f aca="false">ROUND(G132*I132,2)</f>
        <v>258.3</v>
      </c>
      <c r="K132" s="14"/>
      <c r="L132" s="14"/>
      <c r="M132" s="14"/>
      <c r="N132" s="14" t="n">
        <f aca="false">ROUND((G132*I132)-K132-L132-M132,2)</f>
        <v>258.3</v>
      </c>
      <c r="O132" s="14"/>
      <c r="P132" s="14" t="n">
        <f aca="false">ROUND(IF(D132=0,IF((N132-E132-O132)&gt;0,(N132-E132-O132),0),IF((D132+N132-O132)&gt;0,(D132+N132-O132),0)),2)</f>
        <v>2841.3</v>
      </c>
      <c r="Q132" s="14" t="n">
        <f aca="false">ROUND(IF(E132=0,IF((D132+N132-O132)&lt;0,ABS(D132+N132-O132),0),IF((N132-E132-O132)&lt;0,ABS(N132-E132-O132),0)),2)</f>
        <v>0</v>
      </c>
    </row>
    <row r="133" customFormat="false" ht="15" hidden="false" customHeight="true" outlineLevel="0" collapsed="false">
      <c r="A133" s="12" t="s">
        <v>395</v>
      </c>
      <c r="B133" s="12" t="str">
        <f aca="false">вересень!B133</f>
        <v>Бондаренко Т.О.</v>
      </c>
      <c r="C133" s="12" t="s">
        <v>397</v>
      </c>
      <c r="D133" s="14" t="n">
        <f aca="false">вересень!P133</f>
        <v>1280.43</v>
      </c>
      <c r="E133" s="14" t="n">
        <f aca="false">вересень!Q133</f>
        <v>0</v>
      </c>
      <c r="F133" s="13" t="n">
        <f aca="false">вересень!F133</f>
        <v>0</v>
      </c>
      <c r="G133" s="13" t="n">
        <f aca="false">вересень!G133</f>
        <v>34.7</v>
      </c>
      <c r="H133" s="13" t="n">
        <f aca="false">вересень!H133</f>
        <v>0</v>
      </c>
      <c r="I133" s="13" t="n">
        <f aca="false">вересень!I133</f>
        <v>4.1</v>
      </c>
      <c r="J133" s="14" t="n">
        <f aca="false">ROUND(G133*I133,2)</f>
        <v>142.27</v>
      </c>
      <c r="K133" s="14"/>
      <c r="L133" s="14"/>
      <c r="M133" s="14"/>
      <c r="N133" s="14" t="n">
        <f aca="false">ROUND((G133*I133)-K133-L133-M133,2)</f>
        <v>142.27</v>
      </c>
      <c r="O133" s="14"/>
      <c r="P133" s="14" t="n">
        <f aca="false">ROUND(IF(D133=0,IF((N133-E133-O133)&gt;0,(N133-E133-O133),0),IF((D133+N133-O133)&gt;0,(D133+N133-O133),0)),2)</f>
        <v>1422.7</v>
      </c>
      <c r="Q133" s="14" t="n">
        <f aca="false">ROUND(IF(E133=0,IF((D133+N133-O133)&lt;0,ABS(D133+N133-O133),0),IF((N133-E133-O133)&lt;0,ABS(N133-E133-O133),0)),2)</f>
        <v>0</v>
      </c>
    </row>
    <row r="134" customFormat="false" ht="15" hidden="false" customHeight="true" outlineLevel="0" collapsed="false">
      <c r="A134" s="12" t="s">
        <v>398</v>
      </c>
      <c r="B134" s="12" t="str">
        <f aca="false">вересень!B134</f>
        <v>Гайчев П.В.</v>
      </c>
      <c r="C134" s="12" t="s">
        <v>400</v>
      </c>
      <c r="D134" s="14" t="n">
        <f aca="false">вересень!P134</f>
        <v>2017.2</v>
      </c>
      <c r="E134" s="14" t="n">
        <f aca="false">вересень!Q134</f>
        <v>0</v>
      </c>
      <c r="F134" s="13" t="n">
        <f aca="false">вересень!F134</f>
        <v>0</v>
      </c>
      <c r="G134" s="13" t="n">
        <f aca="false">вересень!G134</f>
        <v>49.2</v>
      </c>
      <c r="H134" s="13" t="n">
        <f aca="false">вересень!H134</f>
        <v>0</v>
      </c>
      <c r="I134" s="13" t="n">
        <f aca="false">вересень!I134</f>
        <v>4.1</v>
      </c>
      <c r="J134" s="14" t="n">
        <f aca="false">ROUND(G134*I134,2)</f>
        <v>201.72</v>
      </c>
      <c r="K134" s="14"/>
      <c r="L134" s="14"/>
      <c r="M134" s="14"/>
      <c r="N134" s="14" t="n">
        <f aca="false">ROUND((G134*I134)-K134-L134-M134,2)</f>
        <v>201.72</v>
      </c>
      <c r="O134" s="14"/>
      <c r="P134" s="14" t="n">
        <f aca="false">ROUND(IF(D134=0,IF((N134-E134-O134)&gt;0,(N134-E134-O134),0),IF((D134+N134-O134)&gt;0,(D134+N134-O134),0)),2)</f>
        <v>2218.92</v>
      </c>
      <c r="Q134" s="14" t="n">
        <f aca="false">ROUND(IF(E134=0,IF((D134+N134-O134)&lt;0,ABS(D134+N134-O134),0),IF((N134-E134-O134)&lt;0,ABS(N134-E134-O134),0)),2)</f>
        <v>0</v>
      </c>
    </row>
    <row r="135" customFormat="false" ht="15" hidden="false" customHeight="true" outlineLevel="0" collapsed="false">
      <c r="A135" s="12" t="s">
        <v>401</v>
      </c>
      <c r="B135" s="12" t="str">
        <f aca="false">вересень!B135</f>
        <v>Радченко О.С.</v>
      </c>
      <c r="C135" s="12" t="s">
        <v>403</v>
      </c>
      <c r="D135" s="14" t="n">
        <f aca="false">вересень!P135</f>
        <v>2404.08</v>
      </c>
      <c r="E135" s="14" t="n">
        <f aca="false">вересень!Q135</f>
        <v>0</v>
      </c>
      <c r="F135" s="13" t="n">
        <f aca="false">вересень!F135</f>
        <v>0</v>
      </c>
      <c r="G135" s="13" t="n">
        <f aca="false">вересень!G135</f>
        <v>65.15</v>
      </c>
      <c r="H135" s="13" t="n">
        <f aca="false">вересень!H135</f>
        <v>0</v>
      </c>
      <c r="I135" s="13" t="n">
        <f aca="false">вересень!I135</f>
        <v>4.1</v>
      </c>
      <c r="J135" s="14" t="n">
        <f aca="false">ROUND(G135*I135,2)</f>
        <v>267.12</v>
      </c>
      <c r="K135" s="14"/>
      <c r="L135" s="14"/>
      <c r="M135" s="14"/>
      <c r="N135" s="14" t="n">
        <f aca="false">ROUND((G135*I135)-K135-L135-M135,2)</f>
        <v>267.12</v>
      </c>
      <c r="O135" s="14"/>
      <c r="P135" s="14" t="n">
        <f aca="false">ROUND(IF(D135=0,IF((N135-E135-O135)&gt;0,(N135-E135-O135),0),IF((D135+N135-O135)&gt;0,(D135+N135-O135),0)),2)</f>
        <v>2671.2</v>
      </c>
      <c r="Q135" s="14" t="n">
        <f aca="false">ROUND(IF(E135=0,IF((D135+N135-O135)&lt;0,ABS(D135+N135-O135),0),IF((N135-E135-O135)&lt;0,ABS(N135-E135-O135),0)),2)</f>
        <v>0</v>
      </c>
    </row>
    <row r="136" customFormat="false" ht="15" hidden="false" customHeight="true" outlineLevel="0" collapsed="false">
      <c r="A136" s="12" t="s">
        <v>404</v>
      </c>
      <c r="B136" s="12" t="str">
        <f aca="false">вересень!B136</f>
        <v>Шилін С.М.</v>
      </c>
      <c r="C136" s="12" t="s">
        <v>406</v>
      </c>
      <c r="D136" s="14" t="n">
        <f aca="false">вересень!P136</f>
        <v>3804.18</v>
      </c>
      <c r="E136" s="14" t="n">
        <f aca="false">вересень!Q136</f>
        <v>0</v>
      </c>
      <c r="F136" s="13" t="n">
        <f aca="false">вересень!F136</f>
        <v>0</v>
      </c>
      <c r="G136" s="13" t="n">
        <f aca="false">вересень!G136</f>
        <v>62.3</v>
      </c>
      <c r="H136" s="13" t="n">
        <f aca="false">вересень!H136</f>
        <v>0</v>
      </c>
      <c r="I136" s="13" t="n">
        <f aca="false">вересень!I136</f>
        <v>4.1</v>
      </c>
      <c r="J136" s="14" t="n">
        <f aca="false">ROUND(G136*I136,2)</f>
        <v>255.43</v>
      </c>
      <c r="K136" s="14"/>
      <c r="L136" s="14"/>
      <c r="M136" s="14"/>
      <c r="N136" s="14" t="n">
        <f aca="false">ROUND((G136*I136)-K136-L136-M136,2)</f>
        <v>255.43</v>
      </c>
      <c r="O136" s="14"/>
      <c r="P136" s="14" t="n">
        <f aca="false">ROUND(IF(D136=0,IF((N136-E136-O136)&gt;0,(N136-E136-O136),0),IF((D136+N136-O136)&gt;0,(D136+N136-O136),0)),2)</f>
        <v>4059.61</v>
      </c>
      <c r="Q136" s="14" t="n">
        <f aca="false">ROUND(IF(E136=0,IF((D136+N136-O136)&lt;0,ABS(D136+N136-O136),0),IF((N136-E136-O136)&lt;0,ABS(N136-E136-O136),0)),2)</f>
        <v>0</v>
      </c>
    </row>
    <row r="137" customFormat="false" ht="15" hidden="false" customHeight="true" outlineLevel="0" collapsed="false">
      <c r="A137" s="12" t="s">
        <v>407</v>
      </c>
      <c r="B137" s="12" t="str">
        <f aca="false">вересень!B137</f>
        <v>Корякін Л.М.</v>
      </c>
      <c r="C137" s="12" t="s">
        <v>409</v>
      </c>
      <c r="D137" s="14" t="n">
        <f aca="false">вересень!P137</f>
        <v>2826.11</v>
      </c>
      <c r="E137" s="14" t="n">
        <f aca="false">вересень!Q137</f>
        <v>0</v>
      </c>
      <c r="F137" s="13" t="n">
        <f aca="false">вересень!F137</f>
        <v>0</v>
      </c>
      <c r="G137" s="13" t="n">
        <f aca="false">вересень!G137</f>
        <v>35.3</v>
      </c>
      <c r="H137" s="13" t="n">
        <f aca="false">вересень!H137</f>
        <v>0</v>
      </c>
      <c r="I137" s="13" t="n">
        <f aca="false">вересень!I137</f>
        <v>4.1</v>
      </c>
      <c r="J137" s="14" t="n">
        <f aca="false">ROUND(G137*I137,2)</f>
        <v>144.73</v>
      </c>
      <c r="K137" s="14"/>
      <c r="L137" s="14"/>
      <c r="M137" s="14"/>
      <c r="N137" s="14" t="n">
        <f aca="false">ROUND((G137*I137)-K137-L137-M137,2)</f>
        <v>144.73</v>
      </c>
      <c r="O137" s="14"/>
      <c r="P137" s="14" t="n">
        <f aca="false">ROUND(IF(D137=0,IF((N137-E137-O137)&gt;0,(N137-E137-O137),0),IF((D137+N137-O137)&gt;0,(D137+N137-O137),0)),2)</f>
        <v>2970.84</v>
      </c>
      <c r="Q137" s="14" t="n">
        <f aca="false">ROUND(IF(E137=0,IF((D137+N137-O137)&lt;0,ABS(D137+N137-O137),0),IF((N137-E137-O137)&lt;0,ABS(N137-E137-O137),0)),2)</f>
        <v>0</v>
      </c>
    </row>
    <row r="138" customFormat="false" ht="15" hidden="false" customHeight="true" outlineLevel="0" collapsed="false">
      <c r="A138" s="12" t="s">
        <v>410</v>
      </c>
      <c r="B138" s="12" t="str">
        <f aca="false">вересень!B138</f>
        <v>Кривошеєва Л.М.</v>
      </c>
      <c r="C138" s="12" t="s">
        <v>412</v>
      </c>
      <c r="D138" s="14" t="n">
        <f aca="false">вересень!P138</f>
        <v>4336.92</v>
      </c>
      <c r="E138" s="14" t="n">
        <f aca="false">вересень!Q138</f>
        <v>0</v>
      </c>
      <c r="F138" s="13" t="n">
        <f aca="false">вересень!F138</f>
        <v>0</v>
      </c>
      <c r="G138" s="13" t="n">
        <f aca="false">вересень!G138</f>
        <v>49.78</v>
      </c>
      <c r="H138" s="13" t="n">
        <f aca="false">вересень!H138</f>
        <v>0</v>
      </c>
      <c r="I138" s="13" t="n">
        <f aca="false">вересень!I138</f>
        <v>4.1</v>
      </c>
      <c r="J138" s="14" t="n">
        <f aca="false">ROUND(G138*I138,2)</f>
        <v>204.1</v>
      </c>
      <c r="K138" s="14"/>
      <c r="L138" s="14"/>
      <c r="M138" s="14"/>
      <c r="N138" s="14" t="n">
        <f aca="false">ROUND((G138*I138)-K138-L138-M138,2)</f>
        <v>204.1</v>
      </c>
      <c r="O138" s="14"/>
      <c r="P138" s="14" t="n">
        <f aca="false">ROUND(IF(D138=0,IF((N138-E138-O138)&gt;0,(N138-E138-O138),0),IF((D138+N138-O138)&gt;0,(D138+N138-O138),0)),2)</f>
        <v>4541.02</v>
      </c>
      <c r="Q138" s="14" t="n">
        <f aca="false">ROUND(IF(E138=0,IF((D138+N138-O138)&lt;0,ABS(D138+N138-O138),0),IF((N138-E138-O138)&lt;0,ABS(N138-E138-O138),0)),2)</f>
        <v>0</v>
      </c>
    </row>
    <row r="139" customFormat="false" ht="15" hidden="false" customHeight="true" outlineLevel="0" collapsed="false">
      <c r="A139" s="12" t="s">
        <v>413</v>
      </c>
      <c r="B139" s="12" t="str">
        <f aca="false">вересень!B139</f>
        <v>Харченко І.С.</v>
      </c>
      <c r="C139" s="12" t="s">
        <v>415</v>
      </c>
      <c r="D139" s="14" t="n">
        <f aca="false">вересень!P139</f>
        <v>2155.72</v>
      </c>
      <c r="E139" s="14" t="n">
        <f aca="false">вересень!Q139</f>
        <v>0</v>
      </c>
      <c r="F139" s="13" t="n">
        <f aca="false">вересень!F139</f>
        <v>0</v>
      </c>
      <c r="G139" s="13" t="n">
        <f aca="false">вересень!G139</f>
        <v>65.93</v>
      </c>
      <c r="H139" s="13" t="n">
        <f aca="false">вересень!H139</f>
        <v>0</v>
      </c>
      <c r="I139" s="13" t="n">
        <f aca="false">вересень!I139</f>
        <v>4.1</v>
      </c>
      <c r="J139" s="14" t="n">
        <f aca="false">ROUND(G139*I139,2)</f>
        <v>270.31</v>
      </c>
      <c r="K139" s="14"/>
      <c r="L139" s="14"/>
      <c r="M139" s="14"/>
      <c r="N139" s="14" t="n">
        <f aca="false">ROUND((G139*I139)-K139-L139-M139,2)</f>
        <v>270.31</v>
      </c>
      <c r="O139" s="14"/>
      <c r="P139" s="14" t="n">
        <f aca="false">ROUND(IF(D139=0,IF((N139-E139-O139)&gt;0,(N139-E139-O139),0),IF((D139+N139-O139)&gt;0,(D139+N139-O139),0)),2)</f>
        <v>2426.03</v>
      </c>
      <c r="Q139" s="14" t="n">
        <f aca="false">ROUND(IF(E139=0,IF((D139+N139-O139)&lt;0,ABS(D139+N139-O139),0),IF((N139-E139-O139)&lt;0,ABS(N139-E139-O139),0)),2)</f>
        <v>0</v>
      </c>
    </row>
    <row r="140" customFormat="false" ht="15" hidden="false" customHeight="true" outlineLevel="0" collapsed="false">
      <c r="A140" s="12" t="s">
        <v>416</v>
      </c>
      <c r="B140" s="12" t="str">
        <f aca="false">вересень!B140</f>
        <v>Куриленко І.О.</v>
      </c>
      <c r="C140" s="12" t="s">
        <v>418</v>
      </c>
      <c r="D140" s="14" t="n">
        <f aca="false">вересень!P140</f>
        <v>2045.44</v>
      </c>
      <c r="E140" s="14" t="n">
        <f aca="false">вересень!Q140</f>
        <v>0</v>
      </c>
      <c r="F140" s="13" t="n">
        <f aca="false">вересень!F140</f>
        <v>0</v>
      </c>
      <c r="G140" s="13" t="n">
        <f aca="false">вересень!G140</f>
        <v>62.36</v>
      </c>
      <c r="H140" s="13" t="n">
        <f aca="false">вересень!H140</f>
        <v>0</v>
      </c>
      <c r="I140" s="13" t="n">
        <f aca="false">вересень!I140</f>
        <v>4.1</v>
      </c>
      <c r="J140" s="14" t="n">
        <f aca="false">ROUND(G140*I140,2)</f>
        <v>255.68</v>
      </c>
      <c r="K140" s="14"/>
      <c r="L140" s="14"/>
      <c r="M140" s="14"/>
      <c r="N140" s="14" t="n">
        <f aca="false">ROUND((G140*I140)-K140-L140-M140,2)</f>
        <v>255.68</v>
      </c>
      <c r="O140" s="14"/>
      <c r="P140" s="14" t="n">
        <f aca="false">ROUND(IF(D140=0,IF((N140-E140-O140)&gt;0,(N140-E140-O140),0),IF((D140+N140-O140)&gt;0,(D140+N140-O140),0)),2)</f>
        <v>2301.12</v>
      </c>
      <c r="Q140" s="14" t="n">
        <f aca="false">ROUND(IF(E140=0,IF((D140+N140-O140)&lt;0,ABS(D140+N140-O140),0),IF((N140-E140-O140)&lt;0,ABS(N140-E140-O140),0)),2)</f>
        <v>0</v>
      </c>
    </row>
    <row r="141" customFormat="false" ht="15" hidden="false" customHeight="true" outlineLevel="0" collapsed="false">
      <c r="A141" s="12" t="s">
        <v>419</v>
      </c>
      <c r="B141" s="12" t="str">
        <f aca="false">вересень!B141</f>
        <v>Єлсукова В.М.</v>
      </c>
      <c r="C141" s="12" t="s">
        <v>421</v>
      </c>
      <c r="D141" s="14" t="n">
        <f aca="false">вересень!P141</f>
        <v>8202.87</v>
      </c>
      <c r="E141" s="14" t="n">
        <f aca="false">вересень!Q141</f>
        <v>0</v>
      </c>
      <c r="F141" s="13" t="n">
        <f aca="false">вересень!F141</f>
        <v>0</v>
      </c>
      <c r="G141" s="13" t="n">
        <f aca="false">вересень!G141</f>
        <v>35.1</v>
      </c>
      <c r="H141" s="13" t="n">
        <f aca="false">вересень!H141</f>
        <v>0</v>
      </c>
      <c r="I141" s="13" t="n">
        <f aca="false">вересень!I141</f>
        <v>4.1</v>
      </c>
      <c r="J141" s="14" t="n">
        <f aca="false">ROUND(G141*I141,2)</f>
        <v>143.91</v>
      </c>
      <c r="K141" s="14"/>
      <c r="L141" s="14"/>
      <c r="M141" s="14"/>
      <c r="N141" s="14" t="n">
        <f aca="false">ROUND((G141*I141)-K141-L141-M141,2)</f>
        <v>143.91</v>
      </c>
      <c r="O141" s="14"/>
      <c r="P141" s="14" t="n">
        <f aca="false">ROUND(IF(D141=0,IF((N141-E141-O141)&gt;0,(N141-E141-O141),0),IF((D141+N141-O141)&gt;0,(D141+N141-O141),0)),2)</f>
        <v>8346.78</v>
      </c>
      <c r="Q141" s="14" t="n">
        <f aca="false">ROUND(IF(E141=0,IF((D141+N141-O141)&lt;0,ABS(D141+N141-O141),0),IF((N141-E141-O141)&lt;0,ABS(N141-E141-O141),0)),2)</f>
        <v>0</v>
      </c>
    </row>
    <row r="142" customFormat="false" ht="15" hidden="false" customHeight="true" outlineLevel="0" collapsed="false">
      <c r="A142" s="12" t="s">
        <v>422</v>
      </c>
      <c r="B142" s="12" t="str">
        <f aca="false">вересень!B142</f>
        <v>Пімонова М.В.</v>
      </c>
      <c r="C142" s="12" t="s">
        <v>424</v>
      </c>
      <c r="D142" s="14" t="n">
        <f aca="false">вересень!P142</f>
        <v>10099.98</v>
      </c>
      <c r="E142" s="14" t="n">
        <f aca="false">вересень!Q142</f>
        <v>0</v>
      </c>
      <c r="F142" s="13" t="n">
        <f aca="false">вересень!F142</f>
        <v>0</v>
      </c>
      <c r="G142" s="13" t="n">
        <f aca="false">вересень!G142</f>
        <v>49.47</v>
      </c>
      <c r="H142" s="13" t="n">
        <f aca="false">вересень!H142</f>
        <v>0</v>
      </c>
      <c r="I142" s="13" t="n">
        <f aca="false">вересень!I142</f>
        <v>4.1</v>
      </c>
      <c r="J142" s="14" t="n">
        <f aca="false">ROUND(G142*I142,2)</f>
        <v>202.83</v>
      </c>
      <c r="K142" s="14"/>
      <c r="L142" s="14"/>
      <c r="M142" s="14"/>
      <c r="N142" s="14" t="n">
        <f aca="false">ROUND((G142*I142)-K142-L142-M142,2)</f>
        <v>202.83</v>
      </c>
      <c r="O142" s="14"/>
      <c r="P142" s="14" t="n">
        <f aca="false">ROUND(IF(D142=0,IF((N142-E142-O142)&gt;0,(N142-E142-O142),0),IF((D142+N142-O142)&gt;0,(D142+N142-O142),0)),2)</f>
        <v>10302.81</v>
      </c>
      <c r="Q142" s="14" t="n">
        <f aca="false">ROUND(IF(E142=0,IF((D142+N142-O142)&lt;0,ABS(D142+N142-O142),0),IF((N142-E142-O142)&lt;0,ABS(N142-E142-O142),0)),2)</f>
        <v>0</v>
      </c>
    </row>
    <row r="143" customFormat="false" ht="15" hidden="false" customHeight="true" outlineLevel="0" collapsed="false">
      <c r="A143" s="12" t="s">
        <v>425</v>
      </c>
      <c r="B143" s="12" t="str">
        <f aca="false">вересень!B143</f>
        <v>Осипенко В.В.</v>
      </c>
      <c r="C143" s="12" t="s">
        <v>427</v>
      </c>
      <c r="D143" s="14" t="n">
        <f aca="false">вересень!P143</f>
        <v>13187.52</v>
      </c>
      <c r="E143" s="14" t="n">
        <f aca="false">вересень!Q143</f>
        <v>0</v>
      </c>
      <c r="F143" s="13" t="n">
        <f aca="false">вересень!F143</f>
        <v>0</v>
      </c>
      <c r="G143" s="13" t="n">
        <f aca="false">вересень!G143</f>
        <v>65.65</v>
      </c>
      <c r="H143" s="13" t="n">
        <f aca="false">вересень!H143</f>
        <v>0</v>
      </c>
      <c r="I143" s="13" t="n">
        <f aca="false">вересень!I143</f>
        <v>4.1</v>
      </c>
      <c r="J143" s="14" t="n">
        <f aca="false">ROUND(G143*I143,2)</f>
        <v>269.17</v>
      </c>
      <c r="K143" s="14"/>
      <c r="L143" s="14"/>
      <c r="M143" s="14"/>
      <c r="N143" s="14" t="n">
        <f aca="false">ROUND((G143*I143)-K143-L143-M143,2)</f>
        <v>269.17</v>
      </c>
      <c r="O143" s="14"/>
      <c r="P143" s="14" t="n">
        <f aca="false">ROUND(IF(D143=0,IF((N143-E143-O143)&gt;0,(N143-E143-O143),0),IF((D143+N143-O143)&gt;0,(D143+N143-O143),0)),2)</f>
        <v>13456.69</v>
      </c>
      <c r="Q143" s="14" t="n">
        <f aca="false">ROUND(IF(E143=0,IF((D143+N143-O143)&lt;0,ABS(D143+N143-O143),0),IF((N143-E143-O143)&lt;0,ABS(N143-E143-O143),0)),2)</f>
        <v>0</v>
      </c>
    </row>
    <row r="144" customFormat="false" ht="15" hidden="false" customHeight="true" outlineLevel="0" collapsed="false">
      <c r="A144" s="12" t="s">
        <v>428</v>
      </c>
      <c r="B144" s="12" t="str">
        <f aca="false">вересень!B144</f>
        <v>Друзь О.О.</v>
      </c>
      <c r="C144" s="12" t="s">
        <v>430</v>
      </c>
      <c r="D144" s="14" t="n">
        <f aca="false">вересень!P144</f>
        <v>13239.04</v>
      </c>
      <c r="E144" s="14" t="n">
        <f aca="false">вересень!Q144</f>
        <v>0</v>
      </c>
      <c r="F144" s="13" t="n">
        <f aca="false">вересень!F144</f>
        <v>0</v>
      </c>
      <c r="G144" s="13" t="n">
        <f aca="false">вересень!G144</f>
        <v>62.1</v>
      </c>
      <c r="H144" s="13" t="n">
        <f aca="false">вересень!H144</f>
        <v>0</v>
      </c>
      <c r="I144" s="13" t="n">
        <f aca="false">вересень!I144</f>
        <v>4.1</v>
      </c>
      <c r="J144" s="14" t="n">
        <f aca="false">ROUND(G144*I144,2)</f>
        <v>254.61</v>
      </c>
      <c r="K144" s="14"/>
      <c r="L144" s="14"/>
      <c r="M144" s="14"/>
      <c r="N144" s="14" t="n">
        <f aca="false">ROUND((G144*I144)-K144-L144-M144,2)</f>
        <v>254.61</v>
      </c>
      <c r="O144" s="14"/>
      <c r="P144" s="14" t="n">
        <f aca="false">ROUND(IF(D144=0,IF((N144-E144-O144)&gt;0,(N144-E144-O144),0),IF((D144+N144-O144)&gt;0,(D144+N144-O144),0)),2)</f>
        <v>13493.65</v>
      </c>
      <c r="Q144" s="14" t="n">
        <f aca="false">ROUND(IF(E144=0,IF((D144+N144-O144)&lt;0,ABS(D144+N144-O144),0),IF((N144-E144-O144)&lt;0,ABS(N144-E144-O144),0)),2)</f>
        <v>0</v>
      </c>
    </row>
    <row r="145" customFormat="false" ht="15" hidden="false" customHeight="true" outlineLevel="0" collapsed="false">
      <c r="A145" s="12" t="s">
        <v>431</v>
      </c>
      <c r="B145" s="12" t="str">
        <f aca="false">вересень!B145</f>
        <v>Вовченко Р.І.</v>
      </c>
      <c r="C145" s="12" t="s">
        <v>433</v>
      </c>
      <c r="D145" s="14" t="n">
        <f aca="false">вересень!P145</f>
        <v>4837.6</v>
      </c>
      <c r="E145" s="14" t="n">
        <f aca="false">вересень!Q145</f>
        <v>0</v>
      </c>
      <c r="F145" s="13" t="n">
        <f aca="false">вересень!F145</f>
        <v>0</v>
      </c>
      <c r="G145" s="13" t="n">
        <f aca="false">вересень!G145</f>
        <v>35.2</v>
      </c>
      <c r="H145" s="13" t="n">
        <f aca="false">вересень!H145</f>
        <v>0</v>
      </c>
      <c r="I145" s="13" t="n">
        <f aca="false">вересень!I145</f>
        <v>4.1</v>
      </c>
      <c r="J145" s="14" t="n">
        <f aca="false">ROUND(G145*I145,2)</f>
        <v>144.32</v>
      </c>
      <c r="K145" s="14"/>
      <c r="L145" s="14"/>
      <c r="M145" s="14"/>
      <c r="N145" s="14" t="n">
        <f aca="false">ROUND((G145*I145)-K145-L145-M145,2)</f>
        <v>144.32</v>
      </c>
      <c r="O145" s="14"/>
      <c r="P145" s="14" t="n">
        <f aca="false">ROUND(IF(D145=0,IF((N145-E145-O145)&gt;0,(N145-E145-O145),0),IF((D145+N145-O145)&gt;0,(D145+N145-O145),0)),2)</f>
        <v>4981.92</v>
      </c>
      <c r="Q145" s="14" t="n">
        <f aca="false">ROUND(IF(E145=0,IF((D145+N145-O145)&lt;0,ABS(D145+N145-O145),0),IF((N145-E145-O145)&lt;0,ABS(N145-E145-O145),0)),2)</f>
        <v>0</v>
      </c>
    </row>
    <row r="146" customFormat="false" ht="15" hidden="false" customHeight="true" outlineLevel="0" collapsed="false">
      <c r="A146" s="12" t="s">
        <v>434</v>
      </c>
      <c r="B146" s="12" t="str">
        <f aca="false">вересень!B146</f>
        <v>Плакун Д.В.</v>
      </c>
      <c r="C146" s="12" t="s">
        <v>436</v>
      </c>
      <c r="D146" s="14" t="n">
        <f aca="false">вересень!P146</f>
        <v>2250.49</v>
      </c>
      <c r="E146" s="14" t="n">
        <f aca="false">вересень!Q146</f>
        <v>0</v>
      </c>
      <c r="F146" s="13" t="n">
        <f aca="false">вересень!F146</f>
        <v>0</v>
      </c>
      <c r="G146" s="13" t="n">
        <f aca="false">вересень!G146</f>
        <v>49.9</v>
      </c>
      <c r="H146" s="13" t="n">
        <f aca="false">вересень!H146</f>
        <v>0</v>
      </c>
      <c r="I146" s="13" t="n">
        <f aca="false">вересень!I146</f>
        <v>4.1</v>
      </c>
      <c r="J146" s="14" t="n">
        <f aca="false">ROUND(G146*I146,2)</f>
        <v>204.59</v>
      </c>
      <c r="K146" s="14"/>
      <c r="L146" s="14"/>
      <c r="M146" s="14"/>
      <c r="N146" s="14" t="n">
        <f aca="false">ROUND((G146*I146)-K146-L146-M146,2)</f>
        <v>204.59</v>
      </c>
      <c r="O146" s="14"/>
      <c r="P146" s="14" t="n">
        <f aca="false">ROUND(IF(D146=0,IF((N146-E146-O146)&gt;0,(N146-E146-O146),0),IF((D146+N146-O146)&gt;0,(D146+N146-O146),0)),2)</f>
        <v>2455.08</v>
      </c>
      <c r="Q146" s="14" t="n">
        <f aca="false">ROUND(IF(E146=0,IF((D146+N146-O146)&lt;0,ABS(D146+N146-O146),0),IF((N146-E146-O146)&lt;0,ABS(N146-E146-O146),0)),2)</f>
        <v>0</v>
      </c>
    </row>
    <row r="147" customFormat="false" ht="15" hidden="false" customHeight="true" outlineLevel="0" collapsed="false">
      <c r="A147" s="12" t="s">
        <v>437</v>
      </c>
      <c r="B147" s="12" t="str">
        <f aca="false">вересень!B147</f>
        <v>Гаврилова Ю.О.</v>
      </c>
      <c r="C147" s="12" t="s">
        <v>439</v>
      </c>
      <c r="D147" s="14" t="n">
        <f aca="false">вересень!P147</f>
        <v>7063.76</v>
      </c>
      <c r="E147" s="14" t="n">
        <f aca="false">вересень!Q147</f>
        <v>0</v>
      </c>
      <c r="F147" s="13" t="n">
        <f aca="false">вересень!F147</f>
        <v>0</v>
      </c>
      <c r="G147" s="13" t="n">
        <f aca="false">вересень!G147</f>
        <v>65.8</v>
      </c>
      <c r="H147" s="13" t="n">
        <f aca="false">вересень!H147</f>
        <v>0</v>
      </c>
      <c r="I147" s="13" t="n">
        <f aca="false">вересень!I147</f>
        <v>4.1</v>
      </c>
      <c r="J147" s="14" t="n">
        <f aca="false">ROUND(G147*I147,2)</f>
        <v>269.78</v>
      </c>
      <c r="K147" s="14"/>
      <c r="L147" s="14"/>
      <c r="M147" s="14"/>
      <c r="N147" s="14" t="n">
        <f aca="false">ROUND((G147*I147)-K147-L147-M147,2)</f>
        <v>269.78</v>
      </c>
      <c r="O147" s="14"/>
      <c r="P147" s="14" t="n">
        <f aca="false">ROUND(IF(D147=0,IF((N147-E147-O147)&gt;0,(N147-E147-O147),0),IF((D147+N147-O147)&gt;0,(D147+N147-O147),0)),2)</f>
        <v>7333.54</v>
      </c>
      <c r="Q147" s="14" t="n">
        <f aca="false">ROUND(IF(E147=0,IF((D147+N147-O147)&lt;0,ABS(D147+N147-O147),0),IF((N147-E147-O147)&lt;0,ABS(N147-E147-O147),0)),2)</f>
        <v>0</v>
      </c>
    </row>
    <row r="148" customFormat="false" ht="15" hidden="false" customHeight="true" outlineLevel="0" collapsed="false">
      <c r="A148" s="12" t="s">
        <v>440</v>
      </c>
      <c r="B148" s="12" t="str">
        <f aca="false">вересень!B148</f>
        <v>Корзун Г.М.</v>
      </c>
      <c r="C148" s="12" t="s">
        <v>442</v>
      </c>
      <c r="D148" s="14" t="n">
        <f aca="false">вересень!P148</f>
        <v>3588.92</v>
      </c>
      <c r="E148" s="14" t="n">
        <f aca="false">вересень!Q148</f>
        <v>0</v>
      </c>
      <c r="F148" s="13" t="n">
        <f aca="false">вересень!F148</f>
        <v>0</v>
      </c>
      <c r="G148" s="13" t="n">
        <f aca="false">вересень!G148</f>
        <v>63.2</v>
      </c>
      <c r="H148" s="13" t="n">
        <f aca="false">вересень!H148</f>
        <v>0</v>
      </c>
      <c r="I148" s="13" t="n">
        <f aca="false">вересень!I148</f>
        <v>4.1</v>
      </c>
      <c r="J148" s="14" t="n">
        <f aca="false">ROUND(G148*I148,2)</f>
        <v>259.12</v>
      </c>
      <c r="K148" s="14"/>
      <c r="L148" s="14"/>
      <c r="M148" s="14"/>
      <c r="N148" s="14" t="n">
        <f aca="false">ROUND((G148*I148)-K148-L148-M148,2)</f>
        <v>259.12</v>
      </c>
      <c r="O148" s="14"/>
      <c r="P148" s="14" t="n">
        <f aca="false">ROUND(IF(D148=0,IF((N148-E148-O148)&gt;0,(N148-E148-O148),0),IF((D148+N148-O148)&gt;0,(D148+N148-O148),0)),2)</f>
        <v>3848.04</v>
      </c>
      <c r="Q148" s="14" t="n">
        <f aca="false">ROUND(IF(E148=0,IF((D148+N148-O148)&lt;0,ABS(D148+N148-O148),0),IF((N148-E148-O148)&lt;0,ABS(N148-E148-O148),0)),2)</f>
        <v>0</v>
      </c>
    </row>
    <row r="149" customFormat="false" ht="15" hidden="false" customHeight="true" outlineLevel="0" collapsed="false">
      <c r="A149" s="12" t="s">
        <v>443</v>
      </c>
      <c r="B149" s="12" t="str">
        <f aca="false">вересень!B149</f>
        <v>Бондаренко Л.Л.</v>
      </c>
      <c r="C149" s="12" t="s">
        <v>445</v>
      </c>
      <c r="D149" s="14" t="n">
        <f aca="false">вересень!P149</f>
        <v>5293.8</v>
      </c>
      <c r="E149" s="14" t="n">
        <f aca="false">вересень!Q149</f>
        <v>0</v>
      </c>
      <c r="F149" s="13" t="n">
        <f aca="false">вересень!F149</f>
        <v>0</v>
      </c>
      <c r="G149" s="13" t="n">
        <f aca="false">вересень!G149</f>
        <v>34.9</v>
      </c>
      <c r="H149" s="13" t="n">
        <f aca="false">вересень!H149</f>
        <v>0</v>
      </c>
      <c r="I149" s="13" t="n">
        <f aca="false">вересень!I149</f>
        <v>4.1</v>
      </c>
      <c r="J149" s="14" t="n">
        <f aca="false">ROUND(G149*I149,2)</f>
        <v>143.09</v>
      </c>
      <c r="K149" s="14"/>
      <c r="L149" s="14"/>
      <c r="M149" s="14"/>
      <c r="N149" s="14" t="n">
        <f aca="false">ROUND((G149*I149)-K149-L149-M149,2)</f>
        <v>143.09</v>
      </c>
      <c r="O149" s="14"/>
      <c r="P149" s="14" t="n">
        <f aca="false">ROUND(IF(D149=0,IF((N149-E149-O149)&gt;0,(N149-E149-O149),0),IF((D149+N149-O149)&gt;0,(D149+N149-O149),0)),2)</f>
        <v>5436.89</v>
      </c>
      <c r="Q149" s="14" t="n">
        <f aca="false">ROUND(IF(E149=0,IF((D149+N149-O149)&lt;0,ABS(D149+N149-O149),0),IF((N149-E149-O149)&lt;0,ABS(N149-E149-O149),0)),2)</f>
        <v>0</v>
      </c>
    </row>
    <row r="150" customFormat="false" ht="15" hidden="false" customHeight="true" outlineLevel="0" collapsed="false">
      <c r="A150" s="12" t="s">
        <v>446</v>
      </c>
      <c r="B150" s="12" t="str">
        <f aca="false">вересень!B150</f>
        <v>Капелюш Н.А.</v>
      </c>
      <c r="C150" s="12" t="s">
        <v>448</v>
      </c>
      <c r="D150" s="14" t="n">
        <f aca="false">вересень!P150</f>
        <v>11365.2</v>
      </c>
      <c r="E150" s="14" t="n">
        <f aca="false">вересень!Q150</f>
        <v>0</v>
      </c>
      <c r="F150" s="13" t="n">
        <f aca="false">вересень!F150</f>
        <v>0</v>
      </c>
      <c r="G150" s="13" t="n">
        <f aca="false">вересень!G150</f>
        <v>50.4</v>
      </c>
      <c r="H150" s="13" t="n">
        <f aca="false">вересень!H150</f>
        <v>0</v>
      </c>
      <c r="I150" s="13" t="n">
        <f aca="false">вересень!I150</f>
        <v>4.1</v>
      </c>
      <c r="J150" s="14" t="n">
        <f aca="false">ROUND(G150*I150,2)</f>
        <v>206.64</v>
      </c>
      <c r="K150" s="14"/>
      <c r="L150" s="14"/>
      <c r="M150" s="14"/>
      <c r="N150" s="14" t="n">
        <f aca="false">ROUND((G150*I150)-K150-L150-M150,2)</f>
        <v>206.64</v>
      </c>
      <c r="O150" s="14"/>
      <c r="P150" s="14" t="n">
        <f aca="false">ROUND(IF(D150=0,IF((N150-E150-O150)&gt;0,(N150-E150-O150),0),IF((D150+N150-O150)&gt;0,(D150+N150-O150),0)),2)</f>
        <v>11571.84</v>
      </c>
      <c r="Q150" s="14" t="n">
        <f aca="false">ROUND(IF(E150=0,IF((D150+N150-O150)&lt;0,ABS(D150+N150-O150),0),IF((N150-E150-O150)&lt;0,ABS(N150-E150-O150),0)),2)</f>
        <v>0</v>
      </c>
    </row>
    <row r="151" customFormat="false" ht="15" hidden="false" customHeight="true" outlineLevel="0" collapsed="false">
      <c r="A151" s="12" t="s">
        <v>449</v>
      </c>
      <c r="B151" s="12" t="str">
        <f aca="false">вересень!B151</f>
        <v>Кістрінь Л.П.</v>
      </c>
      <c r="C151" s="12" t="s">
        <v>451</v>
      </c>
      <c r="D151" s="14" t="n">
        <f aca="false">вересень!P151</f>
        <v>15024.65</v>
      </c>
      <c r="E151" s="14" t="n">
        <f aca="false">вересень!Q151</f>
        <v>0</v>
      </c>
      <c r="F151" s="13" t="n">
        <f aca="false">вересень!F151</f>
        <v>0</v>
      </c>
      <c r="G151" s="13" t="n">
        <f aca="false">вересень!G151</f>
        <v>65.2</v>
      </c>
      <c r="H151" s="13" t="n">
        <f aca="false">вересень!H151</f>
        <v>0</v>
      </c>
      <c r="I151" s="13" t="n">
        <f aca="false">вересень!I151</f>
        <v>4.1</v>
      </c>
      <c r="J151" s="14" t="n">
        <f aca="false">ROUND(G151*I151,2)</f>
        <v>267.32</v>
      </c>
      <c r="K151" s="14"/>
      <c r="L151" s="14"/>
      <c r="M151" s="14"/>
      <c r="N151" s="14" t="n">
        <f aca="false">ROUND((G151*I151)-K151-L151-M151,2)</f>
        <v>267.32</v>
      </c>
      <c r="O151" s="14"/>
      <c r="P151" s="14" t="n">
        <f aca="false">ROUND(IF(D151=0,IF((N151-E151-O151)&gt;0,(N151-E151-O151),0),IF((D151+N151-O151)&gt;0,(D151+N151-O151),0)),2)</f>
        <v>15291.97</v>
      </c>
      <c r="Q151" s="14" t="n">
        <f aca="false">ROUND(IF(E151=0,IF((D151+N151-O151)&lt;0,ABS(D151+N151-O151),0),IF((N151-E151-O151)&lt;0,ABS(N151-E151-O151),0)),2)</f>
        <v>0</v>
      </c>
    </row>
    <row r="152" customFormat="false" ht="15" hidden="false" customHeight="true" outlineLevel="0" collapsed="false">
      <c r="A152" s="12" t="s">
        <v>452</v>
      </c>
      <c r="B152" s="12" t="str">
        <f aca="false">вересень!B152</f>
        <v>Козьміна І.В.</v>
      </c>
      <c r="C152" s="12" t="s">
        <v>454</v>
      </c>
      <c r="D152" s="14" t="n">
        <f aca="false">вересень!P152</f>
        <v>4235.84</v>
      </c>
      <c r="E152" s="14" t="n">
        <f aca="false">вересень!Q152</f>
        <v>0</v>
      </c>
      <c r="F152" s="13" t="n">
        <f aca="false">вересень!F152</f>
        <v>0</v>
      </c>
      <c r="G152" s="13" t="n">
        <f aca="false">вересень!G152</f>
        <v>64.57</v>
      </c>
      <c r="H152" s="13" t="n">
        <f aca="false">вересень!H152</f>
        <v>0</v>
      </c>
      <c r="I152" s="13" t="n">
        <f aca="false">вересень!I152</f>
        <v>4.1</v>
      </c>
      <c r="J152" s="14" t="n">
        <f aca="false">ROUND(G152*I152,2)</f>
        <v>264.74</v>
      </c>
      <c r="K152" s="14"/>
      <c r="L152" s="14"/>
      <c r="M152" s="14"/>
      <c r="N152" s="14" t="n">
        <f aca="false">ROUND((G152*I152)-K152-L152-M152,2)</f>
        <v>264.74</v>
      </c>
      <c r="O152" s="14"/>
      <c r="P152" s="14" t="n">
        <f aca="false">ROUND(IF(D152=0,IF((N152-E152-O152)&gt;0,(N152-E152-O152),0),IF((D152+N152-O152)&gt;0,(D152+N152-O152),0)),2)</f>
        <v>4500.58</v>
      </c>
      <c r="Q152" s="14" t="n">
        <f aca="false">ROUND(IF(E152=0,IF((D152+N152-O152)&lt;0,ABS(D152+N152-O152),0),IF((N152-E152-O152)&lt;0,ABS(N152-E152-O152),0)),2)</f>
        <v>0</v>
      </c>
    </row>
    <row r="153" customFormat="false" ht="15" hidden="false" customHeight="true" outlineLevel="0" collapsed="false">
      <c r="A153" s="12" t="s">
        <v>455</v>
      </c>
      <c r="B153" s="12" t="str">
        <f aca="false">вересень!B153</f>
        <v>Чала С.С.</v>
      </c>
      <c r="C153" s="12" t="s">
        <v>457</v>
      </c>
      <c r="D153" s="14" t="n">
        <f aca="false">вересень!P153</f>
        <v>12837.24</v>
      </c>
      <c r="E153" s="14" t="n">
        <f aca="false">вересень!Q153</f>
        <v>0</v>
      </c>
      <c r="F153" s="13" t="n">
        <f aca="false">вересень!F153</f>
        <v>0</v>
      </c>
      <c r="G153" s="13" t="n">
        <f aca="false">вересень!G153</f>
        <v>48.7</v>
      </c>
      <c r="H153" s="13" t="n">
        <f aca="false">вересень!H153</f>
        <v>0</v>
      </c>
      <c r="I153" s="13" t="n">
        <f aca="false">вересень!I153</f>
        <v>4.1</v>
      </c>
      <c r="J153" s="14" t="n">
        <f aca="false">ROUND(G153*I153,2)</f>
        <v>199.67</v>
      </c>
      <c r="K153" s="14"/>
      <c r="L153" s="14"/>
      <c r="M153" s="14"/>
      <c r="N153" s="14" t="n">
        <f aca="false">ROUND((G153*I153)-K153-L153-M153,2)</f>
        <v>199.67</v>
      </c>
      <c r="O153" s="14"/>
      <c r="P153" s="14" t="n">
        <f aca="false">ROUND(IF(D153=0,IF((N153-E153-O153)&gt;0,(N153-E153-O153),0),IF((D153+N153-O153)&gt;0,(D153+N153-O153),0)),2)</f>
        <v>13036.91</v>
      </c>
      <c r="Q153" s="14" t="n">
        <f aca="false">ROUND(IF(E153=0,IF((D153+N153-O153)&lt;0,ABS(D153+N153-O153),0),IF((N153-E153-O153)&lt;0,ABS(N153-E153-O153),0)),2)</f>
        <v>0</v>
      </c>
    </row>
    <row r="154" customFormat="false" ht="15" hidden="false" customHeight="true" outlineLevel="0" collapsed="false">
      <c r="A154" s="12" t="s">
        <v>458</v>
      </c>
      <c r="B154" s="12" t="str">
        <f aca="false">вересень!B154</f>
        <v>Свєтайлова І.М.</v>
      </c>
      <c r="C154" s="12" t="s">
        <v>460</v>
      </c>
      <c r="D154" s="14" t="n">
        <f aca="false">вересень!P154</f>
        <v>2243.96</v>
      </c>
      <c r="E154" s="14" t="n">
        <f aca="false">вересень!Q154</f>
        <v>0</v>
      </c>
      <c r="F154" s="13" t="n">
        <f aca="false">вересень!F154</f>
        <v>0</v>
      </c>
      <c r="G154" s="13" t="n">
        <f aca="false">вересень!G154</f>
        <v>35.1</v>
      </c>
      <c r="H154" s="13" t="n">
        <f aca="false">вересень!H154</f>
        <v>0</v>
      </c>
      <c r="I154" s="13" t="n">
        <f aca="false">вересень!I154</f>
        <v>4.1</v>
      </c>
      <c r="J154" s="14" t="n">
        <f aca="false">ROUND(G154*I154,2)</f>
        <v>143.91</v>
      </c>
      <c r="K154" s="14"/>
      <c r="L154" s="14"/>
      <c r="M154" s="14"/>
      <c r="N154" s="14" t="n">
        <f aca="false">ROUND((G154*I154)-K154-L154-M154,2)</f>
        <v>143.91</v>
      </c>
      <c r="O154" s="14"/>
      <c r="P154" s="14" t="n">
        <f aca="false">ROUND(IF(D154=0,IF((N154-E154-O154)&gt;0,(N154-E154-O154),0),IF((D154+N154-O154)&gt;0,(D154+N154-O154),0)),2)</f>
        <v>2387.87</v>
      </c>
      <c r="Q154" s="14" t="n">
        <f aca="false">ROUND(IF(E154=0,IF((D154+N154-O154)&lt;0,ABS(D154+N154-O154),0),IF((N154-E154-O154)&lt;0,ABS(N154-E154-O154),0)),2)</f>
        <v>0</v>
      </c>
    </row>
    <row r="155" customFormat="false" ht="15" hidden="false" customHeight="true" outlineLevel="0" collapsed="false">
      <c r="A155" s="12" t="s">
        <v>461</v>
      </c>
      <c r="B155" s="12" t="str">
        <f aca="false">вересень!B155</f>
        <v>Неделько Д.І.</v>
      </c>
      <c r="C155" s="12" t="s">
        <v>463</v>
      </c>
      <c r="D155" s="14" t="n">
        <f aca="false">вересень!P155</f>
        <v>8565.96</v>
      </c>
      <c r="E155" s="14" t="n">
        <f aca="false">вересень!Q155</f>
        <v>0</v>
      </c>
      <c r="F155" s="13" t="n">
        <f aca="false">вересень!F155</f>
        <v>0</v>
      </c>
      <c r="G155" s="13" t="n">
        <f aca="false">вересень!G155</f>
        <v>53.57</v>
      </c>
      <c r="H155" s="13" t="n">
        <f aca="false">вересень!H155</f>
        <v>0</v>
      </c>
      <c r="I155" s="13" t="n">
        <f aca="false">вересень!I155</f>
        <v>4.1</v>
      </c>
      <c r="J155" s="14" t="n">
        <f aca="false">ROUND(G155*I155,2)</f>
        <v>219.64</v>
      </c>
      <c r="K155" s="14"/>
      <c r="L155" s="14"/>
      <c r="M155" s="14"/>
      <c r="N155" s="14" t="n">
        <f aca="false">ROUND((G155*I155)-K155-L155-M155,2)</f>
        <v>219.64</v>
      </c>
      <c r="O155" s="14"/>
      <c r="P155" s="14" t="n">
        <f aca="false">ROUND(IF(D155=0,IF((N155-E155-O155)&gt;0,(N155-E155-O155),0),IF((D155+N155-O155)&gt;0,(D155+N155-O155),0)),2)</f>
        <v>8785.6</v>
      </c>
      <c r="Q155" s="14" t="n">
        <f aca="false">ROUND(IF(E155=0,IF((D155+N155-O155)&lt;0,ABS(D155+N155-O155),0),IF((N155-E155-O155)&lt;0,ABS(N155-E155-O155),0)),2)</f>
        <v>0</v>
      </c>
    </row>
    <row r="156" customFormat="false" ht="15" hidden="false" customHeight="true" outlineLevel="0" collapsed="false">
      <c r="A156" s="12" t="s">
        <v>464</v>
      </c>
      <c r="B156" s="12" t="str">
        <f aca="false">вересень!B156</f>
        <v>Самойленко Л.К.</v>
      </c>
      <c r="C156" s="12" t="s">
        <v>466</v>
      </c>
      <c r="D156" s="14" t="n">
        <f aca="false">вересень!P156</f>
        <v>65.95</v>
      </c>
      <c r="E156" s="14" t="n">
        <f aca="false">вересень!Q156</f>
        <v>0</v>
      </c>
      <c r="F156" s="13" t="n">
        <f aca="false">вересень!F156</f>
        <v>0</v>
      </c>
      <c r="G156" s="13" t="n">
        <f aca="false">вересень!G156</f>
        <v>65.7</v>
      </c>
      <c r="H156" s="13" t="n">
        <f aca="false">вересень!H156</f>
        <v>0</v>
      </c>
      <c r="I156" s="13" t="n">
        <f aca="false">вересень!I156</f>
        <v>4.1</v>
      </c>
      <c r="J156" s="14" t="n">
        <f aca="false">ROUND(G156*I156,2)</f>
        <v>269.37</v>
      </c>
      <c r="K156" s="14"/>
      <c r="L156" s="14"/>
      <c r="M156" s="14"/>
      <c r="N156" s="14" t="n">
        <f aca="false">ROUND((G156*I156)-K156-L156-M156,2)</f>
        <v>269.37</v>
      </c>
      <c r="O156" s="14"/>
      <c r="P156" s="14" t="n">
        <f aca="false">ROUND(IF(D156=0,IF((N156-E156-O156)&gt;0,(N156-E156-O156),0),IF((D156+N156-O156)&gt;0,(D156+N156-O156),0)),2)</f>
        <v>335.32</v>
      </c>
      <c r="Q156" s="14" t="n">
        <f aca="false">ROUND(IF(E156=0,IF((D156+N156-O156)&lt;0,ABS(D156+N156-O156),0),IF((N156-E156-O156)&lt;0,ABS(N156-E156-O156),0)),2)</f>
        <v>0</v>
      </c>
    </row>
    <row r="157" customFormat="false" ht="15" hidden="false" customHeight="true" outlineLevel="0" collapsed="false">
      <c r="A157" s="12" t="s">
        <v>467</v>
      </c>
      <c r="B157" s="12" t="str">
        <f aca="false">вересень!B157</f>
        <v>Павлов Ю.В.</v>
      </c>
      <c r="C157" s="12" t="s">
        <v>469</v>
      </c>
      <c r="D157" s="14" t="n">
        <f aca="false">вересень!P157</f>
        <v>4262.28</v>
      </c>
      <c r="E157" s="14" t="n">
        <f aca="false">вересень!Q157</f>
        <v>0</v>
      </c>
      <c r="F157" s="13" t="n">
        <f aca="false">вересень!F157</f>
        <v>0</v>
      </c>
      <c r="G157" s="13" t="n">
        <f aca="false">вересень!G157</f>
        <v>49.78</v>
      </c>
      <c r="H157" s="13" t="n">
        <f aca="false">вересень!H157</f>
        <v>0</v>
      </c>
      <c r="I157" s="13" t="n">
        <f aca="false">вересень!I157</f>
        <v>4.1</v>
      </c>
      <c r="J157" s="14" t="n">
        <f aca="false">ROUND(G157*I157,2)</f>
        <v>204.1</v>
      </c>
      <c r="K157" s="14"/>
      <c r="L157" s="14"/>
      <c r="M157" s="14"/>
      <c r="N157" s="14" t="n">
        <f aca="false">ROUND((G157*I157)-K157-L157-M157,2)</f>
        <v>204.1</v>
      </c>
      <c r="O157" s="14"/>
      <c r="P157" s="14" t="n">
        <f aca="false">ROUND(IF(D157=0,IF((N157-E157-O157)&gt;0,(N157-E157-O157),0),IF((D157+N157-O157)&gt;0,(D157+N157-O157),0)),2)</f>
        <v>4466.38</v>
      </c>
      <c r="Q157" s="14" t="n">
        <f aca="false">ROUND(IF(E157=0,IF((D157+N157-O157)&lt;0,ABS(D157+N157-O157),0),IF((N157-E157-O157)&lt;0,ABS(N157-E157-O157),0)),2)</f>
        <v>0</v>
      </c>
    </row>
    <row r="158" customFormat="false" ht="15" hidden="false" customHeight="true" outlineLevel="0" collapsed="false">
      <c r="A158" s="12" t="s">
        <v>470</v>
      </c>
      <c r="B158" s="12" t="str">
        <f aca="false">вересень!B158</f>
        <v>Коваленко Т.М.</v>
      </c>
      <c r="C158" s="12" t="s">
        <v>472</v>
      </c>
      <c r="D158" s="14" t="n">
        <f aca="false">вересень!P158</f>
        <v>1578.5</v>
      </c>
      <c r="E158" s="14" t="n">
        <f aca="false">вересень!Q158</f>
        <v>0</v>
      </c>
      <c r="F158" s="13" t="n">
        <f aca="false">вересень!F158</f>
        <v>0</v>
      </c>
      <c r="G158" s="13" t="n">
        <f aca="false">вересень!G158</f>
        <v>35</v>
      </c>
      <c r="H158" s="13" t="n">
        <f aca="false">вересень!H158</f>
        <v>0</v>
      </c>
      <c r="I158" s="13" t="n">
        <f aca="false">вересень!I158</f>
        <v>4.1</v>
      </c>
      <c r="J158" s="14" t="n">
        <f aca="false">ROUND(G158*I158,2)</f>
        <v>143.5</v>
      </c>
      <c r="K158" s="14"/>
      <c r="L158" s="14"/>
      <c r="M158" s="14"/>
      <c r="N158" s="14" t="n">
        <f aca="false">ROUND((G158*I158)-K158-L158-M158,2)</f>
        <v>143.5</v>
      </c>
      <c r="O158" s="14"/>
      <c r="P158" s="14" t="n">
        <f aca="false">ROUND(IF(D158=0,IF((N158-E158-O158)&gt;0,(N158-E158-O158),0),IF((D158+N158-O158)&gt;0,(D158+N158-O158),0)),2)</f>
        <v>1722</v>
      </c>
      <c r="Q158" s="14" t="n">
        <f aca="false">ROUND(IF(E158=0,IF((D158+N158-O158)&lt;0,ABS(D158+N158-O158),0),IF((N158-E158-O158)&lt;0,ABS(N158-E158-O158),0)),2)</f>
        <v>0</v>
      </c>
    </row>
    <row r="159" customFormat="false" ht="15" hidden="false" customHeight="true" outlineLevel="0" collapsed="false">
      <c r="A159" s="12" t="s">
        <v>473</v>
      </c>
      <c r="B159" s="12" t="str">
        <f aca="false">вересень!B159</f>
        <v>Рощенко Л.Б.</v>
      </c>
      <c r="C159" s="12" t="s">
        <v>475</v>
      </c>
      <c r="D159" s="14" t="n">
        <f aca="false">вересень!P159</f>
        <v>12185.74</v>
      </c>
      <c r="E159" s="14" t="n">
        <f aca="false">вересень!Q159</f>
        <v>0</v>
      </c>
      <c r="F159" s="13" t="n">
        <f aca="false">вересень!F159</f>
        <v>0</v>
      </c>
      <c r="G159" s="13" t="n">
        <f aca="false">вересень!G159</f>
        <v>62.08</v>
      </c>
      <c r="H159" s="13" t="n">
        <f aca="false">вересень!H159</f>
        <v>0</v>
      </c>
      <c r="I159" s="13" t="n">
        <f aca="false">вересень!I159</f>
        <v>4.1</v>
      </c>
      <c r="J159" s="14" t="n">
        <f aca="false">ROUND(G159*I159,2)</f>
        <v>254.53</v>
      </c>
      <c r="K159" s="14"/>
      <c r="L159" s="14"/>
      <c r="M159" s="14"/>
      <c r="N159" s="14" t="n">
        <f aca="false">ROUND((G159*I159)-K159-L159-M159,2)</f>
        <v>254.53</v>
      </c>
      <c r="O159" s="14"/>
      <c r="P159" s="14" t="n">
        <f aca="false">ROUND(IF(D159=0,IF((N159-E159-O159)&gt;0,(N159-E159-O159),0),IF((D159+N159-O159)&gt;0,(D159+N159-O159),0)),2)</f>
        <v>12440.27</v>
      </c>
      <c r="Q159" s="14" t="n">
        <f aca="false">ROUND(IF(E159=0,IF((D159+N159-O159)&lt;0,ABS(D159+N159-O159),0),IF((N159-E159-O159)&lt;0,ABS(N159-E159-O159),0)),2)</f>
        <v>0</v>
      </c>
    </row>
    <row r="160" customFormat="false" ht="15" hidden="false" customHeight="true" outlineLevel="0" collapsed="false">
      <c r="A160" s="12" t="s">
        <v>476</v>
      </c>
      <c r="B160" s="12" t="str">
        <f aca="false">вересень!B160</f>
        <v>Галушко С.Т.</v>
      </c>
      <c r="C160" s="12" t="s">
        <v>478</v>
      </c>
      <c r="D160" s="14" t="n">
        <f aca="false">вересень!P160</f>
        <v>2160.24</v>
      </c>
      <c r="E160" s="14" t="n">
        <f aca="false">вересень!Q160</f>
        <v>0</v>
      </c>
      <c r="F160" s="13" t="n">
        <f aca="false">вересень!F160</f>
        <v>0</v>
      </c>
      <c r="G160" s="13" t="n">
        <f aca="false">вересень!G160</f>
        <v>65.86</v>
      </c>
      <c r="H160" s="13" t="n">
        <f aca="false">вересень!H160</f>
        <v>0</v>
      </c>
      <c r="I160" s="13" t="n">
        <f aca="false">вересень!I160</f>
        <v>4.1</v>
      </c>
      <c r="J160" s="14" t="n">
        <f aca="false">ROUND(G160*I160,2)</f>
        <v>270.03</v>
      </c>
      <c r="K160" s="14"/>
      <c r="L160" s="14"/>
      <c r="M160" s="14"/>
      <c r="N160" s="14" t="n">
        <f aca="false">ROUND((G160*I160)-K160-L160-M160,2)</f>
        <v>270.03</v>
      </c>
      <c r="O160" s="14"/>
      <c r="P160" s="14" t="n">
        <f aca="false">ROUND(IF(D160=0,IF((N160-E160-O160)&gt;0,(N160-E160-O160),0),IF((D160+N160-O160)&gt;0,(D160+N160-O160),0)),2)</f>
        <v>2430.27</v>
      </c>
      <c r="Q160" s="14" t="n">
        <f aca="false">ROUND(IF(E160=0,IF((D160+N160-O160)&lt;0,ABS(D160+N160-O160),0),IF((N160-E160-O160)&lt;0,ABS(N160-E160-O160),0)),2)</f>
        <v>0</v>
      </c>
    </row>
    <row r="161" customFormat="false" ht="15" hidden="false" customHeight="true" outlineLevel="0" collapsed="false">
      <c r="A161" s="12" t="s">
        <v>479</v>
      </c>
      <c r="B161" s="12" t="str">
        <f aca="false">вересень!B161</f>
        <v>Наумова Л.Я.</v>
      </c>
      <c r="C161" s="12" t="s">
        <v>481</v>
      </c>
      <c r="D161" s="14" t="n">
        <f aca="false">вересень!P161</f>
        <v>1805.6</v>
      </c>
      <c r="E161" s="14" t="n">
        <f aca="false">вересень!Q161</f>
        <v>0</v>
      </c>
      <c r="F161" s="13" t="n">
        <f aca="false">вересень!F161</f>
        <v>0</v>
      </c>
      <c r="G161" s="13" t="n">
        <f aca="false">вересень!G161</f>
        <v>49.95</v>
      </c>
      <c r="H161" s="13" t="n">
        <f aca="false">вересень!H161</f>
        <v>0</v>
      </c>
      <c r="I161" s="13" t="n">
        <f aca="false">вересень!I161</f>
        <v>4.1</v>
      </c>
      <c r="J161" s="14" t="n">
        <f aca="false">ROUND(G161*I161,2)</f>
        <v>204.8</v>
      </c>
      <c r="K161" s="14"/>
      <c r="L161" s="14"/>
      <c r="M161" s="14"/>
      <c r="N161" s="14" t="n">
        <f aca="false">ROUND((G161*I161)-K161-L161-M161,2)</f>
        <v>204.8</v>
      </c>
      <c r="O161" s="14"/>
      <c r="P161" s="14" t="n">
        <f aca="false">ROUND(IF(D161=0,IF((N161-E161-O161)&gt;0,(N161-E161-O161),0),IF((D161+N161-O161)&gt;0,(D161+N161-O161),0)),2)</f>
        <v>2010.4</v>
      </c>
      <c r="Q161" s="14" t="n">
        <f aca="false">ROUND(IF(E161=0,IF((D161+N161-O161)&lt;0,ABS(D161+N161-O161),0),IF((N161-E161-O161)&lt;0,ABS(N161-E161-O161),0)),2)</f>
        <v>0</v>
      </c>
    </row>
    <row r="162" customFormat="false" ht="15" hidden="false" customHeight="true" outlineLevel="0" collapsed="false">
      <c r="A162" s="12" t="s">
        <v>482</v>
      </c>
      <c r="B162" s="12" t="str">
        <f aca="false">вересень!B162</f>
        <v>Грєк В.С.</v>
      </c>
      <c r="C162" s="12" t="s">
        <v>484</v>
      </c>
      <c r="D162" s="14" t="n">
        <f aca="false">вересень!P162</f>
        <v>0</v>
      </c>
      <c r="E162" s="14" t="n">
        <f aca="false">вересень!Q162</f>
        <v>149.99</v>
      </c>
      <c r="F162" s="13" t="n">
        <f aca="false">вересень!F162</f>
        <v>0</v>
      </c>
      <c r="G162" s="13" t="n">
        <f aca="false">вересень!G162</f>
        <v>33.9</v>
      </c>
      <c r="H162" s="13" t="n">
        <f aca="false">вересень!H162</f>
        <v>0</v>
      </c>
      <c r="I162" s="13" t="n">
        <f aca="false">вересень!I162</f>
        <v>4.1</v>
      </c>
      <c r="J162" s="14" t="n">
        <f aca="false">ROUND(G162*I162,2)</f>
        <v>138.99</v>
      </c>
      <c r="K162" s="14"/>
      <c r="L162" s="14"/>
      <c r="M162" s="14"/>
      <c r="N162" s="14" t="n">
        <f aca="false">ROUND((G162*I162)-K162-L162-M162,2)</f>
        <v>138.99</v>
      </c>
      <c r="O162" s="14"/>
      <c r="P162" s="14" t="n">
        <f aca="false">ROUND(IF(D162=0,IF((N162-E162-O162)&gt;0,(N162-E162-O162),0),IF((D162+N162-O162)&gt;0,(D162+N162-O162),0)),2)</f>
        <v>0</v>
      </c>
      <c r="Q162" s="14" t="n">
        <f aca="false">ROUND(IF(E162=0,IF((D162+N162-O162)&lt;0,ABS(D162+N162-O162),0),IF((N162-E162-O162)&lt;0,ABS(N162-E162-O162),0)),2)</f>
        <v>11</v>
      </c>
    </row>
    <row r="163" customFormat="false" ht="15" hidden="false" customHeight="true" outlineLevel="0" collapsed="false">
      <c r="A163" s="12" t="s">
        <v>485</v>
      </c>
      <c r="B163" s="12" t="str">
        <f aca="false">вересень!B163</f>
        <v>Пермінов О.А.</v>
      </c>
      <c r="C163" s="12" t="s">
        <v>487</v>
      </c>
      <c r="D163" s="14" t="n">
        <f aca="false">вересень!P163</f>
        <v>3172.84</v>
      </c>
      <c r="E163" s="14" t="n">
        <f aca="false">вересень!Q163</f>
        <v>0</v>
      </c>
      <c r="F163" s="13" t="n">
        <f aca="false">вересень!F163</f>
        <v>0</v>
      </c>
      <c r="G163" s="13" t="n">
        <f aca="false">вересень!G163</f>
        <v>62.43</v>
      </c>
      <c r="H163" s="13" t="n">
        <f aca="false">вересень!H163</f>
        <v>0</v>
      </c>
      <c r="I163" s="13" t="n">
        <f aca="false">вересень!I163</f>
        <v>4.1</v>
      </c>
      <c r="J163" s="14" t="n">
        <f aca="false">ROUND(G163*I163,2)</f>
        <v>255.96</v>
      </c>
      <c r="K163" s="14"/>
      <c r="L163" s="14"/>
      <c r="M163" s="14"/>
      <c r="N163" s="14" t="n">
        <f aca="false">ROUND((G163*I163)-K163-L163-M163,2)</f>
        <v>255.96</v>
      </c>
      <c r="O163" s="14"/>
      <c r="P163" s="14" t="n">
        <f aca="false">ROUND(IF(D163=0,IF((N163-E163-O163)&gt;0,(N163-E163-O163),0),IF((D163+N163-O163)&gt;0,(D163+N163-O163),0)),2)</f>
        <v>3428.8</v>
      </c>
      <c r="Q163" s="14" t="n">
        <f aca="false">ROUND(IF(E163=0,IF((D163+N163-O163)&lt;0,ABS(D163+N163-O163),0),IF((N163-E163-O163)&lt;0,ABS(N163-E163-O163),0)),2)</f>
        <v>0</v>
      </c>
    </row>
    <row r="164" customFormat="false" ht="15" hidden="false" customHeight="true" outlineLevel="0" collapsed="false">
      <c r="A164" s="12" t="s">
        <v>488</v>
      </c>
      <c r="B164" s="12" t="str">
        <f aca="false">вересень!B164</f>
        <v>Рябчук Л.П.</v>
      </c>
      <c r="C164" s="12" t="s">
        <v>490</v>
      </c>
      <c r="D164" s="14" t="n">
        <f aca="false">вересень!P164</f>
        <v>9356.8</v>
      </c>
      <c r="E164" s="14" t="n">
        <f aca="false">вересень!Q164</f>
        <v>0</v>
      </c>
      <c r="F164" s="13" t="n">
        <f aca="false">вересень!F164</f>
        <v>0</v>
      </c>
      <c r="G164" s="13" t="n">
        <f aca="false">вересень!G164</f>
        <v>64.8</v>
      </c>
      <c r="H164" s="13" t="n">
        <f aca="false">вересень!H164</f>
        <v>0</v>
      </c>
      <c r="I164" s="13" t="n">
        <f aca="false">вересень!I164</f>
        <v>4.1</v>
      </c>
      <c r="J164" s="14" t="n">
        <f aca="false">ROUND(G164*I164,2)</f>
        <v>265.68</v>
      </c>
      <c r="K164" s="14"/>
      <c r="L164" s="14"/>
      <c r="M164" s="14"/>
      <c r="N164" s="14" t="n">
        <f aca="false">ROUND((G164*I164)-K164-L164-M164,2)</f>
        <v>265.68</v>
      </c>
      <c r="O164" s="14"/>
      <c r="P164" s="14" t="n">
        <f aca="false">ROUND(IF(D164=0,IF((N164-E164-O164)&gt;0,(N164-E164-O164),0),IF((D164+N164-O164)&gt;0,(D164+N164-O164),0)),2)</f>
        <v>9622.48</v>
      </c>
      <c r="Q164" s="14" t="n">
        <f aca="false">ROUND(IF(E164=0,IF((D164+N164-O164)&lt;0,ABS(D164+N164-O164),0),IF((N164-E164-O164)&lt;0,ABS(N164-E164-O164),0)),2)</f>
        <v>0</v>
      </c>
    </row>
    <row r="165" customFormat="false" ht="15" hidden="false" customHeight="true" outlineLevel="0" collapsed="false">
      <c r="A165" s="12" t="s">
        <v>491</v>
      </c>
      <c r="B165" s="12" t="str">
        <f aca="false">вересень!B165</f>
        <v>Копасова Л.Б.</v>
      </c>
      <c r="C165" s="12" t="s">
        <v>493</v>
      </c>
      <c r="D165" s="14" t="n">
        <f aca="false">вересень!P165</f>
        <v>1822.86</v>
      </c>
      <c r="E165" s="14" t="n">
        <f aca="false">вересень!Q165</f>
        <v>0</v>
      </c>
      <c r="F165" s="13" t="n">
        <f aca="false">вересень!F165</f>
        <v>0</v>
      </c>
      <c r="G165" s="13" t="n">
        <f aca="false">вересень!G165</f>
        <v>49.4</v>
      </c>
      <c r="H165" s="13" t="n">
        <f aca="false">вересень!H165</f>
        <v>0</v>
      </c>
      <c r="I165" s="13" t="n">
        <f aca="false">вересень!I165</f>
        <v>4.1</v>
      </c>
      <c r="J165" s="14" t="n">
        <f aca="false">ROUND(G165*I165,2)</f>
        <v>202.54</v>
      </c>
      <c r="K165" s="14"/>
      <c r="L165" s="14"/>
      <c r="M165" s="14"/>
      <c r="N165" s="14" t="n">
        <f aca="false">ROUND((G165*I165)-K165-L165-M165,2)</f>
        <v>202.54</v>
      </c>
      <c r="O165" s="14"/>
      <c r="P165" s="14" t="n">
        <f aca="false">ROUND(IF(D165=0,IF((N165-E165-O165)&gt;0,(N165-E165-O165),0),IF((D165+N165-O165)&gt;0,(D165+N165-O165),0)),2)</f>
        <v>2025.4</v>
      </c>
      <c r="Q165" s="14" t="n">
        <f aca="false">ROUND(IF(E165=0,IF((D165+N165-O165)&lt;0,ABS(D165+N165-O165),0),IF((N165-E165-O165)&lt;0,ABS(N165-E165-O165),0)),2)</f>
        <v>0</v>
      </c>
    </row>
    <row r="166" customFormat="false" ht="15" hidden="false" customHeight="true" outlineLevel="0" collapsed="false">
      <c r="A166" s="12" t="s">
        <v>494</v>
      </c>
      <c r="B166" s="12" t="str">
        <f aca="false">вересень!B166</f>
        <v>Киричинська Г.Я.</v>
      </c>
      <c r="C166" s="12" t="s">
        <v>496</v>
      </c>
      <c r="D166" s="14" t="n">
        <f aca="false">вересень!P166</f>
        <v>4920.34</v>
      </c>
      <c r="E166" s="14" t="n">
        <f aca="false">вересень!Q166</f>
        <v>0</v>
      </c>
      <c r="F166" s="13" t="n">
        <f aca="false">вересень!F166</f>
        <v>0</v>
      </c>
      <c r="G166" s="13" t="n">
        <f aca="false">вересень!G166</f>
        <v>35.1</v>
      </c>
      <c r="H166" s="13" t="n">
        <f aca="false">вересень!H166</f>
        <v>0</v>
      </c>
      <c r="I166" s="13" t="n">
        <f aca="false">вересень!I166</f>
        <v>4.1</v>
      </c>
      <c r="J166" s="14" t="n">
        <f aca="false">ROUND(G166*I166,2)</f>
        <v>143.91</v>
      </c>
      <c r="K166" s="14"/>
      <c r="L166" s="14"/>
      <c r="M166" s="14"/>
      <c r="N166" s="14" t="n">
        <f aca="false">ROUND((G166*I166)-K166-L166-M166,2)</f>
        <v>143.91</v>
      </c>
      <c r="O166" s="14"/>
      <c r="P166" s="14" t="n">
        <f aca="false">ROUND(IF(D166=0,IF((N166-E166-O166)&gt;0,(N166-E166-O166),0),IF((D166+N166-O166)&gt;0,(D166+N166-O166),0)),2)</f>
        <v>5064.25</v>
      </c>
      <c r="Q166" s="14" t="n">
        <f aca="false">ROUND(IF(E166=0,IF((D166+N166-O166)&lt;0,ABS(D166+N166-O166),0),IF((N166-E166-O166)&lt;0,ABS(N166-E166-O166),0)),2)</f>
        <v>0</v>
      </c>
    </row>
    <row r="167" customFormat="false" ht="15" hidden="false" customHeight="true" outlineLevel="0" collapsed="false">
      <c r="A167" s="12" t="s">
        <v>497</v>
      </c>
      <c r="B167" s="12" t="str">
        <f aca="false">вересень!B167</f>
        <v>Бутрій К.В.</v>
      </c>
      <c r="C167" s="12" t="s">
        <v>499</v>
      </c>
      <c r="D167" s="14" t="n">
        <f aca="false">вересень!P167</f>
        <v>3393.44</v>
      </c>
      <c r="E167" s="14" t="n">
        <f aca="false">вересень!Q167</f>
        <v>0</v>
      </c>
      <c r="F167" s="13" t="n">
        <f aca="false">вересень!F167</f>
        <v>0</v>
      </c>
      <c r="G167" s="13" t="n">
        <f aca="false">вересень!G167</f>
        <v>62.4</v>
      </c>
      <c r="H167" s="13" t="n">
        <f aca="false">вересень!H167</f>
        <v>0</v>
      </c>
      <c r="I167" s="13" t="n">
        <f aca="false">вересень!I167</f>
        <v>4.1</v>
      </c>
      <c r="J167" s="14" t="n">
        <f aca="false">ROUND(G167*I167,2)</f>
        <v>255.84</v>
      </c>
      <c r="K167" s="14"/>
      <c r="L167" s="14"/>
      <c r="M167" s="14"/>
      <c r="N167" s="14" t="n">
        <f aca="false">ROUND((G167*I167)-K167-L167-M167,2)</f>
        <v>255.84</v>
      </c>
      <c r="O167" s="14"/>
      <c r="P167" s="14" t="n">
        <f aca="false">ROUND(IF(D167=0,IF((N167-E167-O167)&gt;0,(N167-E167-O167),0),IF((D167+N167-O167)&gt;0,(D167+N167-O167),0)),2)</f>
        <v>3649.28</v>
      </c>
      <c r="Q167" s="14" t="n">
        <f aca="false">ROUND(IF(E167=0,IF((D167+N167-O167)&lt;0,ABS(D167+N167-O167),0),IF((N167-E167-O167)&lt;0,ABS(N167-E167-O167),0)),2)</f>
        <v>0</v>
      </c>
    </row>
    <row r="168" customFormat="false" ht="15" hidden="false" customHeight="true" outlineLevel="0" collapsed="false">
      <c r="A168" s="12" t="s">
        <v>500</v>
      </c>
      <c r="B168" s="12" t="str">
        <f aca="false">вересень!B168</f>
        <v>Кузьома Г.І.</v>
      </c>
      <c r="C168" s="12" t="s">
        <v>502</v>
      </c>
      <c r="D168" s="14" t="n">
        <f aca="false">вересень!P168</f>
        <v>2416.95</v>
      </c>
      <c r="E168" s="14" t="n">
        <f aca="false">вересень!Q168</f>
        <v>0</v>
      </c>
      <c r="F168" s="13" t="n">
        <f aca="false">вересень!F168</f>
        <v>0</v>
      </c>
      <c r="G168" s="13" t="n">
        <f aca="false">вересень!G168</f>
        <v>65.5</v>
      </c>
      <c r="H168" s="13" t="n">
        <f aca="false">вересень!H168</f>
        <v>0</v>
      </c>
      <c r="I168" s="13" t="n">
        <f aca="false">вересень!I168</f>
        <v>4.1</v>
      </c>
      <c r="J168" s="14" t="n">
        <f aca="false">ROUND(G168*I168,2)</f>
        <v>268.55</v>
      </c>
      <c r="K168" s="14"/>
      <c r="L168" s="14"/>
      <c r="M168" s="14"/>
      <c r="N168" s="14" t="n">
        <f aca="false">ROUND((G168*I168)-K168-L168-M168,2)</f>
        <v>268.55</v>
      </c>
      <c r="O168" s="14"/>
      <c r="P168" s="14" t="n">
        <f aca="false">ROUND(IF(D168=0,IF((N168-E168-O168)&gt;0,(N168-E168-O168),0),IF((D168+N168-O168)&gt;0,(D168+N168-O168),0)),2)</f>
        <v>2685.5</v>
      </c>
      <c r="Q168" s="14" t="n">
        <f aca="false">ROUND(IF(E168=0,IF((D168+N168-O168)&lt;0,ABS(D168+N168-O168),0),IF((N168-E168-O168)&lt;0,ABS(N168-E168-O168),0)),2)</f>
        <v>0</v>
      </c>
    </row>
    <row r="169" customFormat="false" ht="15" hidden="false" customHeight="true" outlineLevel="0" collapsed="false">
      <c r="A169" s="12" t="s">
        <v>503</v>
      </c>
      <c r="B169" s="12" t="str">
        <f aca="false">вересень!B169</f>
        <v>Павленко В.М.</v>
      </c>
      <c r="C169" s="12" t="s">
        <v>505</v>
      </c>
      <c r="D169" s="14" t="n">
        <f aca="false">вересень!P169</f>
        <v>2047.5</v>
      </c>
      <c r="E169" s="14" t="n">
        <f aca="false">вересень!Q169</f>
        <v>0</v>
      </c>
      <c r="F169" s="13" t="n">
        <f aca="false">вересень!F169</f>
        <v>0</v>
      </c>
      <c r="G169" s="13" t="n">
        <f aca="false">вересень!G169</f>
        <v>49.94</v>
      </c>
      <c r="H169" s="13" t="n">
        <f aca="false">вересень!H169</f>
        <v>0</v>
      </c>
      <c r="I169" s="13" t="n">
        <f aca="false">вересень!I169</f>
        <v>4.1</v>
      </c>
      <c r="J169" s="14" t="n">
        <f aca="false">ROUND(G169*I169,2)</f>
        <v>204.75</v>
      </c>
      <c r="K169" s="14"/>
      <c r="L169" s="14"/>
      <c r="M169" s="14"/>
      <c r="N169" s="14" t="n">
        <f aca="false">ROUND((G169*I169)-K169-L169-M169,2)</f>
        <v>204.75</v>
      </c>
      <c r="O169" s="14"/>
      <c r="P169" s="14" t="n">
        <f aca="false">ROUND(IF(D169=0,IF((N169-E169-O169)&gt;0,(N169-E169-O169),0),IF((D169+N169-O169)&gt;0,(D169+N169-O169),0)),2)</f>
        <v>2252.25</v>
      </c>
      <c r="Q169" s="14" t="n">
        <f aca="false">ROUND(IF(E169=0,IF((D169+N169-O169)&lt;0,ABS(D169+N169-O169),0),IF((N169-E169-O169)&lt;0,ABS(N169-E169-O169),0)),2)</f>
        <v>0</v>
      </c>
    </row>
    <row r="170" customFormat="false" ht="15" hidden="false" customHeight="true" outlineLevel="0" collapsed="false">
      <c r="A170" s="12" t="s">
        <v>506</v>
      </c>
      <c r="B170" s="12" t="str">
        <f aca="false">вересень!B170</f>
        <v>Качуровська С.А.</v>
      </c>
      <c r="C170" s="12" t="s">
        <v>508</v>
      </c>
      <c r="D170" s="14" t="n">
        <f aca="false">вересень!P170</f>
        <v>1291.5</v>
      </c>
      <c r="E170" s="14" t="n">
        <f aca="false">вересень!Q170</f>
        <v>0</v>
      </c>
      <c r="F170" s="13" t="n">
        <f aca="false">вересень!F170</f>
        <v>0</v>
      </c>
      <c r="G170" s="13" t="n">
        <f aca="false">вересень!G170</f>
        <v>35</v>
      </c>
      <c r="H170" s="13" t="n">
        <f aca="false">вересень!H170</f>
        <v>0</v>
      </c>
      <c r="I170" s="13" t="n">
        <f aca="false">вересень!I170</f>
        <v>4.1</v>
      </c>
      <c r="J170" s="14" t="n">
        <f aca="false">ROUND(G170*I170,2)</f>
        <v>143.5</v>
      </c>
      <c r="K170" s="14"/>
      <c r="L170" s="14"/>
      <c r="M170" s="14"/>
      <c r="N170" s="14" t="n">
        <f aca="false">ROUND((G170*I170)-K170-L170-M170,2)</f>
        <v>143.5</v>
      </c>
      <c r="O170" s="14"/>
      <c r="P170" s="14" t="n">
        <f aca="false">ROUND(IF(D170=0,IF((N170-E170-O170)&gt;0,(N170-E170-O170),0),IF((D170+N170-O170)&gt;0,(D170+N170-O170),0)),2)</f>
        <v>1435</v>
      </c>
      <c r="Q170" s="14" t="n">
        <f aca="false">ROUND(IF(E170=0,IF((D170+N170-O170)&lt;0,ABS(D170+N170-O170),0),IF((N170-E170-O170)&lt;0,ABS(N170-E170-O170),0)),2)</f>
        <v>0</v>
      </c>
    </row>
    <row r="171" customFormat="false" ht="15" hidden="false" customHeight="true" outlineLevel="0" collapsed="false">
      <c r="A171" s="12" t="s">
        <v>509</v>
      </c>
      <c r="B171" s="12" t="str">
        <f aca="false">вересень!B171</f>
        <v>Білецький Б.Г.</v>
      </c>
      <c r="C171" s="12" t="s">
        <v>511</v>
      </c>
      <c r="D171" s="14" t="n">
        <f aca="false">вересень!P171</f>
        <v>2301.12</v>
      </c>
      <c r="E171" s="14" t="n">
        <f aca="false">вересень!Q171</f>
        <v>0</v>
      </c>
      <c r="F171" s="13" t="n">
        <f aca="false">вересень!F171</f>
        <v>0</v>
      </c>
      <c r="G171" s="13" t="n">
        <f aca="false">вересень!G171</f>
        <v>62.36</v>
      </c>
      <c r="H171" s="13" t="n">
        <f aca="false">вересень!H171</f>
        <v>0</v>
      </c>
      <c r="I171" s="13" t="n">
        <f aca="false">вересень!I171</f>
        <v>4.1</v>
      </c>
      <c r="J171" s="14" t="n">
        <f aca="false">ROUND(G171*I171,2)</f>
        <v>255.68</v>
      </c>
      <c r="K171" s="14"/>
      <c r="L171" s="14"/>
      <c r="M171" s="14"/>
      <c r="N171" s="14" t="n">
        <f aca="false">ROUND((G171*I171)-K171-L171-M171,2)</f>
        <v>255.68</v>
      </c>
      <c r="O171" s="14"/>
      <c r="P171" s="14" t="n">
        <f aca="false">ROUND(IF(D171=0,IF((N171-E171-O171)&gt;0,(N171-E171-O171),0),IF((D171+N171-O171)&gt;0,(D171+N171-O171),0)),2)</f>
        <v>2556.8</v>
      </c>
      <c r="Q171" s="14" t="n">
        <f aca="false">ROUND(IF(E171=0,IF((D171+N171-O171)&lt;0,ABS(D171+N171-O171),0),IF((N171-E171-O171)&lt;0,ABS(N171-E171-O171),0)),2)</f>
        <v>0</v>
      </c>
    </row>
    <row r="172" customFormat="false" ht="15" hidden="false" customHeight="true" outlineLevel="0" collapsed="false">
      <c r="A172" s="12" t="s">
        <v>512</v>
      </c>
      <c r="B172" s="12" t="str">
        <f aca="false">вересень!B172</f>
        <v>Кузнєцова В.В.</v>
      </c>
      <c r="C172" s="12" t="s">
        <v>514</v>
      </c>
      <c r="D172" s="14" t="n">
        <f aca="false">вересень!P172</f>
        <v>10225.12</v>
      </c>
      <c r="E172" s="14" t="n">
        <f aca="false">вересень!Q172</f>
        <v>0</v>
      </c>
      <c r="F172" s="13" t="n">
        <f aca="false">вересень!F172</f>
        <v>0</v>
      </c>
      <c r="G172" s="13" t="n">
        <f aca="false">вересень!G172</f>
        <v>65.63</v>
      </c>
      <c r="H172" s="13" t="n">
        <f aca="false">вересень!H172</f>
        <v>0</v>
      </c>
      <c r="I172" s="13" t="n">
        <f aca="false">вересень!I172</f>
        <v>4.1</v>
      </c>
      <c r="J172" s="14" t="n">
        <f aca="false">ROUND(G172*I172,2)</f>
        <v>269.08</v>
      </c>
      <c r="K172" s="14"/>
      <c r="L172" s="14"/>
      <c r="M172" s="14"/>
      <c r="N172" s="14" t="n">
        <f aca="false">ROUND((G172*I172)-K172-L172-M172,2)</f>
        <v>269.08</v>
      </c>
      <c r="O172" s="14"/>
      <c r="P172" s="14" t="n">
        <f aca="false">ROUND(IF(D172=0,IF((N172-E172-O172)&gt;0,(N172-E172-O172),0),IF((D172+N172-O172)&gt;0,(D172+N172-O172),0)),2)</f>
        <v>10494.2</v>
      </c>
      <c r="Q172" s="14" t="n">
        <f aca="false">ROUND(IF(E172=0,IF((D172+N172-O172)&lt;0,ABS(D172+N172-O172),0),IF((N172-E172-O172)&lt;0,ABS(N172-E172-O172),0)),2)</f>
        <v>0</v>
      </c>
    </row>
    <row r="173" customFormat="false" ht="15" hidden="false" customHeight="true" outlineLevel="0" collapsed="false">
      <c r="A173" s="12" t="s">
        <v>515</v>
      </c>
      <c r="B173" s="12" t="str">
        <f aca="false">вересень!B173</f>
        <v>Сидоренко Б.Й.</v>
      </c>
      <c r="C173" s="12" t="s">
        <v>517</v>
      </c>
      <c r="D173" s="14" t="n">
        <f aca="false">вересень!P173</f>
        <v>18015.77</v>
      </c>
      <c r="E173" s="14" t="n">
        <f aca="false">вересень!Q173</f>
        <v>0</v>
      </c>
      <c r="F173" s="13" t="n">
        <f aca="false">вересень!F173</f>
        <v>0</v>
      </c>
      <c r="G173" s="13" t="n">
        <f aca="false">вересень!G173</f>
        <v>49.8</v>
      </c>
      <c r="H173" s="13" t="n">
        <f aca="false">вересень!H173</f>
        <v>0</v>
      </c>
      <c r="I173" s="13" t="n">
        <f aca="false">вересень!I173</f>
        <v>4.1</v>
      </c>
      <c r="J173" s="14" t="n">
        <f aca="false">ROUND(G173*I173,2)</f>
        <v>204.18</v>
      </c>
      <c r="K173" s="14"/>
      <c r="L173" s="14"/>
      <c r="M173" s="14"/>
      <c r="N173" s="14" t="n">
        <f aca="false">ROUND((G173*I173)-K173-L173-M173,2)</f>
        <v>204.18</v>
      </c>
      <c r="O173" s="14"/>
      <c r="P173" s="14" t="n">
        <f aca="false">ROUND(IF(D173=0,IF((N173-E173-O173)&gt;0,(N173-E173-O173),0),IF((D173+N173-O173)&gt;0,(D173+N173-O173),0)),2)</f>
        <v>18219.95</v>
      </c>
      <c r="Q173" s="14" t="n">
        <f aca="false">ROUND(IF(E173=0,IF((D173+N173-O173)&lt;0,ABS(D173+N173-O173),0),IF((N173-E173-O173)&lt;0,ABS(N173-E173-O173),0)),2)</f>
        <v>0</v>
      </c>
    </row>
    <row r="174" customFormat="false" ht="15" hidden="false" customHeight="true" outlineLevel="0" collapsed="false">
      <c r="A174" s="12" t="s">
        <v>518</v>
      </c>
      <c r="B174" s="12" t="str">
        <f aca="false">вересень!B174</f>
        <v>Кузнєцова О.А.</v>
      </c>
      <c r="C174" s="12" t="s">
        <v>520</v>
      </c>
      <c r="D174" s="14" t="n">
        <f aca="false">вересень!P174</f>
        <v>5309.5</v>
      </c>
      <c r="E174" s="14" t="n">
        <f aca="false">вересень!Q174</f>
        <v>0</v>
      </c>
      <c r="F174" s="13" t="n">
        <f aca="false">вересень!F174</f>
        <v>0</v>
      </c>
      <c r="G174" s="13" t="n">
        <f aca="false">вересень!G174</f>
        <v>35</v>
      </c>
      <c r="H174" s="13" t="n">
        <f aca="false">вересень!H174</f>
        <v>0</v>
      </c>
      <c r="I174" s="13" t="n">
        <f aca="false">вересень!I174</f>
        <v>4.1</v>
      </c>
      <c r="J174" s="14" t="n">
        <f aca="false">ROUND(G174*I174,2)</f>
        <v>143.5</v>
      </c>
      <c r="K174" s="14"/>
      <c r="L174" s="14"/>
      <c r="M174" s="14"/>
      <c r="N174" s="14" t="n">
        <f aca="false">ROUND((G174*I174)-K174-L174-M174,2)</f>
        <v>143.5</v>
      </c>
      <c r="O174" s="14"/>
      <c r="P174" s="14" t="n">
        <f aca="false">ROUND(IF(D174=0,IF((N174-E174-O174)&gt;0,(N174-E174-O174),0),IF((D174+N174-O174)&gt;0,(D174+N174-O174),0)),2)</f>
        <v>5453</v>
      </c>
      <c r="Q174" s="14" t="n">
        <f aca="false">ROUND(IF(E174=0,IF((D174+N174-O174)&lt;0,ABS(D174+N174-O174),0),IF((N174-E174-O174)&lt;0,ABS(N174-E174-O174),0)),2)</f>
        <v>0</v>
      </c>
    </row>
    <row r="175" customFormat="false" ht="15" hidden="false" customHeight="true" outlineLevel="0" collapsed="false">
      <c r="A175" s="12" t="s">
        <v>521</v>
      </c>
      <c r="B175" s="12" t="str">
        <f aca="false">вересень!B175</f>
        <v>Васильєва О.Г.</v>
      </c>
      <c r="C175" s="12" t="s">
        <v>523</v>
      </c>
      <c r="D175" s="14" t="n">
        <f aca="false">вересень!P175</f>
        <v>4378.43</v>
      </c>
      <c r="E175" s="14" t="n">
        <f aca="false">вересень!Q175</f>
        <v>0</v>
      </c>
      <c r="F175" s="13" t="n">
        <f aca="false">вересень!F175</f>
        <v>0</v>
      </c>
      <c r="G175" s="13" t="n">
        <f aca="false">вересень!G175</f>
        <v>61.7</v>
      </c>
      <c r="H175" s="13" t="n">
        <f aca="false">вересень!H175</f>
        <v>0</v>
      </c>
      <c r="I175" s="13" t="n">
        <f aca="false">вересень!I175</f>
        <v>4.1</v>
      </c>
      <c r="J175" s="14" t="n">
        <f aca="false">ROUND(G175*I175,2)</f>
        <v>252.97</v>
      </c>
      <c r="K175" s="14"/>
      <c r="L175" s="14"/>
      <c r="M175" s="14"/>
      <c r="N175" s="14" t="n">
        <f aca="false">ROUND((G175*I175)-K175-L175-M175,2)</f>
        <v>252.97</v>
      </c>
      <c r="O175" s="14"/>
      <c r="P175" s="14" t="n">
        <f aca="false">ROUND(IF(D175=0,IF((N175-E175-O175)&gt;0,(N175-E175-O175),0),IF((D175+N175-O175)&gt;0,(D175+N175-O175),0)),2)</f>
        <v>4631.4</v>
      </c>
      <c r="Q175" s="14" t="n">
        <f aca="false">ROUND(IF(E175=0,IF((D175+N175-O175)&lt;0,ABS(D175+N175-O175),0),IF((N175-E175-O175)&lt;0,ABS(N175-E175-O175),0)),2)</f>
        <v>0</v>
      </c>
    </row>
    <row r="176" customFormat="false" ht="15" hidden="false" customHeight="true" outlineLevel="0" collapsed="false">
      <c r="A176" s="12" t="s">
        <v>524</v>
      </c>
      <c r="B176" s="12" t="str">
        <f aca="false">вересень!B176</f>
        <v>Кудінова Л.М.</v>
      </c>
      <c r="C176" s="12" t="s">
        <v>526</v>
      </c>
      <c r="D176" s="14" t="n">
        <f aca="false">вересень!P176</f>
        <v>2688.8</v>
      </c>
      <c r="E176" s="14" t="n">
        <f aca="false">вересень!Q176</f>
        <v>0</v>
      </c>
      <c r="F176" s="13" t="n">
        <f aca="false">вересень!F176</f>
        <v>0</v>
      </c>
      <c r="G176" s="13" t="n">
        <f aca="false">вересень!G176</f>
        <v>65.58</v>
      </c>
      <c r="H176" s="13" t="n">
        <f aca="false">вересень!H176</f>
        <v>0</v>
      </c>
      <c r="I176" s="13" t="n">
        <f aca="false">вересень!I176</f>
        <v>4.1</v>
      </c>
      <c r="J176" s="14" t="n">
        <f aca="false">ROUND(G176*I176,2)</f>
        <v>268.88</v>
      </c>
      <c r="K176" s="14"/>
      <c r="L176" s="14"/>
      <c r="M176" s="14"/>
      <c r="N176" s="14" t="n">
        <f aca="false">ROUND((G176*I176)-K176-L176-M176,2)</f>
        <v>268.88</v>
      </c>
      <c r="O176" s="14"/>
      <c r="P176" s="14" t="n">
        <f aca="false">ROUND(IF(D176=0,IF((N176-E176-O176)&gt;0,(N176-E176-O176),0),IF((D176+N176-O176)&gt;0,(D176+N176-O176),0)),2)</f>
        <v>2957.68</v>
      </c>
      <c r="Q176" s="14" t="n">
        <f aca="false">ROUND(IF(E176=0,IF((D176+N176-O176)&lt;0,ABS(D176+N176-O176),0),IF((N176-E176-O176)&lt;0,ABS(N176-E176-O176),0)),2)</f>
        <v>0</v>
      </c>
    </row>
    <row r="177" customFormat="false" ht="15" hidden="false" customHeight="true" outlineLevel="0" collapsed="false">
      <c r="A177" s="12" t="s">
        <v>527</v>
      </c>
      <c r="B177" s="12" t="str">
        <f aca="false">вересень!B177</f>
        <v>Спільний І.В.</v>
      </c>
      <c r="C177" s="12" t="s">
        <v>529</v>
      </c>
      <c r="D177" s="14" t="n">
        <f aca="false">вересень!P177</f>
        <v>1826.55</v>
      </c>
      <c r="E177" s="14" t="n">
        <f aca="false">вересень!Q177</f>
        <v>0</v>
      </c>
      <c r="F177" s="13" t="n">
        <f aca="false">вересень!F177</f>
        <v>0</v>
      </c>
      <c r="G177" s="13" t="n">
        <f aca="false">вересень!G177</f>
        <v>49.5</v>
      </c>
      <c r="H177" s="13" t="n">
        <f aca="false">вересень!H177</f>
        <v>0</v>
      </c>
      <c r="I177" s="13" t="n">
        <f aca="false">вересень!I177</f>
        <v>4.1</v>
      </c>
      <c r="J177" s="14" t="n">
        <f aca="false">ROUND(G177*I177,2)</f>
        <v>202.95</v>
      </c>
      <c r="K177" s="14"/>
      <c r="L177" s="14"/>
      <c r="M177" s="14"/>
      <c r="N177" s="14" t="n">
        <f aca="false">ROUND((G177*I177)-K177-L177-M177,2)</f>
        <v>202.95</v>
      </c>
      <c r="O177" s="14"/>
      <c r="P177" s="14" t="n">
        <f aca="false">ROUND(IF(D177=0,IF((N177-E177-O177)&gt;0,(N177-E177-O177),0),IF((D177+N177-O177)&gt;0,(D177+N177-O177),0)),2)</f>
        <v>2029.5</v>
      </c>
      <c r="Q177" s="14" t="n">
        <f aca="false">ROUND(IF(E177=0,IF((D177+N177-O177)&lt;0,ABS(D177+N177-O177),0),IF((N177-E177-O177)&lt;0,ABS(N177-E177-O177),0)),2)</f>
        <v>0</v>
      </c>
    </row>
    <row r="178" customFormat="false" ht="15" hidden="false" customHeight="true" outlineLevel="0" collapsed="false">
      <c r="A178" s="12" t="s">
        <v>530</v>
      </c>
      <c r="B178" s="12" t="str">
        <f aca="false">вересень!B178</f>
        <v>Кружаліна Т.А.</v>
      </c>
      <c r="C178" s="12" t="s">
        <v>532</v>
      </c>
      <c r="D178" s="14" t="n">
        <f aca="false">вересень!P178</f>
        <v>1295.19</v>
      </c>
      <c r="E178" s="14" t="n">
        <f aca="false">вересень!Q178</f>
        <v>0</v>
      </c>
      <c r="F178" s="13" t="n">
        <f aca="false">вересень!F178</f>
        <v>0</v>
      </c>
      <c r="G178" s="13" t="n">
        <f aca="false">вересень!G178</f>
        <v>35.1</v>
      </c>
      <c r="H178" s="13" t="n">
        <f aca="false">вересень!H178</f>
        <v>0</v>
      </c>
      <c r="I178" s="13" t="n">
        <f aca="false">вересень!I178</f>
        <v>4.1</v>
      </c>
      <c r="J178" s="14" t="n">
        <f aca="false">ROUND(G178*I178,2)</f>
        <v>143.91</v>
      </c>
      <c r="K178" s="14"/>
      <c r="L178" s="14"/>
      <c r="M178" s="14"/>
      <c r="N178" s="14" t="n">
        <f aca="false">ROUND((G178*I178)-K178-L178-M178,2)</f>
        <v>143.91</v>
      </c>
      <c r="O178" s="14"/>
      <c r="P178" s="14" t="n">
        <f aca="false">ROUND(IF(D178=0,IF((N178-E178-O178)&gt;0,(N178-E178-O178),0),IF((D178+N178-O178)&gt;0,(D178+N178-O178),0)),2)</f>
        <v>1439.1</v>
      </c>
      <c r="Q178" s="14" t="n">
        <f aca="false">ROUND(IF(E178=0,IF((D178+N178-O178)&lt;0,ABS(D178+N178-O178),0),IF((N178-E178-O178)&lt;0,ABS(N178-E178-O178),0)),2)</f>
        <v>0</v>
      </c>
    </row>
    <row r="179" customFormat="false" ht="15" hidden="false" customHeight="true" outlineLevel="0" collapsed="false">
      <c r="A179" s="12" t="s">
        <v>533</v>
      </c>
      <c r="B179" s="12" t="str">
        <f aca="false">вересень!B179</f>
        <v>Григоренко Н.Е.</v>
      </c>
      <c r="C179" s="12" t="s">
        <v>535</v>
      </c>
      <c r="D179" s="14" t="n">
        <f aca="false">вересень!P179</f>
        <v>2321.37</v>
      </c>
      <c r="E179" s="14" t="n">
        <f aca="false">вересень!Q179</f>
        <v>0</v>
      </c>
      <c r="F179" s="13" t="n">
        <f aca="false">вересень!F179</f>
        <v>0</v>
      </c>
      <c r="G179" s="13" t="n">
        <f aca="false">вересень!G179</f>
        <v>62.91</v>
      </c>
      <c r="H179" s="13" t="n">
        <f aca="false">вересень!H179</f>
        <v>0</v>
      </c>
      <c r="I179" s="13" t="n">
        <f aca="false">вересень!I179</f>
        <v>4.1</v>
      </c>
      <c r="J179" s="14" t="n">
        <f aca="false">ROUND(G179*I179,2)</f>
        <v>257.93</v>
      </c>
      <c r="K179" s="14"/>
      <c r="L179" s="14"/>
      <c r="M179" s="14"/>
      <c r="N179" s="14" t="n">
        <f aca="false">ROUND((G179*I179)-K179-L179-M179,2)</f>
        <v>257.93</v>
      </c>
      <c r="O179" s="14"/>
      <c r="P179" s="14" t="n">
        <f aca="false">ROUND(IF(D179=0,IF((N179-E179-O179)&gt;0,(N179-E179-O179),0),IF((D179+N179-O179)&gt;0,(D179+N179-O179),0)),2)</f>
        <v>2579.3</v>
      </c>
      <c r="Q179" s="14" t="n">
        <f aca="false">ROUND(IF(E179=0,IF((D179+N179-O179)&lt;0,ABS(D179+N179-O179),0),IF((N179-E179-O179)&lt;0,ABS(N179-E179-O179),0)),2)</f>
        <v>0</v>
      </c>
    </row>
    <row r="180" customFormat="false" ht="15" hidden="false" customHeight="true" outlineLevel="0" collapsed="false">
      <c r="A180" s="12" t="s">
        <v>536</v>
      </c>
      <c r="B180" s="12" t="str">
        <f aca="false">вересень!B180</f>
        <v>Бондарчук В.В.</v>
      </c>
      <c r="C180" s="12" t="s">
        <v>538</v>
      </c>
      <c r="D180" s="14" t="n">
        <f aca="false">вересень!P180</f>
        <v>2436.48</v>
      </c>
      <c r="E180" s="14" t="n">
        <f aca="false">вересень!Q180</f>
        <v>0</v>
      </c>
      <c r="F180" s="13" t="n">
        <f aca="false">вересень!F180</f>
        <v>0</v>
      </c>
      <c r="G180" s="13" t="n">
        <f aca="false">вересень!G180</f>
        <v>66.03</v>
      </c>
      <c r="H180" s="13" t="n">
        <f aca="false">вересень!H180</f>
        <v>0</v>
      </c>
      <c r="I180" s="13" t="n">
        <f aca="false">вересень!I180</f>
        <v>4.1</v>
      </c>
      <c r="J180" s="14" t="n">
        <f aca="false">ROUND(G180*I180,2)</f>
        <v>270.72</v>
      </c>
      <c r="K180" s="14"/>
      <c r="L180" s="14"/>
      <c r="M180" s="14"/>
      <c r="N180" s="14" t="n">
        <f aca="false">ROUND((G180*I180)-K180-L180-M180,2)</f>
        <v>270.72</v>
      </c>
      <c r="O180" s="14"/>
      <c r="P180" s="14" t="n">
        <f aca="false">ROUND(IF(D180=0,IF((N180-E180-O180)&gt;0,(N180-E180-O180),0),IF((D180+N180-O180)&gt;0,(D180+N180-O180),0)),2)</f>
        <v>2707.2</v>
      </c>
      <c r="Q180" s="14" t="n">
        <f aca="false">ROUND(IF(E180=0,IF((D180+N180-O180)&lt;0,ABS(D180+N180-O180),0),IF((N180-E180-O180)&lt;0,ABS(N180-E180-O180),0)),2)</f>
        <v>0</v>
      </c>
    </row>
    <row r="181" customFormat="false" ht="15" hidden="false" customHeight="true" outlineLevel="0" collapsed="false">
      <c r="A181" s="12" t="s">
        <v>539</v>
      </c>
      <c r="B181" s="12" t="str">
        <f aca="false">вересень!B181</f>
        <v>Рябініна Н.І.</v>
      </c>
      <c r="C181" s="12" t="s">
        <v>541</v>
      </c>
      <c r="D181" s="14" t="n">
        <f aca="false">вересень!P181</f>
        <v>1675.27</v>
      </c>
      <c r="E181" s="14" t="n">
        <f aca="false">вересень!Q181</f>
        <v>0</v>
      </c>
      <c r="F181" s="13" t="n">
        <f aca="false">вересень!F181</f>
        <v>0</v>
      </c>
      <c r="G181" s="13" t="n">
        <f aca="false">вересень!G181</f>
        <v>49.9</v>
      </c>
      <c r="H181" s="13" t="n">
        <f aca="false">вересень!H181</f>
        <v>0</v>
      </c>
      <c r="I181" s="13" t="n">
        <f aca="false">вересень!I181</f>
        <v>4.1</v>
      </c>
      <c r="J181" s="14" t="n">
        <f aca="false">ROUND(G181*I181,2)</f>
        <v>204.59</v>
      </c>
      <c r="K181" s="14"/>
      <c r="L181" s="14"/>
      <c r="M181" s="14"/>
      <c r="N181" s="14" t="n">
        <f aca="false">ROUND((G181*I181)-K181-L181-M181,2)</f>
        <v>204.59</v>
      </c>
      <c r="O181" s="14"/>
      <c r="P181" s="14" t="n">
        <f aca="false">ROUND(IF(D181=0,IF((N181-E181-O181)&gt;0,(N181-E181-O181),0),IF((D181+N181-O181)&gt;0,(D181+N181-O181),0)),2)</f>
        <v>1879.86</v>
      </c>
      <c r="Q181" s="14" t="n">
        <f aca="false">ROUND(IF(E181=0,IF((D181+N181-O181)&lt;0,ABS(D181+N181-O181),0),IF((N181-E181-O181)&lt;0,ABS(N181-E181-O181),0)),2)</f>
        <v>0</v>
      </c>
    </row>
    <row r="182" customFormat="false" ht="15" hidden="false" customHeight="true" outlineLevel="0" collapsed="false">
      <c r="A182" s="12" t="s">
        <v>542</v>
      </c>
      <c r="B182" s="12" t="str">
        <f aca="false">вересень!B182</f>
        <v>Шапіро В.І.</v>
      </c>
      <c r="C182" s="12" t="s">
        <v>544</v>
      </c>
      <c r="D182" s="14" t="n">
        <f aca="false">вересень!P182</f>
        <v>1288.53</v>
      </c>
      <c r="E182" s="14" t="n">
        <f aca="false">вересень!Q182</f>
        <v>0</v>
      </c>
      <c r="F182" s="13" t="n">
        <f aca="false">вересень!F182</f>
        <v>0</v>
      </c>
      <c r="G182" s="13" t="n">
        <f aca="false">вересень!G182</f>
        <v>34.92</v>
      </c>
      <c r="H182" s="13" t="n">
        <f aca="false">вересень!H182</f>
        <v>0</v>
      </c>
      <c r="I182" s="13" t="n">
        <f aca="false">вересень!I182</f>
        <v>4.1</v>
      </c>
      <c r="J182" s="14" t="n">
        <f aca="false">ROUND(G182*I182,2)</f>
        <v>143.17</v>
      </c>
      <c r="K182" s="14"/>
      <c r="L182" s="14"/>
      <c r="M182" s="14"/>
      <c r="N182" s="14" t="n">
        <f aca="false">ROUND((G182*I182)-K182-L182-M182,2)</f>
        <v>143.17</v>
      </c>
      <c r="O182" s="14"/>
      <c r="P182" s="14" t="n">
        <f aca="false">ROUND(IF(D182=0,IF((N182-E182-O182)&gt;0,(N182-E182-O182),0),IF((D182+N182-O182)&gt;0,(D182+N182-O182),0)),2)</f>
        <v>1431.7</v>
      </c>
      <c r="Q182" s="14" t="n">
        <f aca="false">ROUND(IF(E182=0,IF((D182+N182-O182)&lt;0,ABS(D182+N182-O182),0),IF((N182-E182-O182)&lt;0,ABS(N182-E182-O182),0)),2)</f>
        <v>0</v>
      </c>
    </row>
    <row r="183" customFormat="false" ht="15" hidden="false" customHeight="true" outlineLevel="0" collapsed="false">
      <c r="A183" s="12" t="s">
        <v>545</v>
      </c>
      <c r="B183" s="12" t="str">
        <f aca="false">вересень!B183</f>
        <v>Крамаренко О.О.</v>
      </c>
      <c r="C183" s="12" t="s">
        <v>547</v>
      </c>
      <c r="D183" s="14" t="n">
        <f aca="false">вересень!P183</f>
        <v>2284.47</v>
      </c>
      <c r="E183" s="14" t="n">
        <f aca="false">вересень!Q183</f>
        <v>0</v>
      </c>
      <c r="F183" s="13" t="n">
        <f aca="false">вересень!F183</f>
        <v>0</v>
      </c>
      <c r="G183" s="13" t="n">
        <f aca="false">вересень!G183</f>
        <v>61.91</v>
      </c>
      <c r="H183" s="13" t="n">
        <f aca="false">вересень!H183</f>
        <v>0</v>
      </c>
      <c r="I183" s="13" t="n">
        <f aca="false">вересень!I183</f>
        <v>4.1</v>
      </c>
      <c r="J183" s="14" t="n">
        <f aca="false">ROUND(G183*I183,2)</f>
        <v>253.83</v>
      </c>
      <c r="K183" s="14"/>
      <c r="L183" s="14"/>
      <c r="M183" s="14"/>
      <c r="N183" s="14" t="n">
        <f aca="false">ROUND((G183*I183)-K183-L183-M183,2)</f>
        <v>253.83</v>
      </c>
      <c r="O183" s="14"/>
      <c r="P183" s="14" t="n">
        <f aca="false">ROUND(IF(D183=0,IF((N183-E183-O183)&gt;0,(N183-E183-O183),0),IF((D183+N183-O183)&gt;0,(D183+N183-O183),0)),2)</f>
        <v>2538.3</v>
      </c>
      <c r="Q183" s="14" t="n">
        <f aca="false">ROUND(IF(E183=0,IF((D183+N183-O183)&lt;0,ABS(D183+N183-O183),0),IF((N183-E183-O183)&lt;0,ABS(N183-E183-O183),0)),2)</f>
        <v>0</v>
      </c>
    </row>
    <row r="184" customFormat="false" ht="15" hidden="false" customHeight="true" outlineLevel="0" collapsed="false">
      <c r="A184" s="12" t="s">
        <v>548</v>
      </c>
      <c r="B184" s="12" t="str">
        <f aca="false">вересень!B184</f>
        <v>Свиридов В.Ф.</v>
      </c>
      <c r="C184" s="12" t="s">
        <v>550</v>
      </c>
      <c r="D184" s="14" t="n">
        <f aca="false">вересень!P184</f>
        <v>14478.19</v>
      </c>
      <c r="E184" s="14" t="n">
        <f aca="false">вересень!Q184</f>
        <v>0</v>
      </c>
      <c r="F184" s="13" t="n">
        <f aca="false">вересень!F184</f>
        <v>0</v>
      </c>
      <c r="G184" s="13" t="n">
        <f aca="false">вересень!G184</f>
        <v>65.15</v>
      </c>
      <c r="H184" s="13" t="n">
        <f aca="false">вересень!H184</f>
        <v>0</v>
      </c>
      <c r="I184" s="13" t="n">
        <f aca="false">вересень!I184</f>
        <v>4.1</v>
      </c>
      <c r="J184" s="14" t="n">
        <f aca="false">ROUND(G184*I184,2)</f>
        <v>267.12</v>
      </c>
      <c r="K184" s="14"/>
      <c r="L184" s="14"/>
      <c r="M184" s="14"/>
      <c r="N184" s="14" t="n">
        <f aca="false">ROUND((G184*I184)-K184-L184-M184,2)</f>
        <v>267.12</v>
      </c>
      <c r="O184" s="14"/>
      <c r="P184" s="14" t="n">
        <f aca="false">ROUND(IF(D184=0,IF((N184-E184-O184)&gt;0,(N184-E184-O184),0),IF((D184+N184-O184)&gt;0,(D184+N184-O184),0)),2)</f>
        <v>14745.31</v>
      </c>
      <c r="Q184" s="14" t="n">
        <f aca="false">ROUND(IF(E184=0,IF((D184+N184-O184)&lt;0,ABS(D184+N184-O184),0),IF((N184-E184-O184)&lt;0,ABS(N184-E184-O184),0)),2)</f>
        <v>0</v>
      </c>
    </row>
    <row r="185" customFormat="false" ht="15" hidden="false" customHeight="true" outlineLevel="0" collapsed="false">
      <c r="A185" s="12" t="s">
        <v>551</v>
      </c>
      <c r="B185" s="12" t="str">
        <f aca="false">вересень!B185</f>
        <v>Домацький В.А.</v>
      </c>
      <c r="C185" s="12" t="s">
        <v>553</v>
      </c>
      <c r="D185" s="14" t="n">
        <f aca="false">вересень!P185</f>
        <v>1845</v>
      </c>
      <c r="E185" s="14" t="n">
        <f aca="false">вересень!Q185</f>
        <v>0</v>
      </c>
      <c r="F185" s="13" t="n">
        <f aca="false">вересень!F185</f>
        <v>0</v>
      </c>
      <c r="G185" s="13" t="n">
        <f aca="false">вересень!G185</f>
        <v>50</v>
      </c>
      <c r="H185" s="13" t="n">
        <f aca="false">вересень!H185</f>
        <v>0</v>
      </c>
      <c r="I185" s="13" t="n">
        <f aca="false">вересень!I185</f>
        <v>4.1</v>
      </c>
      <c r="J185" s="14" t="n">
        <f aca="false">ROUND(G185*I185,2)</f>
        <v>205</v>
      </c>
      <c r="K185" s="14"/>
      <c r="L185" s="14"/>
      <c r="M185" s="14"/>
      <c r="N185" s="14" t="n">
        <f aca="false">ROUND((G185*I185)-K185-L185-M185,2)</f>
        <v>205</v>
      </c>
      <c r="O185" s="14"/>
      <c r="P185" s="14" t="n">
        <f aca="false">ROUND(IF(D185=0,IF((N185-E185-O185)&gt;0,(N185-E185-O185),0),IF((D185+N185-O185)&gt;0,(D185+N185-O185),0)),2)</f>
        <v>2050</v>
      </c>
      <c r="Q185" s="14" t="n">
        <f aca="false">ROUND(IF(E185=0,IF((D185+N185-O185)&lt;0,ABS(D185+N185-O185),0),IF((N185-E185-O185)&lt;0,ABS(N185-E185-O185),0)),2)</f>
        <v>0</v>
      </c>
    </row>
    <row r="186" customFormat="false" ht="15" hidden="false" customHeight="true" outlineLevel="0" collapsed="false">
      <c r="A186" s="12" t="s">
        <v>554</v>
      </c>
      <c r="B186" s="12" t="str">
        <f aca="false">вересень!B186</f>
        <v>Шаповалова І.А.</v>
      </c>
      <c r="C186" s="12" t="s">
        <v>556</v>
      </c>
      <c r="D186" s="14" t="n">
        <f aca="false">вересень!P186</f>
        <v>7482.6</v>
      </c>
      <c r="E186" s="14" t="n">
        <f aca="false">вересень!Q186</f>
        <v>0</v>
      </c>
      <c r="F186" s="13" t="n">
        <f aca="false">вересень!F186</f>
        <v>0</v>
      </c>
      <c r="G186" s="13" t="n">
        <f aca="false">вересень!G186</f>
        <v>35.1</v>
      </c>
      <c r="H186" s="13" t="n">
        <f aca="false">вересень!H186</f>
        <v>0</v>
      </c>
      <c r="I186" s="13" t="n">
        <f aca="false">вересень!I186</f>
        <v>4.1</v>
      </c>
      <c r="J186" s="14" t="n">
        <f aca="false">ROUND(G186*I186,2)</f>
        <v>143.91</v>
      </c>
      <c r="K186" s="14"/>
      <c r="L186" s="14"/>
      <c r="M186" s="14"/>
      <c r="N186" s="14" t="n">
        <f aca="false">ROUND((G186*I186)-K186-L186-M186,2)</f>
        <v>143.91</v>
      </c>
      <c r="O186" s="14"/>
      <c r="P186" s="14" t="n">
        <f aca="false">ROUND(IF(D186=0,IF((N186-E186-O186)&gt;0,(N186-E186-O186),0),IF((D186+N186-O186)&gt;0,(D186+N186-O186),0)),2)</f>
        <v>7626.51</v>
      </c>
      <c r="Q186" s="14" t="n">
        <f aca="false">ROUND(IF(E186=0,IF((D186+N186-O186)&lt;0,ABS(D186+N186-O186),0),IF((N186-E186-O186)&lt;0,ABS(N186-E186-O186),0)),2)</f>
        <v>0</v>
      </c>
    </row>
    <row r="187" customFormat="false" ht="15" hidden="false" customHeight="true" outlineLevel="0" collapsed="false">
      <c r="A187" s="12" t="s">
        <v>557</v>
      </c>
      <c r="B187" s="12" t="str">
        <f aca="false">вересень!B187</f>
        <v>Кононенко О.В.</v>
      </c>
      <c r="C187" s="12" t="s">
        <v>559</v>
      </c>
      <c r="D187" s="14" t="n">
        <f aca="false">вересень!P187</f>
        <v>3779.64</v>
      </c>
      <c r="E187" s="14" t="n">
        <f aca="false">вересень!Q187</f>
        <v>0</v>
      </c>
      <c r="F187" s="13" t="n">
        <f aca="false">вересень!F187</f>
        <v>0</v>
      </c>
      <c r="G187" s="13" t="n">
        <f aca="false">вересень!G187</f>
        <v>61.8</v>
      </c>
      <c r="H187" s="13" t="n">
        <f aca="false">вересень!H187</f>
        <v>0</v>
      </c>
      <c r="I187" s="13" t="n">
        <f aca="false">вересень!I187</f>
        <v>4.1</v>
      </c>
      <c r="J187" s="14" t="n">
        <f aca="false">ROUND(G187*I187,2)</f>
        <v>253.38</v>
      </c>
      <c r="K187" s="14"/>
      <c r="L187" s="14"/>
      <c r="M187" s="14"/>
      <c r="N187" s="14" t="n">
        <f aca="false">ROUND((G187*I187)-K187-L187-M187,2)</f>
        <v>253.38</v>
      </c>
      <c r="O187" s="14"/>
      <c r="P187" s="14" t="n">
        <f aca="false">ROUND(IF(D187=0,IF((N187-E187-O187)&gt;0,(N187-E187-O187),0),IF((D187+N187-O187)&gt;0,(D187+N187-O187),0)),2)</f>
        <v>4033.02</v>
      </c>
      <c r="Q187" s="14" t="n">
        <f aca="false">ROUND(IF(E187=0,IF((D187+N187-O187)&lt;0,ABS(D187+N187-O187),0),IF((N187-E187-O187)&lt;0,ABS(N187-E187-O187),0)),2)</f>
        <v>0</v>
      </c>
    </row>
    <row r="188" customFormat="false" ht="15" hidden="false" customHeight="true" outlineLevel="0" collapsed="false">
      <c r="A188" s="12" t="s">
        <v>560</v>
      </c>
      <c r="B188" s="12" t="str">
        <f aca="false">вересень!B188</f>
        <v>Овчаренко Т.І.</v>
      </c>
      <c r="C188" s="12" t="s">
        <v>562</v>
      </c>
      <c r="D188" s="14" t="n">
        <f aca="false">вересень!P188</f>
        <v>2622.15</v>
      </c>
      <c r="E188" s="14" t="n">
        <f aca="false">вересень!Q188</f>
        <v>0</v>
      </c>
      <c r="F188" s="13" t="n">
        <f aca="false">вересень!F188</f>
        <v>0</v>
      </c>
      <c r="G188" s="13" t="n">
        <f aca="false">вересень!G188</f>
        <v>71.06</v>
      </c>
      <c r="H188" s="13" t="n">
        <f aca="false">вересень!H188</f>
        <v>0</v>
      </c>
      <c r="I188" s="13" t="n">
        <f aca="false">вересень!I188</f>
        <v>4.1</v>
      </c>
      <c r="J188" s="14" t="n">
        <f aca="false">ROUND(G188*I188,2)</f>
        <v>291.35</v>
      </c>
      <c r="K188" s="14"/>
      <c r="L188" s="14"/>
      <c r="M188" s="14"/>
      <c r="N188" s="14" t="n">
        <f aca="false">ROUND((G188*I188)-K188-L188-M188,2)</f>
        <v>291.35</v>
      </c>
      <c r="O188" s="14"/>
      <c r="P188" s="14" t="n">
        <f aca="false">ROUND(IF(D188=0,IF((N188-E188-O188)&gt;0,(N188-E188-O188),0),IF((D188+N188-O188)&gt;0,(D188+N188-O188),0)),2)</f>
        <v>2913.5</v>
      </c>
      <c r="Q188" s="14" t="n">
        <f aca="false">ROUND(IF(E188=0,IF((D188+N188-O188)&lt;0,ABS(D188+N188-O188),0),IF((N188-E188-O188)&lt;0,ABS(N188-E188-O188),0)),2)</f>
        <v>0</v>
      </c>
    </row>
    <row r="189" customFormat="false" ht="15" hidden="false" customHeight="true" outlineLevel="0" collapsed="false">
      <c r="A189" s="12" t="s">
        <v>563</v>
      </c>
      <c r="B189" s="12" t="str">
        <f aca="false">вересень!B189</f>
        <v>Попукайло О.Г.</v>
      </c>
      <c r="C189" s="12" t="s">
        <v>565</v>
      </c>
      <c r="D189" s="14" t="n">
        <f aca="false">вересень!P189</f>
        <v>6568.4</v>
      </c>
      <c r="E189" s="14" t="n">
        <f aca="false">вересень!Q189</f>
        <v>0</v>
      </c>
      <c r="F189" s="13" t="n">
        <f aca="false">вересень!F189</f>
        <v>0</v>
      </c>
      <c r="G189" s="13" t="n">
        <f aca="false">вересень!G189</f>
        <v>49.15</v>
      </c>
      <c r="H189" s="13" t="n">
        <f aca="false">вересень!H189</f>
        <v>0</v>
      </c>
      <c r="I189" s="13" t="n">
        <f aca="false">вересень!I189</f>
        <v>4.1</v>
      </c>
      <c r="J189" s="14" t="n">
        <f aca="false">ROUND(G189*I189,2)</f>
        <v>201.52</v>
      </c>
      <c r="K189" s="14"/>
      <c r="L189" s="14"/>
      <c r="M189" s="14"/>
      <c r="N189" s="14" t="n">
        <f aca="false">ROUND((G189*I189)-K189-L189-M189,2)</f>
        <v>201.52</v>
      </c>
      <c r="O189" s="14"/>
      <c r="P189" s="14" t="n">
        <f aca="false">ROUND(IF(D189=0,IF((N189-E189-O189)&gt;0,(N189-E189-O189),0),IF((D189+N189-O189)&gt;0,(D189+N189-O189),0)),2)</f>
        <v>6769.92</v>
      </c>
      <c r="Q189" s="14" t="n">
        <f aca="false">ROUND(IF(E189=0,IF((D189+N189-O189)&lt;0,ABS(D189+N189-O189),0),IF((N189-E189-O189)&lt;0,ABS(N189-E189-O189),0)),2)</f>
        <v>0</v>
      </c>
    </row>
    <row r="190" customFormat="false" ht="15" hidden="false" customHeight="true" outlineLevel="0" collapsed="false">
      <c r="A190" s="12" t="s">
        <v>566</v>
      </c>
      <c r="B190" s="12" t="str">
        <f aca="false">вересень!B190</f>
        <v>Онищенко А.В.</v>
      </c>
      <c r="C190" s="12" t="s">
        <v>568</v>
      </c>
      <c r="D190" s="14" t="n">
        <f aca="false">вересень!P190</f>
        <v>8153.53</v>
      </c>
      <c r="E190" s="14" t="n">
        <f aca="false">вересень!Q190</f>
        <v>0</v>
      </c>
      <c r="F190" s="13" t="n">
        <f aca="false">вересень!F190</f>
        <v>0</v>
      </c>
      <c r="G190" s="13" t="n">
        <f aca="false">вересень!G190</f>
        <v>53.72</v>
      </c>
      <c r="H190" s="13" t="n">
        <f aca="false">вересень!H190</f>
        <v>0</v>
      </c>
      <c r="I190" s="13" t="n">
        <f aca="false">вересень!I190</f>
        <v>4.1</v>
      </c>
      <c r="J190" s="14" t="n">
        <f aca="false">ROUND(G190*I190,2)</f>
        <v>220.25</v>
      </c>
      <c r="K190" s="14"/>
      <c r="L190" s="14"/>
      <c r="M190" s="14"/>
      <c r="N190" s="14" t="n">
        <f aca="false">ROUND((G190*I190)-K190-L190-M190,2)</f>
        <v>220.25</v>
      </c>
      <c r="O190" s="14"/>
      <c r="P190" s="14" t="n">
        <f aca="false">ROUND(IF(D190=0,IF((N190-E190-O190)&gt;0,(N190-E190-O190),0),IF((D190+N190-O190)&gt;0,(D190+N190-O190),0)),2)</f>
        <v>8373.78</v>
      </c>
      <c r="Q190" s="14" t="n">
        <f aca="false">ROUND(IF(E190=0,IF((D190+N190-O190)&lt;0,ABS(D190+N190-O190),0),IF((N190-E190-O190)&lt;0,ABS(N190-E190-O190),0)),2)</f>
        <v>0</v>
      </c>
    </row>
    <row r="191" customFormat="false" ht="15" hidden="false" customHeight="true" outlineLevel="0" collapsed="false">
      <c r="A191" s="12" t="s">
        <v>569</v>
      </c>
      <c r="B191" s="12" t="str">
        <f aca="false">вересень!B191</f>
        <v>Соколова О.О.</v>
      </c>
      <c r="C191" s="12" t="s">
        <v>571</v>
      </c>
      <c r="D191" s="14" t="n">
        <f aca="false">вересень!P191</f>
        <v>2827.8</v>
      </c>
      <c r="E191" s="14" t="n">
        <f aca="false">вересень!Q191</f>
        <v>0</v>
      </c>
      <c r="F191" s="13" t="n">
        <f aca="false">вересень!F191</f>
        <v>0</v>
      </c>
      <c r="G191" s="13" t="n">
        <f aca="false">вересень!G191</f>
        <v>68.97</v>
      </c>
      <c r="H191" s="13" t="n">
        <f aca="false">вересень!H191</f>
        <v>0</v>
      </c>
      <c r="I191" s="13" t="n">
        <f aca="false">вересень!I191</f>
        <v>4.1</v>
      </c>
      <c r="J191" s="14" t="n">
        <f aca="false">ROUND(G191*I191,2)</f>
        <v>282.78</v>
      </c>
      <c r="K191" s="14"/>
      <c r="L191" s="14"/>
      <c r="M191" s="14"/>
      <c r="N191" s="14" t="n">
        <f aca="false">ROUND((G191*I191)-K191-L191-M191,2)</f>
        <v>282.78</v>
      </c>
      <c r="O191" s="14"/>
      <c r="P191" s="14" t="n">
        <f aca="false">ROUND(IF(D191=0,IF((N191-E191-O191)&gt;0,(N191-E191-O191),0),IF((D191+N191-O191)&gt;0,(D191+N191-O191),0)),2)</f>
        <v>3110.58</v>
      </c>
      <c r="Q191" s="14" t="n">
        <f aca="false">ROUND(IF(E191=0,IF((D191+N191-O191)&lt;0,ABS(D191+N191-O191),0),IF((N191-E191-O191)&lt;0,ABS(N191-E191-O191),0)),2)</f>
        <v>0</v>
      </c>
    </row>
    <row r="192" customFormat="false" ht="15" hidden="false" customHeight="true" outlineLevel="0" collapsed="false">
      <c r="A192" s="12" t="s">
        <v>572</v>
      </c>
      <c r="B192" s="12" t="str">
        <f aca="false">вересень!B192</f>
        <v>Ільіна В.П.</v>
      </c>
      <c r="C192" s="12" t="s">
        <v>574</v>
      </c>
      <c r="D192" s="14" t="n">
        <f aca="false">вересень!P192</f>
        <v>9862.02</v>
      </c>
      <c r="E192" s="14" t="n">
        <f aca="false">вересень!Q192</f>
        <v>0</v>
      </c>
      <c r="F192" s="13" t="n">
        <f aca="false">вересень!F192</f>
        <v>0</v>
      </c>
      <c r="G192" s="13" t="n">
        <f aca="false">вересень!G192</f>
        <v>49.86</v>
      </c>
      <c r="H192" s="13" t="n">
        <f aca="false">вересень!H192</f>
        <v>0</v>
      </c>
      <c r="I192" s="13" t="n">
        <f aca="false">вересень!I192</f>
        <v>4.1</v>
      </c>
      <c r="J192" s="14" t="n">
        <f aca="false">ROUND(G192*I192,2)</f>
        <v>204.43</v>
      </c>
      <c r="K192" s="14"/>
      <c r="L192" s="14"/>
      <c r="M192" s="14"/>
      <c r="N192" s="14" t="n">
        <f aca="false">ROUND((G192*I192)-K192-L192-M192,2)</f>
        <v>204.43</v>
      </c>
      <c r="O192" s="14"/>
      <c r="P192" s="14" t="n">
        <f aca="false">ROUND(IF(D192=0,IF((N192-E192-O192)&gt;0,(N192-E192-O192),0),IF((D192+N192-O192)&gt;0,(D192+N192-O192),0)),2)</f>
        <v>10066.45</v>
      </c>
      <c r="Q192" s="14" t="n">
        <f aca="false">ROUND(IF(E192=0,IF((D192+N192-O192)&lt;0,ABS(D192+N192-O192),0),IF((N192-E192-O192)&lt;0,ABS(N192-E192-O192),0)),2)</f>
        <v>0</v>
      </c>
    </row>
    <row r="193" customFormat="false" ht="15" hidden="false" customHeight="true" outlineLevel="0" collapsed="false">
      <c r="A193" s="12" t="s">
        <v>575</v>
      </c>
      <c r="B193" s="12" t="str">
        <f aca="false">вересень!B193</f>
        <v>Чешок Г.К.</v>
      </c>
      <c r="C193" s="12" t="s">
        <v>577</v>
      </c>
      <c r="D193" s="14" t="n">
        <f aca="false">вересень!P193</f>
        <v>14132.22</v>
      </c>
      <c r="E193" s="14" t="n">
        <f aca="false">вересень!Q193</f>
        <v>0</v>
      </c>
      <c r="F193" s="13" t="n">
        <f aca="false">вересень!F193</f>
        <v>0</v>
      </c>
      <c r="G193" s="13" t="n">
        <f aca="false">вересень!G193</f>
        <v>60.86</v>
      </c>
      <c r="H193" s="13" t="n">
        <f aca="false">вересень!H193</f>
        <v>0</v>
      </c>
      <c r="I193" s="13" t="n">
        <f aca="false">вересень!I193</f>
        <v>4.1</v>
      </c>
      <c r="J193" s="14" t="n">
        <f aca="false">ROUND(G193*I193,2)</f>
        <v>249.53</v>
      </c>
      <c r="K193" s="14"/>
      <c r="L193" s="14"/>
      <c r="M193" s="14"/>
      <c r="N193" s="14" t="n">
        <f aca="false">ROUND((G193*I193)-K193-L193-M193,2)</f>
        <v>249.53</v>
      </c>
      <c r="O193" s="14"/>
      <c r="P193" s="14" t="n">
        <f aca="false">ROUND(IF(D193=0,IF((N193-E193-O193)&gt;0,(N193-E193-O193),0),IF((D193+N193-O193)&gt;0,(D193+N193-O193),0)),2)</f>
        <v>14381.75</v>
      </c>
      <c r="Q193" s="14" t="n">
        <f aca="false">ROUND(IF(E193=0,IF((D193+N193-O193)&lt;0,ABS(D193+N193-O193),0),IF((N193-E193-O193)&lt;0,ABS(N193-E193-O193),0)),2)</f>
        <v>0</v>
      </c>
    </row>
    <row r="194" customFormat="false" ht="15" hidden="false" customHeight="true" outlineLevel="0" collapsed="false">
      <c r="A194" s="12" t="s">
        <v>578</v>
      </c>
      <c r="B194" s="12" t="str">
        <f aca="false">вересень!B194</f>
        <v>Бердников В.А.</v>
      </c>
      <c r="C194" s="12" t="s">
        <v>580</v>
      </c>
      <c r="D194" s="14" t="n">
        <f aca="false">вересень!P194</f>
        <v>10835.23</v>
      </c>
      <c r="E194" s="14" t="n">
        <f aca="false">вересень!Q194</f>
        <v>0</v>
      </c>
      <c r="F194" s="13" t="n">
        <f aca="false">вересень!F194</f>
        <v>0</v>
      </c>
      <c r="G194" s="13" t="n">
        <f aca="false">вересень!G194</f>
        <v>66.75</v>
      </c>
      <c r="H194" s="13" t="n">
        <f aca="false">вересень!H194</f>
        <v>0</v>
      </c>
      <c r="I194" s="13" t="n">
        <f aca="false">вересень!I194</f>
        <v>4.1</v>
      </c>
      <c r="J194" s="14" t="n">
        <f aca="false">ROUND(G194*I194,2)</f>
        <v>273.68</v>
      </c>
      <c r="K194" s="14"/>
      <c r="L194" s="14"/>
      <c r="M194" s="14"/>
      <c r="N194" s="14" t="n">
        <f aca="false">ROUND((G194*I194)-K194-L194-M194,2)</f>
        <v>273.68</v>
      </c>
      <c r="O194" s="14"/>
      <c r="P194" s="14" t="n">
        <f aca="false">ROUND(IF(D194=0,IF((N194-E194-O194)&gt;0,(N194-E194-O194),0),IF((D194+N194-O194)&gt;0,(D194+N194-O194),0)),2)</f>
        <v>11108.91</v>
      </c>
      <c r="Q194" s="14" t="n">
        <f aca="false">ROUND(IF(E194=0,IF((D194+N194-O194)&lt;0,ABS(D194+N194-O194),0),IF((N194-E194-O194)&lt;0,ABS(N194-E194-O194),0)),2)</f>
        <v>0</v>
      </c>
    </row>
    <row r="195" customFormat="false" ht="15" hidden="false" customHeight="true" outlineLevel="0" collapsed="false">
      <c r="A195" s="12" t="s">
        <v>581</v>
      </c>
      <c r="B195" s="12" t="str">
        <f aca="false">вересень!B195</f>
        <v>Щербак Н.В.</v>
      </c>
      <c r="C195" s="12" t="s">
        <v>583</v>
      </c>
      <c r="D195" s="14" t="n">
        <f aca="false">вересень!P195</f>
        <v>15752.03</v>
      </c>
      <c r="E195" s="14" t="n">
        <f aca="false">вересень!Q195</f>
        <v>0</v>
      </c>
      <c r="F195" s="13" t="n">
        <f aca="false">вересень!F195</f>
        <v>0</v>
      </c>
      <c r="G195" s="13" t="n">
        <f aca="false">вересень!G195</f>
        <v>72.49</v>
      </c>
      <c r="H195" s="13" t="n">
        <f aca="false">вересень!H195</f>
        <v>0</v>
      </c>
      <c r="I195" s="13" t="n">
        <f aca="false">вересень!I195</f>
        <v>4.1</v>
      </c>
      <c r="J195" s="14" t="n">
        <f aca="false">ROUND(G195*I195,2)</f>
        <v>297.21</v>
      </c>
      <c r="K195" s="14"/>
      <c r="L195" s="14"/>
      <c r="M195" s="14"/>
      <c r="N195" s="14" t="n">
        <f aca="false">ROUND((G195*I195)-K195-L195-M195,2)</f>
        <v>297.21</v>
      </c>
      <c r="O195" s="14"/>
      <c r="P195" s="14" t="n">
        <f aca="false">ROUND(IF(D195=0,IF((N195-E195-O195)&gt;0,(N195-E195-O195),0),IF((D195+N195-O195)&gt;0,(D195+N195-O195),0)),2)</f>
        <v>16049.24</v>
      </c>
      <c r="Q195" s="14" t="n">
        <f aca="false">ROUND(IF(E195=0,IF((D195+N195-O195)&lt;0,ABS(D195+N195-O195),0),IF((N195-E195-O195)&lt;0,ABS(N195-E195-O195),0)),2)</f>
        <v>0</v>
      </c>
    </row>
    <row r="196" customFormat="false" ht="15" hidden="false" customHeight="true" outlineLevel="0" collapsed="false">
      <c r="A196" s="12" t="s">
        <v>584</v>
      </c>
      <c r="B196" s="12" t="str">
        <f aca="false">вересень!B196</f>
        <v>Рожков Ю.М.</v>
      </c>
      <c r="C196" s="12" t="s">
        <v>586</v>
      </c>
      <c r="D196" s="14" t="n">
        <f aca="false">вересень!P196</f>
        <v>1779.8</v>
      </c>
      <c r="E196" s="14" t="n">
        <f aca="false">вересень!Q196</f>
        <v>0</v>
      </c>
      <c r="F196" s="13" t="n">
        <f aca="false">вересень!F196</f>
        <v>0</v>
      </c>
      <c r="G196" s="13" t="n">
        <f aca="false">вересень!G196</f>
        <v>49.8</v>
      </c>
      <c r="H196" s="13" t="n">
        <f aca="false">вересень!H196</f>
        <v>0</v>
      </c>
      <c r="I196" s="13" t="n">
        <f aca="false">вересень!I196</f>
        <v>4.1</v>
      </c>
      <c r="J196" s="14" t="n">
        <f aca="false">ROUND(G196*I196,2)</f>
        <v>204.18</v>
      </c>
      <c r="K196" s="14"/>
      <c r="L196" s="14"/>
      <c r="M196" s="14"/>
      <c r="N196" s="14" t="n">
        <f aca="false">ROUND((G196*I196)-K196-L196-M196,2)</f>
        <v>204.18</v>
      </c>
      <c r="O196" s="14"/>
      <c r="P196" s="14" t="n">
        <f aca="false">ROUND(IF(D196=0,IF((N196-E196-O196)&gt;0,(N196-E196-O196),0),IF((D196+N196-O196)&gt;0,(D196+N196-O196),0)),2)</f>
        <v>1983.98</v>
      </c>
      <c r="Q196" s="14" t="n">
        <f aca="false">ROUND(IF(E196=0,IF((D196+N196-O196)&lt;0,ABS(D196+N196-O196),0),IF((N196-E196-O196)&lt;0,ABS(N196-E196-O196),0)),2)</f>
        <v>0</v>
      </c>
    </row>
    <row r="197" customFormat="false" ht="15" hidden="false" customHeight="true" outlineLevel="0" collapsed="false">
      <c r="A197" s="12" t="s">
        <v>587</v>
      </c>
      <c r="B197" s="12" t="str">
        <f aca="false">вересень!B197</f>
        <v>Кобець В.В.</v>
      </c>
      <c r="C197" s="12" t="s">
        <v>589</v>
      </c>
      <c r="D197" s="14" t="n">
        <f aca="false">вересень!P197</f>
        <v>9540.39</v>
      </c>
      <c r="E197" s="14" t="n">
        <f aca="false">вересень!Q197</f>
        <v>0</v>
      </c>
      <c r="F197" s="13" t="n">
        <f aca="false">вересень!F197</f>
        <v>0</v>
      </c>
      <c r="G197" s="13" t="n">
        <f aca="false">вересень!G197</f>
        <v>62.36</v>
      </c>
      <c r="H197" s="13" t="n">
        <f aca="false">вересень!H197</f>
        <v>0</v>
      </c>
      <c r="I197" s="13" t="n">
        <f aca="false">вересень!I197</f>
        <v>4.1</v>
      </c>
      <c r="J197" s="14" t="n">
        <f aca="false">ROUND(G197*I197,2)</f>
        <v>255.68</v>
      </c>
      <c r="K197" s="14"/>
      <c r="L197" s="14"/>
      <c r="M197" s="14"/>
      <c r="N197" s="14" t="n">
        <f aca="false">ROUND((G197*I197)-K197-L197-M197,2)</f>
        <v>255.68</v>
      </c>
      <c r="O197" s="14"/>
      <c r="P197" s="14" t="n">
        <f aca="false">ROUND(IF(D197=0,IF((N197-E197-O197)&gt;0,(N197-E197-O197),0),IF((D197+N197-O197)&gt;0,(D197+N197-O197),0)),2)</f>
        <v>9796.07</v>
      </c>
      <c r="Q197" s="14" t="n">
        <f aca="false">ROUND(IF(E197=0,IF((D197+N197-O197)&lt;0,ABS(D197+N197-O197),0),IF((N197-E197-O197)&lt;0,ABS(N197-E197-O197),0)),2)</f>
        <v>0</v>
      </c>
    </row>
    <row r="198" customFormat="false" ht="15" hidden="false" customHeight="true" outlineLevel="0" collapsed="false">
      <c r="A198" s="12" t="s">
        <v>590</v>
      </c>
      <c r="B198" s="12" t="str">
        <f aca="false">вересень!B198</f>
        <v>Щерба Л.О.</v>
      </c>
      <c r="C198" s="12" t="s">
        <v>592</v>
      </c>
      <c r="D198" s="14" t="n">
        <f aca="false">вересень!P198</f>
        <v>2527.65</v>
      </c>
      <c r="E198" s="14" t="n">
        <f aca="false">вересень!Q198</f>
        <v>0</v>
      </c>
      <c r="F198" s="13" t="n">
        <f aca="false">вересень!F198</f>
        <v>0</v>
      </c>
      <c r="G198" s="13" t="n">
        <f aca="false">вересень!G198</f>
        <v>68.5</v>
      </c>
      <c r="H198" s="13" t="n">
        <f aca="false">вересень!H198</f>
        <v>0</v>
      </c>
      <c r="I198" s="13" t="n">
        <f aca="false">вересень!I198</f>
        <v>4.1</v>
      </c>
      <c r="J198" s="14" t="n">
        <f aca="false">ROUND(G198*I198,2)</f>
        <v>280.85</v>
      </c>
      <c r="K198" s="14"/>
      <c r="L198" s="14"/>
      <c r="M198" s="14"/>
      <c r="N198" s="14" t="n">
        <f aca="false">ROUND((G198*I198)-K198-L198-M198,2)</f>
        <v>280.85</v>
      </c>
      <c r="O198" s="14"/>
      <c r="P198" s="14" t="n">
        <f aca="false">ROUND(IF(D198=0,IF((N198-E198-O198)&gt;0,(N198-E198-O198),0),IF((D198+N198-O198)&gt;0,(D198+N198-O198),0)),2)</f>
        <v>2808.5</v>
      </c>
      <c r="Q198" s="14" t="n">
        <f aca="false">ROUND(IF(E198=0,IF((D198+N198-O198)&lt;0,ABS(D198+N198-O198),0),IF((N198-E198-O198)&lt;0,ABS(N198-E198-O198),0)),2)</f>
        <v>0</v>
      </c>
    </row>
    <row r="199" customFormat="false" ht="15" hidden="false" customHeight="true" outlineLevel="0" collapsed="false">
      <c r="A199" s="12" t="s">
        <v>593</v>
      </c>
      <c r="B199" s="12" t="str">
        <f aca="false">вересень!B199</f>
        <v>Сапунова І.В.</v>
      </c>
      <c r="C199" s="12" t="s">
        <v>595</v>
      </c>
      <c r="D199" s="14" t="n">
        <f aca="false">вересень!P199</f>
        <v>13610.8</v>
      </c>
      <c r="E199" s="14" t="n">
        <f aca="false">вересень!Q199</f>
        <v>0</v>
      </c>
      <c r="F199" s="13" t="n">
        <f aca="false">вересень!F199</f>
        <v>0</v>
      </c>
      <c r="G199" s="13" t="n">
        <f aca="false">вересень!G199</f>
        <v>70.42</v>
      </c>
      <c r="H199" s="13" t="n">
        <f aca="false">вересень!H199</f>
        <v>0</v>
      </c>
      <c r="I199" s="13" t="n">
        <f aca="false">вересень!I199</f>
        <v>4.1</v>
      </c>
      <c r="J199" s="14" t="n">
        <f aca="false">ROUND(G199*I199,2)</f>
        <v>288.72</v>
      </c>
      <c r="K199" s="14"/>
      <c r="L199" s="14"/>
      <c r="M199" s="14"/>
      <c r="N199" s="14" t="n">
        <f aca="false">ROUND((G199*I199)-K199-L199-M199,2)</f>
        <v>288.72</v>
      </c>
      <c r="O199" s="14"/>
      <c r="P199" s="14" t="n">
        <f aca="false">ROUND(IF(D199=0,IF((N199-E199-O199)&gt;0,(N199-E199-O199),0),IF((D199+N199-O199)&gt;0,(D199+N199-O199),0)),2)</f>
        <v>13899.52</v>
      </c>
      <c r="Q199" s="14" t="n">
        <f aca="false">ROUND(IF(E199=0,IF((D199+N199-O199)&lt;0,ABS(D199+N199-O199),0),IF((N199-E199-O199)&lt;0,ABS(N199-E199-O199),0)),2)</f>
        <v>0</v>
      </c>
    </row>
    <row r="200" customFormat="false" ht="15" hidden="false" customHeight="true" outlineLevel="0" collapsed="false">
      <c r="A200" s="12" t="s">
        <v>596</v>
      </c>
      <c r="B200" s="12" t="str">
        <f aca="false">вересень!B200</f>
        <v>Саввідіс В.О.</v>
      </c>
      <c r="C200" s="12" t="s">
        <v>598</v>
      </c>
      <c r="D200" s="14" t="n">
        <f aca="false">вересень!P200</f>
        <v>11912.67</v>
      </c>
      <c r="E200" s="14" t="n">
        <f aca="false">вересень!Q200</f>
        <v>0</v>
      </c>
      <c r="F200" s="13" t="n">
        <f aca="false">вересень!F200</f>
        <v>0</v>
      </c>
      <c r="G200" s="13" t="n">
        <f aca="false">вересень!G200</f>
        <v>49.7</v>
      </c>
      <c r="H200" s="13" t="n">
        <f aca="false">вересень!H200</f>
        <v>0</v>
      </c>
      <c r="I200" s="13" t="n">
        <f aca="false">вересень!I200</f>
        <v>4.1</v>
      </c>
      <c r="J200" s="14" t="n">
        <f aca="false">ROUND(G200*I200,2)</f>
        <v>203.77</v>
      </c>
      <c r="K200" s="14"/>
      <c r="L200" s="14"/>
      <c r="M200" s="14"/>
      <c r="N200" s="14" t="n">
        <f aca="false">ROUND((G200*I200)-K200-L200-M200,2)</f>
        <v>203.77</v>
      </c>
      <c r="O200" s="14"/>
      <c r="P200" s="14" t="n">
        <f aca="false">ROUND(IF(D200=0,IF((N200-E200-O200)&gt;0,(N200-E200-O200),0),IF((D200+N200-O200)&gt;0,(D200+N200-O200),0)),2)</f>
        <v>12116.44</v>
      </c>
      <c r="Q200" s="14" t="n">
        <f aca="false">ROUND(IF(E200=0,IF((D200+N200-O200)&lt;0,ABS(D200+N200-O200),0),IF((N200-E200-O200)&lt;0,ABS(N200-E200-O200),0)),2)</f>
        <v>0</v>
      </c>
    </row>
    <row r="201" customFormat="false" ht="15" hidden="false" customHeight="true" outlineLevel="0" collapsed="false">
      <c r="A201" s="12" t="s">
        <v>599</v>
      </c>
      <c r="B201" s="12" t="str">
        <f aca="false">вересень!B201</f>
        <v>Кашина Г.І.</v>
      </c>
      <c r="C201" s="12" t="s">
        <v>601</v>
      </c>
      <c r="D201" s="14" t="n">
        <f aca="false">вересень!P201</f>
        <v>14372.96</v>
      </c>
      <c r="E201" s="14" t="n">
        <f aca="false">вересень!Q201</f>
        <v>0</v>
      </c>
      <c r="F201" s="13" t="n">
        <f aca="false">вересень!F201</f>
        <v>0</v>
      </c>
      <c r="G201" s="13" t="n">
        <f aca="false">вересень!G201</f>
        <v>62.6</v>
      </c>
      <c r="H201" s="13" t="n">
        <f aca="false">вересень!H201</f>
        <v>0</v>
      </c>
      <c r="I201" s="13" t="n">
        <f aca="false">вересень!I201</f>
        <v>4.1</v>
      </c>
      <c r="J201" s="14" t="n">
        <f aca="false">ROUND(G201*I201,2)</f>
        <v>256.66</v>
      </c>
      <c r="K201" s="14"/>
      <c r="L201" s="14"/>
      <c r="M201" s="14"/>
      <c r="N201" s="14" t="n">
        <f aca="false">ROUND((G201*I201)-K201-L201-M201,2)</f>
        <v>256.66</v>
      </c>
      <c r="O201" s="14"/>
      <c r="P201" s="14" t="n">
        <f aca="false">ROUND(IF(D201=0,IF((N201-E201-O201)&gt;0,(N201-E201-O201),0),IF((D201+N201-O201)&gt;0,(D201+N201-O201),0)),2)</f>
        <v>14629.62</v>
      </c>
      <c r="Q201" s="14" t="n">
        <f aca="false">ROUND(IF(E201=0,IF((D201+N201-O201)&lt;0,ABS(D201+N201-O201),0),IF((N201-E201-O201)&lt;0,ABS(N201-E201-O201),0)),2)</f>
        <v>0</v>
      </c>
    </row>
    <row r="202" customFormat="false" ht="15" hidden="false" customHeight="true" outlineLevel="0" collapsed="false">
      <c r="A202" s="12" t="s">
        <v>602</v>
      </c>
      <c r="B202" s="12" t="str">
        <f aca="false">вересень!B202</f>
        <v>Фадеєва Є.А.</v>
      </c>
      <c r="C202" s="12" t="s">
        <v>604</v>
      </c>
      <c r="D202" s="14" t="n">
        <f aca="false">вересень!P202</f>
        <v>2597.76</v>
      </c>
      <c r="E202" s="14" t="n">
        <f aca="false">вересень!Q202</f>
        <v>0</v>
      </c>
      <c r="F202" s="13" t="n">
        <f aca="false">вересень!F202</f>
        <v>0</v>
      </c>
      <c r="G202" s="13" t="n">
        <f aca="false">вересень!G202</f>
        <v>70.4</v>
      </c>
      <c r="H202" s="13" t="n">
        <f aca="false">вересень!H202</f>
        <v>0</v>
      </c>
      <c r="I202" s="13" t="n">
        <f aca="false">вересень!I202</f>
        <v>4.1</v>
      </c>
      <c r="J202" s="14" t="n">
        <f aca="false">ROUND(G202*I202,2)</f>
        <v>288.64</v>
      </c>
      <c r="K202" s="14"/>
      <c r="L202" s="14"/>
      <c r="M202" s="14"/>
      <c r="N202" s="14" t="n">
        <f aca="false">ROUND((G202*I202)-K202-L202-M202,2)</f>
        <v>288.64</v>
      </c>
      <c r="O202" s="14"/>
      <c r="P202" s="14" t="n">
        <f aca="false">ROUND(IF(D202=0,IF((N202-E202-O202)&gt;0,(N202-E202-O202),0),IF((D202+N202-O202)&gt;0,(D202+N202-O202),0)),2)</f>
        <v>2886.4</v>
      </c>
      <c r="Q202" s="14" t="n">
        <f aca="false">ROUND(IF(E202=0,IF((D202+N202-O202)&lt;0,ABS(D202+N202-O202),0),IF((N202-E202-O202)&lt;0,ABS(N202-E202-O202),0)),2)</f>
        <v>0</v>
      </c>
    </row>
    <row r="203" customFormat="false" ht="15" hidden="false" customHeight="true" outlineLevel="0" collapsed="false">
      <c r="A203" s="12" t="s">
        <v>605</v>
      </c>
      <c r="B203" s="12" t="str">
        <f aca="false">вересень!B203</f>
        <v>Бойко О.А.</v>
      </c>
      <c r="C203" s="12" t="s">
        <v>607</v>
      </c>
      <c r="D203" s="14" t="n">
        <f aca="false">вересень!P203</f>
        <v>2590.38</v>
      </c>
      <c r="E203" s="14" t="n">
        <f aca="false">вересень!Q203</f>
        <v>0</v>
      </c>
      <c r="F203" s="13" t="n">
        <f aca="false">вересень!F203</f>
        <v>0</v>
      </c>
      <c r="G203" s="13" t="n">
        <f aca="false">вересень!G203</f>
        <v>70.2</v>
      </c>
      <c r="H203" s="13" t="n">
        <f aca="false">вересень!H203</f>
        <v>0</v>
      </c>
      <c r="I203" s="13" t="n">
        <f aca="false">вересень!I203</f>
        <v>4.1</v>
      </c>
      <c r="J203" s="14" t="n">
        <f aca="false">ROUND(G203*I203,2)</f>
        <v>287.82</v>
      </c>
      <c r="K203" s="14"/>
      <c r="L203" s="14"/>
      <c r="M203" s="14"/>
      <c r="N203" s="14" t="n">
        <f aca="false">ROUND((G203*I203)-K203-L203-M203,2)</f>
        <v>287.82</v>
      </c>
      <c r="O203" s="14"/>
      <c r="P203" s="14" t="n">
        <f aca="false">ROUND(IF(D203=0,IF((N203-E203-O203)&gt;0,(N203-E203-O203),0),IF((D203+N203-O203)&gt;0,(D203+N203-O203),0)),2)</f>
        <v>2878.2</v>
      </c>
      <c r="Q203" s="14" t="n">
        <f aca="false">ROUND(IF(E203=0,IF((D203+N203-O203)&lt;0,ABS(D203+N203-O203),0),IF((N203-E203-O203)&lt;0,ABS(N203-E203-O203),0)),2)</f>
        <v>0</v>
      </c>
    </row>
    <row r="204" customFormat="false" ht="15" hidden="false" customHeight="true" outlineLevel="0" collapsed="false">
      <c r="A204" s="12" t="s">
        <v>608</v>
      </c>
      <c r="B204" s="12" t="str">
        <f aca="false">вересень!B204</f>
        <v>Дудник І.А.</v>
      </c>
      <c r="C204" s="12" t="s">
        <v>610</v>
      </c>
      <c r="D204" s="14" t="n">
        <f aca="false">вересень!P204</f>
        <v>10903.02</v>
      </c>
      <c r="E204" s="14" t="n">
        <f aca="false">вересень!Q204</f>
        <v>0</v>
      </c>
      <c r="F204" s="13" t="n">
        <f aca="false">вересень!F204</f>
        <v>0</v>
      </c>
      <c r="G204" s="13" t="n">
        <f aca="false">вересень!G204</f>
        <v>49.94</v>
      </c>
      <c r="H204" s="13" t="n">
        <f aca="false">вересень!H204</f>
        <v>0</v>
      </c>
      <c r="I204" s="13" t="n">
        <f aca="false">вересень!I204</f>
        <v>4.1</v>
      </c>
      <c r="J204" s="14" t="n">
        <f aca="false">ROUND(G204*I204,2)</f>
        <v>204.75</v>
      </c>
      <c r="K204" s="14"/>
      <c r="L204" s="14"/>
      <c r="M204" s="14"/>
      <c r="N204" s="14" t="n">
        <f aca="false">ROUND((G204*I204)-K204-L204-M204,2)</f>
        <v>204.75</v>
      </c>
      <c r="O204" s="14"/>
      <c r="P204" s="14" t="n">
        <f aca="false">ROUND(IF(D204=0,IF((N204-E204-O204)&gt;0,(N204-E204-O204),0),IF((D204+N204-O204)&gt;0,(D204+N204-O204),0)),2)</f>
        <v>11107.77</v>
      </c>
      <c r="Q204" s="14" t="n">
        <f aca="false">ROUND(IF(E204=0,IF((D204+N204-O204)&lt;0,ABS(D204+N204-O204),0),IF((N204-E204-O204)&lt;0,ABS(N204-E204-O204),0)),2)</f>
        <v>0</v>
      </c>
    </row>
    <row r="205" customFormat="false" ht="15" hidden="false" customHeight="true" outlineLevel="0" collapsed="false">
      <c r="A205" s="12" t="s">
        <v>611</v>
      </c>
      <c r="B205" s="12" t="str">
        <f aca="false">вересень!B205</f>
        <v>Лебедєва Т.В.</v>
      </c>
      <c r="C205" s="12" t="s">
        <v>613</v>
      </c>
      <c r="D205" s="14" t="n">
        <f aca="false">вересень!P205</f>
        <v>12256.07</v>
      </c>
      <c r="E205" s="14" t="n">
        <f aca="false">вересень!Q205</f>
        <v>0</v>
      </c>
      <c r="F205" s="13" t="n">
        <f aca="false">вересень!F205</f>
        <v>0</v>
      </c>
      <c r="G205" s="13" t="n">
        <f aca="false">вересень!G205</f>
        <v>62.3</v>
      </c>
      <c r="H205" s="13" t="n">
        <f aca="false">вересень!H205</f>
        <v>0</v>
      </c>
      <c r="I205" s="13" t="n">
        <f aca="false">вересень!I205</f>
        <v>4.1</v>
      </c>
      <c r="J205" s="14" t="n">
        <f aca="false">ROUND(G205*I205,2)</f>
        <v>255.43</v>
      </c>
      <c r="K205" s="14"/>
      <c r="L205" s="14"/>
      <c r="M205" s="14"/>
      <c r="N205" s="14" t="n">
        <f aca="false">ROUND((G205*I205)-K205-L205-M205,2)</f>
        <v>255.43</v>
      </c>
      <c r="O205" s="14"/>
      <c r="P205" s="14" t="n">
        <f aca="false">ROUND(IF(D205=0,IF((N205-E205-O205)&gt;0,(N205-E205-O205),0),IF((D205+N205-O205)&gt;0,(D205+N205-O205),0)),2)</f>
        <v>12511.5</v>
      </c>
      <c r="Q205" s="14" t="n">
        <f aca="false">ROUND(IF(E205=0,IF((D205+N205-O205)&lt;0,ABS(D205+N205-O205),0),IF((N205-E205-O205)&lt;0,ABS(N205-E205-O205),0)),2)</f>
        <v>0</v>
      </c>
    </row>
    <row r="206" customFormat="false" ht="15" hidden="false" customHeight="true" outlineLevel="0" collapsed="false">
      <c r="A206" s="12" t="s">
        <v>614</v>
      </c>
      <c r="B206" s="12" t="str">
        <f aca="false">вересень!B206</f>
        <v>Криницький Л.С.</v>
      </c>
      <c r="C206" s="12" t="s">
        <v>616</v>
      </c>
      <c r="D206" s="14" t="n">
        <f aca="false">вересень!P206</f>
        <v>2217.6</v>
      </c>
      <c r="E206" s="14" t="n">
        <f aca="false">вересень!Q206</f>
        <v>0</v>
      </c>
      <c r="F206" s="13" t="n">
        <f aca="false">вересень!F206</f>
        <v>0</v>
      </c>
      <c r="G206" s="13" t="n">
        <f aca="false">вересень!G206</f>
        <v>67.61</v>
      </c>
      <c r="H206" s="13" t="n">
        <f aca="false">вересень!H206</f>
        <v>0</v>
      </c>
      <c r="I206" s="13" t="n">
        <f aca="false">вересень!I206</f>
        <v>4.1</v>
      </c>
      <c r="J206" s="14" t="n">
        <f aca="false">ROUND(G206*I206,2)</f>
        <v>277.2</v>
      </c>
      <c r="K206" s="14"/>
      <c r="L206" s="14"/>
      <c r="M206" s="14"/>
      <c r="N206" s="14" t="n">
        <f aca="false">ROUND((G206*I206)-K206-L206-M206,2)</f>
        <v>277.2</v>
      </c>
      <c r="O206" s="14"/>
      <c r="P206" s="14" t="n">
        <f aca="false">ROUND(IF(D206=0,IF((N206-E206-O206)&gt;0,(N206-E206-O206),0),IF((D206+N206-O206)&gt;0,(D206+N206-O206),0)),2)</f>
        <v>2494.8</v>
      </c>
      <c r="Q206" s="14" t="n">
        <f aca="false">ROUND(IF(E206=0,IF((D206+N206-O206)&lt;0,ABS(D206+N206-O206),0),IF((N206-E206-O206)&lt;0,ABS(N206-E206-O206),0)),2)</f>
        <v>0</v>
      </c>
    </row>
    <row r="207" customFormat="false" ht="15" hidden="false" customHeight="true" outlineLevel="0" collapsed="false">
      <c r="A207" s="12" t="s">
        <v>617</v>
      </c>
      <c r="B207" s="12" t="str">
        <f aca="false">вересень!B207</f>
        <v>Сафонов В.В.</v>
      </c>
      <c r="C207" s="12" t="s">
        <v>619</v>
      </c>
      <c r="D207" s="14" t="n">
        <f aca="false">вересень!P207</f>
        <v>14902.94</v>
      </c>
      <c r="E207" s="14" t="n">
        <f aca="false">вересень!Q207</f>
        <v>0</v>
      </c>
      <c r="F207" s="13" t="n">
        <f aca="false">вересень!F207</f>
        <v>0</v>
      </c>
      <c r="G207" s="13" t="n">
        <f aca="false">вересень!G207</f>
        <v>70.38</v>
      </c>
      <c r="H207" s="13" t="n">
        <f aca="false">вересень!H207</f>
        <v>0</v>
      </c>
      <c r="I207" s="13" t="n">
        <f aca="false">вересень!I207</f>
        <v>4.1</v>
      </c>
      <c r="J207" s="14" t="n">
        <f aca="false">ROUND(G207*I207,2)</f>
        <v>288.56</v>
      </c>
      <c r="K207" s="14"/>
      <c r="L207" s="14"/>
      <c r="M207" s="14"/>
      <c r="N207" s="14" t="n">
        <f aca="false">ROUND((G207*I207)-K207-L207-M207,2)</f>
        <v>288.56</v>
      </c>
      <c r="O207" s="14"/>
      <c r="P207" s="14" t="n">
        <f aca="false">ROUND(IF(D207=0,IF((N207-E207-O207)&gt;0,(N207-E207-O207),0),IF((D207+N207-O207)&gt;0,(D207+N207-O207),0)),2)</f>
        <v>15191.5</v>
      </c>
      <c r="Q207" s="14" t="n">
        <f aca="false">ROUND(IF(E207=0,IF((D207+N207-O207)&lt;0,ABS(D207+N207-O207),0),IF((N207-E207-O207)&lt;0,ABS(N207-E207-O207),0)),2)</f>
        <v>0</v>
      </c>
    </row>
    <row r="208" customFormat="false" ht="15" hidden="false" customHeight="true" outlineLevel="0" collapsed="false">
      <c r="A208" s="12" t="s">
        <v>620</v>
      </c>
      <c r="B208" s="12" t="str">
        <f aca="false">вересень!B208</f>
        <v>Мільковська Р.Г.</v>
      </c>
      <c r="C208" s="12" t="s">
        <v>622</v>
      </c>
      <c r="D208" s="14" t="n">
        <f aca="false">вересень!P208</f>
        <v>10672.49</v>
      </c>
      <c r="E208" s="14" t="n">
        <f aca="false">вересень!Q208</f>
        <v>0</v>
      </c>
      <c r="F208" s="13" t="n">
        <f aca="false">вересень!F208</f>
        <v>0</v>
      </c>
      <c r="G208" s="13" t="n">
        <f aca="false">вересень!G208</f>
        <v>49.88</v>
      </c>
      <c r="H208" s="13" t="n">
        <f aca="false">вересень!H208</f>
        <v>0</v>
      </c>
      <c r="I208" s="13" t="n">
        <f aca="false">вересень!I208</f>
        <v>4.1</v>
      </c>
      <c r="J208" s="14" t="n">
        <f aca="false">ROUND(G208*I208,2)</f>
        <v>204.51</v>
      </c>
      <c r="K208" s="14"/>
      <c r="L208" s="14"/>
      <c r="M208" s="14"/>
      <c r="N208" s="14" t="n">
        <f aca="false">ROUND((G208*I208)-K208-L208-M208,2)</f>
        <v>204.51</v>
      </c>
      <c r="O208" s="14"/>
      <c r="P208" s="14" t="n">
        <f aca="false">ROUND(IF(D208=0,IF((N208-E208-O208)&gt;0,(N208-E208-O208),0),IF((D208+N208-O208)&gt;0,(D208+N208-O208),0)),2)</f>
        <v>10877</v>
      </c>
      <c r="Q208" s="14" t="n">
        <f aca="false">ROUND(IF(E208=0,IF((D208+N208-O208)&lt;0,ABS(D208+N208-O208),0),IF((N208-E208-O208)&lt;0,ABS(N208-E208-O208),0)),2)</f>
        <v>0</v>
      </c>
    </row>
    <row r="209" customFormat="false" ht="15" hidden="false" customHeight="true" outlineLevel="0" collapsed="false">
      <c r="A209" s="12" t="s">
        <v>623</v>
      </c>
      <c r="B209" s="12" t="str">
        <f aca="false">вересень!B209</f>
        <v>Заранкін С.М.</v>
      </c>
      <c r="C209" s="12" t="s">
        <v>625</v>
      </c>
      <c r="D209" s="14" t="n">
        <f aca="false">вересень!P209</f>
        <v>12411.84</v>
      </c>
      <c r="E209" s="14" t="n">
        <f aca="false">вересень!Q209</f>
        <v>0</v>
      </c>
      <c r="F209" s="13" t="n">
        <f aca="false">вересень!F209</f>
        <v>0</v>
      </c>
      <c r="G209" s="13" t="n">
        <f aca="false">вересень!G209</f>
        <v>62.02</v>
      </c>
      <c r="H209" s="13" t="n">
        <f aca="false">вересень!H209</f>
        <v>0</v>
      </c>
      <c r="I209" s="13" t="n">
        <f aca="false">вересень!I209</f>
        <v>4.1</v>
      </c>
      <c r="J209" s="14" t="n">
        <f aca="false">ROUND(G209*I209,2)</f>
        <v>254.28</v>
      </c>
      <c r="K209" s="14"/>
      <c r="L209" s="14"/>
      <c r="M209" s="14"/>
      <c r="N209" s="14" t="n">
        <f aca="false">ROUND((G209*I209)-K209-L209-M209,2)</f>
        <v>254.28</v>
      </c>
      <c r="O209" s="14"/>
      <c r="P209" s="14" t="n">
        <f aca="false">ROUND(IF(D209=0,IF((N209-E209-O209)&gt;0,(N209-E209-O209),0),IF((D209+N209-O209)&gt;0,(D209+N209-O209),0)),2)</f>
        <v>12666.12</v>
      </c>
      <c r="Q209" s="14" t="n">
        <f aca="false">ROUND(IF(E209=0,IF((D209+N209-O209)&lt;0,ABS(D209+N209-O209),0),IF((N209-E209-O209)&lt;0,ABS(N209-E209-O209),0)),2)</f>
        <v>0</v>
      </c>
    </row>
    <row r="210" customFormat="false" ht="15" hidden="false" customHeight="true" outlineLevel="0" collapsed="false">
      <c r="A210" s="12" t="s">
        <v>626</v>
      </c>
      <c r="B210" s="12" t="str">
        <f aca="false">вересень!B210</f>
        <v>Сіянко О.М.</v>
      </c>
      <c r="C210" s="12" t="s">
        <v>628</v>
      </c>
      <c r="D210" s="14" t="n">
        <f aca="false">вересень!P210</f>
        <v>5620.36</v>
      </c>
      <c r="E210" s="14" t="n">
        <f aca="false">вересень!Q210</f>
        <v>0</v>
      </c>
      <c r="F210" s="13" t="n">
        <f aca="false">вересень!F210</f>
        <v>0</v>
      </c>
      <c r="G210" s="13" t="n">
        <f aca="false">вересень!G210</f>
        <v>67.6</v>
      </c>
      <c r="H210" s="13" t="n">
        <f aca="false">вересень!H210</f>
        <v>0</v>
      </c>
      <c r="I210" s="13" t="n">
        <f aca="false">вересень!I210</f>
        <v>4.1</v>
      </c>
      <c r="J210" s="14" t="n">
        <f aca="false">ROUND(G210*I210,2)</f>
        <v>277.16</v>
      </c>
      <c r="K210" s="14"/>
      <c r="L210" s="14"/>
      <c r="M210" s="14"/>
      <c r="N210" s="14" t="n">
        <f aca="false">ROUND((G210*I210)-K210-L210-M210,2)</f>
        <v>277.16</v>
      </c>
      <c r="O210" s="14"/>
      <c r="P210" s="14" t="n">
        <f aca="false">ROUND(IF(D210=0,IF((N210-E210-O210)&gt;0,(N210-E210-O210),0),IF((D210+N210-O210)&gt;0,(D210+N210-O210),0)),2)</f>
        <v>5897.52</v>
      </c>
      <c r="Q210" s="14" t="n">
        <f aca="false">ROUND(IF(E210=0,IF((D210+N210-O210)&lt;0,ABS(D210+N210-O210),0),IF((N210-E210-O210)&lt;0,ABS(N210-E210-O210),0)),2)</f>
        <v>0</v>
      </c>
    </row>
    <row r="211" customFormat="false" ht="15" hidden="false" customHeight="true" outlineLevel="0" collapsed="false">
      <c r="A211" s="12" t="s">
        <v>629</v>
      </c>
      <c r="B211" s="12" t="str">
        <f aca="false">вересень!B211</f>
        <v>Осипов В.В.</v>
      </c>
      <c r="C211" s="12" t="s">
        <v>631</v>
      </c>
      <c r="D211" s="14" t="n">
        <f aca="false">вересень!P211</f>
        <v>12457.04</v>
      </c>
      <c r="E211" s="14" t="n">
        <f aca="false">вересень!Q211</f>
        <v>0</v>
      </c>
      <c r="F211" s="13" t="n">
        <f aca="false">вересень!F211</f>
        <v>0</v>
      </c>
      <c r="G211" s="13" t="n">
        <f aca="false">вересень!G211</f>
        <v>70.42</v>
      </c>
      <c r="H211" s="13" t="n">
        <f aca="false">вересень!H211</f>
        <v>0</v>
      </c>
      <c r="I211" s="13" t="n">
        <f aca="false">вересень!I211</f>
        <v>4.1</v>
      </c>
      <c r="J211" s="14" t="n">
        <f aca="false">ROUND(G211*I211,2)</f>
        <v>288.72</v>
      </c>
      <c r="K211" s="14"/>
      <c r="L211" s="14"/>
      <c r="M211" s="14"/>
      <c r="N211" s="14" t="n">
        <f aca="false">ROUND((G211*I211)-K211-L211-M211,2)</f>
        <v>288.72</v>
      </c>
      <c r="O211" s="14"/>
      <c r="P211" s="14" t="n">
        <f aca="false">ROUND(IF(D211=0,IF((N211-E211-O211)&gt;0,(N211-E211-O211),0),IF((D211+N211-O211)&gt;0,(D211+N211-O211),0)),2)</f>
        <v>12745.76</v>
      </c>
      <c r="Q211" s="14" t="n">
        <f aca="false">ROUND(IF(E211=0,IF((D211+N211-O211)&lt;0,ABS(D211+N211-O211),0),IF((N211-E211-O211)&lt;0,ABS(N211-E211-O211),0)),2)</f>
        <v>0</v>
      </c>
    </row>
    <row r="212" customFormat="false" ht="15" hidden="false" customHeight="true" outlineLevel="0" collapsed="false">
      <c r="A212" s="12" t="s">
        <v>632</v>
      </c>
      <c r="B212" s="12" t="str">
        <f aca="false">вересень!B212</f>
        <v>Перепьолкін А.Л.</v>
      </c>
      <c r="C212" s="12" t="s">
        <v>634</v>
      </c>
      <c r="D212" s="14" t="n">
        <f aca="false">вересень!P212</f>
        <v>1837.62</v>
      </c>
      <c r="E212" s="14" t="n">
        <f aca="false">вересень!Q212</f>
        <v>0</v>
      </c>
      <c r="F212" s="13" t="n">
        <f aca="false">вересень!F212</f>
        <v>0</v>
      </c>
      <c r="G212" s="13" t="n">
        <f aca="false">вересень!G212</f>
        <v>49.8</v>
      </c>
      <c r="H212" s="13" t="n">
        <f aca="false">вересень!H212</f>
        <v>0</v>
      </c>
      <c r="I212" s="13" t="n">
        <f aca="false">вересень!I212</f>
        <v>4.1</v>
      </c>
      <c r="J212" s="14" t="n">
        <f aca="false">ROUND(G212*I212,2)</f>
        <v>204.18</v>
      </c>
      <c r="K212" s="14"/>
      <c r="L212" s="14"/>
      <c r="M212" s="14"/>
      <c r="N212" s="14" t="n">
        <f aca="false">ROUND((G212*I212)-K212-L212-M212,2)</f>
        <v>204.18</v>
      </c>
      <c r="O212" s="14"/>
      <c r="P212" s="14" t="n">
        <f aca="false">ROUND(IF(D212=0,IF((N212-E212-O212)&gt;0,(N212-E212-O212),0),IF((D212+N212-O212)&gt;0,(D212+N212-O212),0)),2)</f>
        <v>2041.8</v>
      </c>
      <c r="Q212" s="14" t="n">
        <f aca="false">ROUND(IF(E212=0,IF((D212+N212-O212)&lt;0,ABS(D212+N212-O212),0),IF((N212-E212-O212)&lt;0,ABS(N212-E212-O212),0)),2)</f>
        <v>0</v>
      </c>
    </row>
    <row r="213" customFormat="false" ht="15" hidden="false" customHeight="true" outlineLevel="0" collapsed="false">
      <c r="A213" s="12" t="s">
        <v>635</v>
      </c>
      <c r="B213" s="12" t="str">
        <f aca="false">вересень!B213</f>
        <v>Синегрибова В.В.</v>
      </c>
      <c r="C213" s="12" t="s">
        <v>637</v>
      </c>
      <c r="D213" s="14" t="n">
        <f aca="false">вересень!P213</f>
        <v>3543.75</v>
      </c>
      <c r="E213" s="14" t="n">
        <f aca="false">вересень!Q213</f>
        <v>0</v>
      </c>
      <c r="F213" s="13" t="n">
        <f aca="false">вересень!F213</f>
        <v>0</v>
      </c>
      <c r="G213" s="13" t="n">
        <f aca="false">вересень!G213</f>
        <v>62.7</v>
      </c>
      <c r="H213" s="13" t="n">
        <f aca="false">вересень!H213</f>
        <v>0</v>
      </c>
      <c r="I213" s="13" t="n">
        <f aca="false">вересень!I213</f>
        <v>4.1</v>
      </c>
      <c r="J213" s="14" t="n">
        <f aca="false">ROUND(G213*I213,2)</f>
        <v>257.07</v>
      </c>
      <c r="K213" s="14"/>
      <c r="L213" s="14"/>
      <c r="M213" s="14"/>
      <c r="N213" s="14" t="n">
        <f aca="false">ROUND((G213*I213)-K213-L213-M213,2)</f>
        <v>257.07</v>
      </c>
      <c r="O213" s="14"/>
      <c r="P213" s="14" t="n">
        <f aca="false">ROUND(IF(D213=0,IF((N213-E213-O213)&gt;0,(N213-E213-O213),0),IF((D213+N213-O213)&gt;0,(D213+N213-O213),0)),2)</f>
        <v>3800.82</v>
      </c>
      <c r="Q213" s="14" t="n">
        <f aca="false">ROUND(IF(E213=0,IF((D213+N213-O213)&lt;0,ABS(D213+N213-O213),0),IF((N213-E213-O213)&lt;0,ABS(N213-E213-O213),0)),2)</f>
        <v>0</v>
      </c>
    </row>
    <row r="214" customFormat="false" ht="15" hidden="false" customHeight="true" outlineLevel="0" collapsed="false">
      <c r="A214" s="12" t="s">
        <v>638</v>
      </c>
      <c r="B214" s="12" t="str">
        <f aca="false">вересень!B214</f>
        <v>Юдін М.В.</v>
      </c>
      <c r="C214" s="12" t="s">
        <v>640</v>
      </c>
      <c r="D214" s="14" t="n">
        <f aca="false">вересень!P214</f>
        <v>2509.2</v>
      </c>
      <c r="E214" s="14" t="n">
        <f aca="false">вересень!Q214</f>
        <v>0</v>
      </c>
      <c r="F214" s="13" t="n">
        <f aca="false">вересень!F214</f>
        <v>0</v>
      </c>
      <c r="G214" s="13" t="n">
        <f aca="false">вересень!G214</f>
        <v>68</v>
      </c>
      <c r="H214" s="13" t="n">
        <f aca="false">вересень!H214</f>
        <v>0</v>
      </c>
      <c r="I214" s="13" t="n">
        <f aca="false">вересень!I214</f>
        <v>4.1</v>
      </c>
      <c r="J214" s="14" t="n">
        <f aca="false">ROUND(G214*I214,2)</f>
        <v>278.8</v>
      </c>
      <c r="K214" s="14"/>
      <c r="L214" s="14"/>
      <c r="M214" s="14"/>
      <c r="N214" s="14" t="n">
        <f aca="false">ROUND((G214*I214)-K214-L214-M214,2)</f>
        <v>278.8</v>
      </c>
      <c r="O214" s="14"/>
      <c r="P214" s="14" t="n">
        <f aca="false">ROUND(IF(D214=0,IF((N214-E214-O214)&gt;0,(N214-E214-O214),0),IF((D214+N214-O214)&gt;0,(D214+N214-O214),0)),2)</f>
        <v>2788</v>
      </c>
      <c r="Q214" s="14" t="n">
        <f aca="false">ROUND(IF(E214=0,IF((D214+N214-O214)&lt;0,ABS(D214+N214-O214),0),IF((N214-E214-O214)&lt;0,ABS(N214-E214-O214),0)),2)</f>
        <v>0</v>
      </c>
    </row>
    <row r="215" customFormat="false" ht="15" hidden="false" customHeight="true" outlineLevel="0" collapsed="false">
      <c r="A215" s="12" t="s">
        <v>641</v>
      </c>
      <c r="B215" s="12" t="str">
        <f aca="false">вересень!B215</f>
        <v>Сергєєва Н.О.</v>
      </c>
      <c r="C215" s="12" t="s">
        <v>643</v>
      </c>
      <c r="D215" s="14" t="n">
        <f aca="false">вересень!P215</f>
        <v>2646.31</v>
      </c>
      <c r="E215" s="14" t="n">
        <f aca="false">вересень!Q215</f>
        <v>0</v>
      </c>
      <c r="F215" s="13" t="n">
        <f aca="false">вересень!F215</f>
        <v>0</v>
      </c>
      <c r="G215" s="13" t="n">
        <f aca="false">вересень!G215</f>
        <v>72.1</v>
      </c>
      <c r="H215" s="13" t="n">
        <f aca="false">вересень!H215</f>
        <v>0</v>
      </c>
      <c r="I215" s="13" t="n">
        <f aca="false">вересень!I215</f>
        <v>4.1</v>
      </c>
      <c r="J215" s="14" t="n">
        <f aca="false">ROUND(G215*I215,2)</f>
        <v>295.61</v>
      </c>
      <c r="K215" s="14"/>
      <c r="L215" s="14"/>
      <c r="M215" s="14"/>
      <c r="N215" s="14" t="n">
        <f aca="false">ROUND((G215*I215)-K215-L215-M215,2)</f>
        <v>295.61</v>
      </c>
      <c r="O215" s="14"/>
      <c r="P215" s="14" t="n">
        <f aca="false">ROUND(IF(D215=0,IF((N215-E215-O215)&gt;0,(N215-E215-O215),0),IF((D215+N215-O215)&gt;0,(D215+N215-O215),0)),2)</f>
        <v>2941.92</v>
      </c>
      <c r="Q215" s="14" t="n">
        <f aca="false">ROUND(IF(E215=0,IF((D215+N215-O215)&lt;0,ABS(D215+N215-O215),0),IF((N215-E215-O215)&lt;0,ABS(N215-E215-O215),0)),2)</f>
        <v>0</v>
      </c>
    </row>
    <row r="216" customFormat="false" ht="15" hidden="false" customHeight="true" outlineLevel="0" collapsed="false">
      <c r="A216" s="12" t="s">
        <v>644</v>
      </c>
      <c r="B216" s="12" t="str">
        <f aca="false">вересень!B216</f>
        <v>Рева І.П.</v>
      </c>
      <c r="C216" s="12" t="s">
        <v>646</v>
      </c>
      <c r="D216" s="14" t="n">
        <f aca="false">вересень!P216</f>
        <v>1834.65</v>
      </c>
      <c r="E216" s="14" t="n">
        <f aca="false">вересень!Q216</f>
        <v>0</v>
      </c>
      <c r="F216" s="13" t="n">
        <f aca="false">вересень!F216</f>
        <v>0</v>
      </c>
      <c r="G216" s="13" t="n">
        <f aca="false">вересень!G216</f>
        <v>49.72</v>
      </c>
      <c r="H216" s="13" t="n">
        <f aca="false">вересень!H216</f>
        <v>0</v>
      </c>
      <c r="I216" s="13" t="n">
        <f aca="false">вересень!I216</f>
        <v>4.1</v>
      </c>
      <c r="J216" s="14" t="n">
        <f aca="false">ROUND(G216*I216,2)</f>
        <v>203.85</v>
      </c>
      <c r="K216" s="14"/>
      <c r="L216" s="14"/>
      <c r="M216" s="14"/>
      <c r="N216" s="14" t="n">
        <f aca="false">ROUND((G216*I216)-K216-L216-M216,2)</f>
        <v>203.85</v>
      </c>
      <c r="O216" s="14"/>
      <c r="P216" s="14" t="n">
        <f aca="false">ROUND(IF(D216=0,IF((N216-E216-O216)&gt;0,(N216-E216-O216),0),IF((D216+N216-O216)&gt;0,(D216+N216-O216),0)),2)</f>
        <v>2038.5</v>
      </c>
      <c r="Q216" s="14" t="n">
        <f aca="false">ROUND(IF(E216=0,IF((D216+N216-O216)&lt;0,ABS(D216+N216-O216),0),IF((N216-E216-O216)&lt;0,ABS(N216-E216-O216),0)),2)</f>
        <v>0</v>
      </c>
    </row>
    <row r="217" customFormat="false" ht="15" hidden="false" customHeight="true" outlineLevel="0" collapsed="false">
      <c r="A217" s="12" t="s">
        <v>647</v>
      </c>
      <c r="B217" s="12" t="str">
        <f aca="false">вересень!B217</f>
        <v>Почапський Ю.Т.</v>
      </c>
      <c r="C217" s="12" t="s">
        <v>649</v>
      </c>
      <c r="D217" s="14" t="n">
        <f aca="false">вересень!P217</f>
        <v>1761.25</v>
      </c>
      <c r="E217" s="14" t="n">
        <f aca="false">вересень!Q217</f>
        <v>0</v>
      </c>
      <c r="F217" s="13" t="n">
        <f aca="false">вересень!F217</f>
        <v>0</v>
      </c>
      <c r="G217" s="13" t="n">
        <f aca="false">вересень!G217</f>
        <v>62.39</v>
      </c>
      <c r="H217" s="13" t="n">
        <f aca="false">вересень!H217</f>
        <v>0</v>
      </c>
      <c r="I217" s="13" t="n">
        <f aca="false">вересень!I217</f>
        <v>4.1</v>
      </c>
      <c r="J217" s="14" t="n">
        <f aca="false">ROUND(G217*I217,2)</f>
        <v>255.8</v>
      </c>
      <c r="K217" s="14"/>
      <c r="L217" s="14"/>
      <c r="M217" s="14"/>
      <c r="N217" s="14" t="n">
        <f aca="false">ROUND((G217*I217)-K217-L217-M217,2)</f>
        <v>255.8</v>
      </c>
      <c r="O217" s="14"/>
      <c r="P217" s="14" t="n">
        <f aca="false">ROUND(IF(D217=0,IF((N217-E217-O217)&gt;0,(N217-E217-O217),0),IF((D217+N217-O217)&gt;0,(D217+N217-O217),0)),2)</f>
        <v>2017.05</v>
      </c>
      <c r="Q217" s="14" t="n">
        <f aca="false">ROUND(IF(E217=0,IF((D217+N217-O217)&lt;0,ABS(D217+N217-O217),0),IF((N217-E217-O217)&lt;0,ABS(N217-E217-O217),0)),2)</f>
        <v>0</v>
      </c>
    </row>
    <row r="218" customFormat="false" ht="15" hidden="false" customHeight="true" outlineLevel="0" collapsed="false">
      <c r="A218" s="12" t="s">
        <v>650</v>
      </c>
      <c r="B218" s="12" t="str">
        <f aca="false">вересень!B218</f>
        <v>Васильченко М.П.</v>
      </c>
      <c r="C218" s="12" t="s">
        <v>652</v>
      </c>
      <c r="D218" s="14" t="n">
        <f aca="false">вересень!P218</f>
        <v>14995.8</v>
      </c>
      <c r="E218" s="14" t="n">
        <f aca="false">вересень!Q218</f>
        <v>0</v>
      </c>
      <c r="F218" s="13" t="n">
        <f aca="false">вересень!F218</f>
        <v>0</v>
      </c>
      <c r="G218" s="13" t="n">
        <f aca="false">вересень!G218</f>
        <v>67.47</v>
      </c>
      <c r="H218" s="13" t="n">
        <f aca="false">вересень!H218</f>
        <v>0</v>
      </c>
      <c r="I218" s="13" t="n">
        <f aca="false">вересень!I218</f>
        <v>4.1</v>
      </c>
      <c r="J218" s="14" t="n">
        <f aca="false">ROUND(G218*I218,2)</f>
        <v>276.63</v>
      </c>
      <c r="K218" s="14"/>
      <c r="L218" s="14"/>
      <c r="M218" s="14"/>
      <c r="N218" s="14" t="n">
        <f aca="false">ROUND((G218*I218)-K218-L218-M218,2)</f>
        <v>276.63</v>
      </c>
      <c r="O218" s="14"/>
      <c r="P218" s="14" t="n">
        <f aca="false">ROUND(IF(D218=0,IF((N218-E218-O218)&gt;0,(N218-E218-O218),0),IF((D218+N218-O218)&gt;0,(D218+N218-O218),0)),2)</f>
        <v>15272.43</v>
      </c>
      <c r="Q218" s="14" t="n">
        <f aca="false">ROUND(IF(E218=0,IF((D218+N218-O218)&lt;0,ABS(D218+N218-O218),0),IF((N218-E218-O218)&lt;0,ABS(N218-E218-O218),0)),2)</f>
        <v>0</v>
      </c>
    </row>
    <row r="219" customFormat="false" ht="15" hidden="false" customHeight="true" outlineLevel="0" collapsed="false">
      <c r="A219" s="12" t="s">
        <v>653</v>
      </c>
      <c r="B219" s="12" t="str">
        <f aca="false">вересень!B219</f>
        <v>Черненко Т.А.</v>
      </c>
      <c r="C219" s="12" t="s">
        <v>655</v>
      </c>
      <c r="D219" s="14" t="n">
        <f aca="false">вересень!P219</f>
        <v>2598.12</v>
      </c>
      <c r="E219" s="14" t="n">
        <f aca="false">вересень!Q219</f>
        <v>0</v>
      </c>
      <c r="F219" s="13" t="n">
        <f aca="false">вересень!F219</f>
        <v>0</v>
      </c>
      <c r="G219" s="13" t="n">
        <f aca="false">вересень!G219</f>
        <v>70.41</v>
      </c>
      <c r="H219" s="13" t="n">
        <f aca="false">вересень!H219</f>
        <v>0</v>
      </c>
      <c r="I219" s="13" t="n">
        <f aca="false">вересень!I219</f>
        <v>4.1</v>
      </c>
      <c r="J219" s="14" t="n">
        <f aca="false">ROUND(G219*I219,2)</f>
        <v>288.68</v>
      </c>
      <c r="K219" s="14"/>
      <c r="L219" s="14"/>
      <c r="M219" s="14"/>
      <c r="N219" s="14" t="n">
        <f aca="false">ROUND((G219*I219)-K219-L219-M219,2)</f>
        <v>288.68</v>
      </c>
      <c r="O219" s="14"/>
      <c r="P219" s="14" t="n">
        <f aca="false">ROUND(IF(D219=0,IF((N219-E219-O219)&gt;0,(N219-E219-O219),0),IF((D219+N219-O219)&gt;0,(D219+N219-O219),0)),2)</f>
        <v>2886.8</v>
      </c>
      <c r="Q219" s="14" t="n">
        <f aca="false">ROUND(IF(E219=0,IF((D219+N219-O219)&lt;0,ABS(D219+N219-O219),0),IF((N219-E219-O219)&lt;0,ABS(N219-E219-O219),0)),2)</f>
        <v>0</v>
      </c>
    </row>
    <row r="220" customFormat="false" ht="15" hidden="false" customHeight="true" outlineLevel="0" collapsed="false">
      <c r="A220" s="12" t="s">
        <v>656</v>
      </c>
      <c r="B220" s="12" t="str">
        <f aca="false">вересень!B220</f>
        <v>Сиротенко Я.О.</v>
      </c>
      <c r="C220" s="12" t="s">
        <v>658</v>
      </c>
      <c r="D220" s="14" t="n">
        <f aca="false">вересень!P220</f>
        <v>5879.47</v>
      </c>
      <c r="E220" s="14" t="n">
        <f aca="false">вересень!Q220</f>
        <v>0</v>
      </c>
      <c r="F220" s="13" t="n">
        <f aca="false">вересень!F220</f>
        <v>0</v>
      </c>
      <c r="G220" s="13" t="n">
        <f aca="false">вересень!G220</f>
        <v>49.73</v>
      </c>
      <c r="H220" s="13" t="n">
        <f aca="false">вересень!H220</f>
        <v>0</v>
      </c>
      <c r="I220" s="13" t="n">
        <f aca="false">вересень!I220</f>
        <v>4.1</v>
      </c>
      <c r="J220" s="14" t="n">
        <f aca="false">ROUND(G220*I220,2)</f>
        <v>203.89</v>
      </c>
      <c r="K220" s="14"/>
      <c r="L220" s="14"/>
      <c r="M220" s="14"/>
      <c r="N220" s="14" t="n">
        <f aca="false">ROUND((G220*I220)-K220-L220-M220,2)</f>
        <v>203.89</v>
      </c>
      <c r="O220" s="14"/>
      <c r="P220" s="14" t="n">
        <f aca="false">ROUND(IF(D220=0,IF((N220-E220-O220)&gt;0,(N220-E220-O220),0),IF((D220+N220-O220)&gt;0,(D220+N220-O220),0)),2)</f>
        <v>6083.36</v>
      </c>
      <c r="Q220" s="14" t="n">
        <f aca="false">ROUND(IF(E220=0,IF((D220+N220-O220)&lt;0,ABS(D220+N220-O220),0),IF((N220-E220-O220)&lt;0,ABS(N220-E220-O220),0)),2)</f>
        <v>0</v>
      </c>
    </row>
    <row r="221" customFormat="false" ht="15.75" hidden="false" customHeight="true" outlineLevel="0" collapsed="false">
      <c r="A221" s="12" t="s">
        <v>659</v>
      </c>
      <c r="B221" s="12" t="str">
        <f aca="false">вересень!B221</f>
        <v>Корнюшенко О.О.</v>
      </c>
      <c r="C221" s="12" t="s">
        <v>661</v>
      </c>
      <c r="D221" s="14" t="n">
        <f aca="false">вересень!P221</f>
        <v>9812.6</v>
      </c>
      <c r="E221" s="14" t="n">
        <f aca="false">вересень!Q221</f>
        <v>0</v>
      </c>
      <c r="F221" s="13" t="n">
        <f aca="false">вересень!F221</f>
        <v>0</v>
      </c>
      <c r="G221" s="13" t="n">
        <f aca="false">вересень!G221</f>
        <v>62</v>
      </c>
      <c r="H221" s="13" t="n">
        <f aca="false">вересень!H221</f>
        <v>0</v>
      </c>
      <c r="I221" s="13" t="n">
        <f aca="false">вересень!I221</f>
        <v>4.1</v>
      </c>
      <c r="J221" s="14" t="n">
        <f aca="false">ROUND(G221*I221,2)</f>
        <v>254.2</v>
      </c>
      <c r="K221" s="14"/>
      <c r="L221" s="14"/>
      <c r="M221" s="14"/>
      <c r="N221" s="14" t="n">
        <f aca="false">ROUND((G221*I221)-K221-L221-M221,2)</f>
        <v>254.2</v>
      </c>
      <c r="O221" s="14"/>
      <c r="P221" s="14" t="n">
        <f aca="false">ROUND(IF(D221=0,IF((N221-E221-O221)&gt;0,(N221-E221-O221),0),IF((D221+N221-O221)&gt;0,(D221+N221-O221),0)),2)</f>
        <v>10066.8</v>
      </c>
      <c r="Q221" s="14" t="n">
        <f aca="false">ROUND(IF(E221=0,IF((D221+N221-O221)&lt;0,ABS(D221+N221-O221),0),IF((N221-E221-O221)&lt;0,ABS(N221-E221-O221),0)),2)</f>
        <v>0</v>
      </c>
    </row>
    <row r="222" customFormat="false" ht="15" hidden="false" customHeight="true" outlineLevel="0" collapsed="false">
      <c r="A222" s="15"/>
      <c r="B222" s="15"/>
      <c r="C222" s="15"/>
      <c r="D222" s="16" t="n">
        <f aca="false">SUM(D7:D221)</f>
        <v>1189354.79</v>
      </c>
      <c r="E222" s="16" t="n">
        <f aca="false">SUM(E7:E221)</f>
        <v>149.99</v>
      </c>
      <c r="F222" s="16"/>
      <c r="G222" s="20" t="n">
        <f aca="false">SUM(G7:G221)</f>
        <v>11652.42</v>
      </c>
      <c r="H222" s="16" t="n">
        <f aca="false">SUM(H7:H221)</f>
        <v>0</v>
      </c>
      <c r="I222" s="16"/>
      <c r="J222" s="16" t="n">
        <f aca="false">SUM(J7:J221)</f>
        <v>47774.99</v>
      </c>
      <c r="K222" s="16" t="n">
        <f aca="false">SUM(K7:K221)</f>
        <v>0</v>
      </c>
      <c r="L222" s="16" t="n">
        <f aca="false">SUM(L7:L221)</f>
        <v>0</v>
      </c>
      <c r="M222" s="16" t="n">
        <f aca="false">SUM(M7:M221)</f>
        <v>0</v>
      </c>
      <c r="N222" s="16" t="n">
        <f aca="false">SUM(N7:N221)</f>
        <v>47774.99</v>
      </c>
      <c r="O222" s="16" t="n">
        <f aca="false">SUM(O7:O221)</f>
        <v>0</v>
      </c>
      <c r="P222" s="16" t="n">
        <f aca="false">SUM(P7:P221)</f>
        <v>1236990.79</v>
      </c>
      <c r="Q222" s="16" t="n">
        <f aca="false">SUM(Q7:Q221)</f>
        <v>11</v>
      </c>
    </row>
    <row r="223" customFormat="false" ht="15.75" hidden="false" customHeight="true" outlineLevel="0" collapsed="false">
      <c r="A223" s="15"/>
      <c r="B223" s="15"/>
      <c r="C223" s="15"/>
      <c r="D223" s="16" t="n">
        <f aca="false">D222-E222</f>
        <v>1189204.8</v>
      </c>
      <c r="E223" s="16"/>
      <c r="F223" s="16"/>
      <c r="G223" s="20"/>
      <c r="H223" s="16"/>
      <c r="I223" s="16"/>
      <c r="J223" s="16"/>
      <c r="K223" s="16"/>
      <c r="L223" s="16"/>
      <c r="M223" s="16"/>
      <c r="N223" s="16"/>
      <c r="O223" s="16"/>
      <c r="P223" s="16" t="n">
        <f aca="false">P222-Q222</f>
        <v>1236979.79</v>
      </c>
      <c r="Q223" s="16"/>
    </row>
    <row r="226" customFormat="false" ht="15" hidden="false" customHeight="false" outlineLevel="0" collapsed="false">
      <c r="U226" s="17" t="n">
        <v>34793.63</v>
      </c>
    </row>
    <row r="227" customFormat="false" ht="15" hidden="false" customHeight="false" outlineLevel="0" collapsed="false">
      <c r="U227" s="17" t="n">
        <f aca="false">O222-U226</f>
        <v>-34793.63</v>
      </c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printOptions headings="false" gridLines="false" gridLinesSet="true" horizontalCentered="true" verticalCentered="false"/>
  <pageMargins left="0" right="0" top="0.196527777777778" bottom="0.354166666666667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7"/>
  <sheetViews>
    <sheetView showFormulas="false" showGridLines="true" showRowColHeaders="true" showZeros="false" rightToLeft="false" tabSelected="false" showOutlineSymbols="true" defaultGridColor="true" view="normal" topLeftCell="A202" colorId="64" zoomScale="90" zoomScaleNormal="90" zoomScalePageLayoutView="100" workbookViewId="0">
      <selection pane="topLeft" activeCell="L230" activeCellId="0" sqref="L23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76"/>
    <col collapsed="false" customWidth="true" hidden="false" outlineLevel="0" max="2" min="2" style="1" width="23.25"/>
    <col collapsed="false" customWidth="true" hidden="false" outlineLevel="0" max="3" min="3" style="1" width="7"/>
    <col collapsed="false" customWidth="true" hidden="false" outlineLevel="0" max="4" min="4" style="1" width="9.26"/>
    <col collapsed="false" customWidth="true" hidden="false" outlineLevel="0" max="6" min="6" style="1" width="5.37"/>
    <col collapsed="false" customWidth="true" hidden="false" outlineLevel="0" max="7" min="7" style="1" width="6.88"/>
    <col collapsed="false" customWidth="true" hidden="false" outlineLevel="0" max="8" min="8" style="1" width="5.63"/>
    <col collapsed="false" customWidth="true" hidden="false" outlineLevel="0" max="9" min="9" style="1" width="6.25"/>
    <col collapsed="false" customWidth="true" hidden="false" outlineLevel="0" max="10" min="10" style="1" width="9.12"/>
    <col collapsed="false" customWidth="true" hidden="false" outlineLevel="0" max="11" min="11" style="1" width="6.63"/>
    <col collapsed="false" customWidth="true" hidden="false" outlineLevel="0" max="12" min="12" style="1" width="7.63"/>
    <col collapsed="false" customWidth="true" hidden="false" outlineLevel="0" max="14" min="14" style="1" width="9.12"/>
    <col collapsed="false" customWidth="true" hidden="false" outlineLevel="0" max="15" min="15" style="1" width="9.63"/>
    <col collapsed="false" customWidth="true" hidden="false" outlineLevel="0" max="16" min="16" style="1" width="9.26"/>
    <col collapsed="false" customWidth="true" hidden="false" outlineLevel="0" max="17" min="17" style="1" width="9.12"/>
    <col collapsed="false" customWidth="true" hidden="false" outlineLevel="0" max="21" min="21" style="1" width="9.26"/>
  </cols>
  <sheetData>
    <row r="1" customFormat="false" ht="15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2" t="s">
        <v>1</v>
      </c>
      <c r="O1" s="2"/>
      <c r="P1" s="2"/>
      <c r="Q1" s="2"/>
    </row>
    <row r="2" customFormat="false" ht="18" hidden="false" customHeight="true" outlineLevel="0" collapsed="false">
      <c r="A2" s="3"/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8.75" hidden="false" customHeight="true" outlineLevel="0" collapsed="false">
      <c r="A3" s="3"/>
      <c r="B3" s="4" t="s">
        <v>671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true" outlineLevel="0" collapsed="false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60" hidden="false" customHeight="true" outlineLevel="0" collapsed="false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7</v>
      </c>
      <c r="Q6" s="19" t="s">
        <v>8</v>
      </c>
    </row>
    <row r="7" customFormat="false" ht="15" hidden="false" customHeight="true" outlineLevel="0" collapsed="false">
      <c r="A7" s="12" t="s">
        <v>19</v>
      </c>
      <c r="B7" s="12" t="str">
        <f aca="false">жовтень!B7</f>
        <v>Бережний В.М.</v>
      </c>
      <c r="C7" s="12" t="s">
        <v>21</v>
      </c>
      <c r="D7" s="14" t="n">
        <f aca="false">жовтень!P7</f>
        <v>3457.85</v>
      </c>
      <c r="E7" s="14" t="n">
        <f aca="false">жовтень!Q7</f>
        <v>0</v>
      </c>
      <c r="F7" s="13" t="n">
        <f aca="false">жовтень!F7</f>
        <v>0</v>
      </c>
      <c r="G7" s="13" t="n">
        <f aca="false">жовтень!G7</f>
        <v>64.26</v>
      </c>
      <c r="H7" s="13" t="n">
        <f aca="false">жовтень!H7</f>
        <v>0</v>
      </c>
      <c r="I7" s="13" t="n">
        <f aca="false">жовтень!I7</f>
        <v>4.1</v>
      </c>
      <c r="J7" s="14" t="n">
        <f aca="false">ROUND(G7*I7,2)</f>
        <v>263.47</v>
      </c>
      <c r="K7" s="14"/>
      <c r="L7" s="14"/>
      <c r="M7" s="14"/>
      <c r="N7" s="14" t="n">
        <f aca="false">ROUND((G7*I7)-K7-L7-M7,2)</f>
        <v>263.47</v>
      </c>
      <c r="O7" s="14"/>
      <c r="P7" s="14" t="n">
        <f aca="false">ROUND(IF(D7=0,IF((N7-E7-O7)&gt;0,(N7-E7-O7),0),IF((D7+N7-O7)&gt;0,(D7+N7-O7),0)),2)</f>
        <v>3721.32</v>
      </c>
      <c r="Q7" s="14" t="n">
        <f aca="false">ROUND(IF(E7=0,IF((D7+N7-O7)&lt;0,ABS(D7+N7-O7),0),IF((N7-E7-O7)&lt;0,ABS(N7-E7-O7),0)),2)</f>
        <v>0</v>
      </c>
    </row>
    <row r="8" customFormat="false" ht="15" hidden="false" customHeight="true" outlineLevel="0" collapsed="false">
      <c r="A8" s="12" t="s">
        <v>22</v>
      </c>
      <c r="B8" s="12" t="str">
        <f aca="false">жовтень!B8</f>
        <v>Старикова Т.О.</v>
      </c>
      <c r="C8" s="12" t="s">
        <v>24</v>
      </c>
      <c r="D8" s="14" t="n">
        <f aca="false">жовтень!P8</f>
        <v>1997.1</v>
      </c>
      <c r="E8" s="14" t="n">
        <f aca="false">жовтень!Q8</f>
        <v>0</v>
      </c>
      <c r="F8" s="13" t="n">
        <f aca="false">жовтень!F8</f>
        <v>0</v>
      </c>
      <c r="G8" s="13" t="n">
        <f aca="false">жовтень!G8</f>
        <v>48.71</v>
      </c>
      <c r="H8" s="13" t="n">
        <f aca="false">жовтень!H8</f>
        <v>0</v>
      </c>
      <c r="I8" s="13" t="n">
        <f aca="false">жовтень!I8</f>
        <v>4.1</v>
      </c>
      <c r="J8" s="14" t="n">
        <f aca="false">ROUND(G8*I8,2)</f>
        <v>199.71</v>
      </c>
      <c r="K8" s="14"/>
      <c r="L8" s="14"/>
      <c r="M8" s="14"/>
      <c r="N8" s="14" t="n">
        <f aca="false">ROUND((G8*I8)-K8-L8-M8,2)</f>
        <v>199.71</v>
      </c>
      <c r="O8" s="14"/>
      <c r="P8" s="14" t="n">
        <f aca="false">ROUND(IF(D8=0,IF((N8-E8-O8)&gt;0,(N8-E8-O8),0),IF((D8+N8-O8)&gt;0,(D8+N8-O8),0)),2)</f>
        <v>2196.81</v>
      </c>
      <c r="Q8" s="14" t="n">
        <f aca="false">ROUND(IF(E8=0,IF((D8+N8-O8)&lt;0,ABS(D8+N8-O8),0),IF((N8-E8-O8)&lt;0,ABS(N8-E8-O8),0)),2)</f>
        <v>0</v>
      </c>
    </row>
    <row r="9" customFormat="false" ht="15" hidden="false" customHeight="true" outlineLevel="0" collapsed="false">
      <c r="A9" s="12" t="s">
        <v>25</v>
      </c>
      <c r="B9" s="12" t="str">
        <f aca="false">жовтень!B9</f>
        <v>Мазур Т.В.</v>
      </c>
      <c r="C9" s="12" t="s">
        <v>27</v>
      </c>
      <c r="D9" s="14" t="n">
        <f aca="false">жовтень!P9</f>
        <v>1578.5</v>
      </c>
      <c r="E9" s="14" t="n">
        <f aca="false">жовтень!Q9</f>
        <v>0</v>
      </c>
      <c r="F9" s="13" t="n">
        <f aca="false">жовтень!F9</f>
        <v>0</v>
      </c>
      <c r="G9" s="13" t="n">
        <f aca="false">жовтень!G9</f>
        <v>35</v>
      </c>
      <c r="H9" s="13" t="n">
        <f aca="false">жовтень!H9</f>
        <v>0</v>
      </c>
      <c r="I9" s="13" t="n">
        <f aca="false">жовтень!I9</f>
        <v>4.1</v>
      </c>
      <c r="J9" s="14" t="n">
        <f aca="false">ROUND(G9*I9,2)</f>
        <v>143.5</v>
      </c>
      <c r="K9" s="14"/>
      <c r="L9" s="14"/>
      <c r="M9" s="14"/>
      <c r="N9" s="14" t="n">
        <f aca="false">ROUND((G9*I9)-K9-L9-M9,2)</f>
        <v>143.5</v>
      </c>
      <c r="O9" s="14"/>
      <c r="P9" s="14" t="n">
        <f aca="false">ROUND(IF(D9=0,IF((N9-E9-O9)&gt;0,(N9-E9-O9),0),IF((D9+N9-O9)&gt;0,(D9+N9-O9),0)),2)</f>
        <v>1722</v>
      </c>
      <c r="Q9" s="14" t="n">
        <f aca="false">ROUND(IF(E9=0,IF((D9+N9-O9)&lt;0,ABS(D9+N9-O9),0),IF((N9-E9-O9)&lt;0,ABS(N9-E9-O9),0)),2)</f>
        <v>0</v>
      </c>
    </row>
    <row r="10" customFormat="false" ht="15" hidden="false" customHeight="true" outlineLevel="0" collapsed="false">
      <c r="A10" s="12" t="s">
        <v>28</v>
      </c>
      <c r="B10" s="12" t="str">
        <f aca="false">жовтень!B10</f>
        <v>Сокол О.В.</v>
      </c>
      <c r="C10" s="12" t="s">
        <v>30</v>
      </c>
      <c r="D10" s="14" t="n">
        <f aca="false">жовтень!P10</f>
        <v>2273.04</v>
      </c>
      <c r="E10" s="14" t="n">
        <f aca="false">жовтень!Q10</f>
        <v>0</v>
      </c>
      <c r="F10" s="13" t="n">
        <f aca="false">жовтень!F10</f>
        <v>0</v>
      </c>
      <c r="G10" s="13" t="n">
        <f aca="false">жовтень!G10</f>
        <v>61.6</v>
      </c>
      <c r="H10" s="13" t="n">
        <f aca="false">жовтень!H10</f>
        <v>0</v>
      </c>
      <c r="I10" s="13" t="n">
        <f aca="false">жовтень!I10</f>
        <v>4.1</v>
      </c>
      <c r="J10" s="14" t="n">
        <f aca="false">ROUND(G10*I10,2)</f>
        <v>252.56</v>
      </c>
      <c r="K10" s="14"/>
      <c r="L10" s="14"/>
      <c r="M10" s="14"/>
      <c r="N10" s="14" t="n">
        <f aca="false">ROUND((G10*I10)-K10-L10-M10,2)</f>
        <v>252.56</v>
      </c>
      <c r="O10" s="14"/>
      <c r="P10" s="14" t="n">
        <f aca="false">ROUND(IF(D10=0,IF((N10-E10-O10)&gt;0,(N10-E10-O10),0),IF((D10+N10-O10)&gt;0,(D10+N10-O10),0)),2)</f>
        <v>2525.6</v>
      </c>
      <c r="Q10" s="14" t="n">
        <f aca="false">ROUND(IF(E10=0,IF((D10+N10-O10)&lt;0,ABS(D10+N10-O10),0),IF((N10-E10-O10)&lt;0,ABS(N10-E10-O10),0)),2)</f>
        <v>0</v>
      </c>
    </row>
    <row r="11" customFormat="false" ht="15" hidden="false" customHeight="true" outlineLevel="0" collapsed="false">
      <c r="A11" s="12" t="s">
        <v>31</v>
      </c>
      <c r="B11" s="12" t="str">
        <f aca="false">жовтень!B11</f>
        <v>Семко Л.І.</v>
      </c>
      <c r="C11" s="12" t="s">
        <v>33</v>
      </c>
      <c r="D11" s="14" t="n">
        <f aca="false">жовтень!P11</f>
        <v>3805.77</v>
      </c>
      <c r="E11" s="14" t="n">
        <f aca="false">жовтень!Q11</f>
        <v>0</v>
      </c>
      <c r="F11" s="13" t="n">
        <f aca="false">жовтень!F11</f>
        <v>0</v>
      </c>
      <c r="G11" s="13" t="n">
        <f aca="false">жовтень!G11</f>
        <v>28.34</v>
      </c>
      <c r="H11" s="13" t="n">
        <f aca="false">жовтень!H11</f>
        <v>0</v>
      </c>
      <c r="I11" s="13" t="n">
        <f aca="false">жовтень!I11</f>
        <v>4.1</v>
      </c>
      <c r="J11" s="14" t="n">
        <f aca="false">ROUND(G11*I11,2)</f>
        <v>116.19</v>
      </c>
      <c r="K11" s="14"/>
      <c r="L11" s="14"/>
      <c r="M11" s="14"/>
      <c r="N11" s="14" t="n">
        <f aca="false">ROUND((G11*I11)-K11-L11-M11,2)</f>
        <v>116.19</v>
      </c>
      <c r="O11" s="14"/>
      <c r="P11" s="14" t="n">
        <f aca="false">ROUND(IF(D11=0,IF((N11-E11-O11)&gt;0,(N11-E11-O11),0),IF((D11+N11-O11)&gt;0,(D11+N11-O11),0)),2)</f>
        <v>3921.96</v>
      </c>
      <c r="Q11" s="14" t="n">
        <f aca="false">ROUND(IF(E11=0,IF((D11+N11-O11)&lt;0,ABS(D11+N11-O11),0),IF((N11-E11-O11)&lt;0,ABS(N11-E11-O11),0)),2)</f>
        <v>0</v>
      </c>
    </row>
    <row r="12" customFormat="false" ht="15" hidden="false" customHeight="true" outlineLevel="0" collapsed="false">
      <c r="A12" s="12" t="s">
        <v>31</v>
      </c>
      <c r="B12" s="12" t="str">
        <f aca="false">жовтень!B12</f>
        <v>Гаркуша Н.І.</v>
      </c>
      <c r="C12" s="12" t="s">
        <v>35</v>
      </c>
      <c r="D12" s="14" t="n">
        <f aca="false">жовтень!P12</f>
        <v>2312.36</v>
      </c>
      <c r="E12" s="14" t="n">
        <f aca="false">жовтень!Q12</f>
        <v>0</v>
      </c>
      <c r="F12" s="13" t="n">
        <f aca="false">жовтень!F12</f>
        <v>0</v>
      </c>
      <c r="G12" s="13" t="n">
        <f aca="false">жовтень!G12</f>
        <v>36.66</v>
      </c>
      <c r="H12" s="13" t="n">
        <f aca="false">жовтень!H12</f>
        <v>0</v>
      </c>
      <c r="I12" s="13" t="n">
        <f aca="false">жовтень!I12</f>
        <v>4.1</v>
      </c>
      <c r="J12" s="14" t="n">
        <f aca="false">ROUND(G12*I12,2)</f>
        <v>150.31</v>
      </c>
      <c r="K12" s="14"/>
      <c r="L12" s="14"/>
      <c r="M12" s="14"/>
      <c r="N12" s="14" t="n">
        <f aca="false">ROUND((G12*I12)-K12-L12-M12,2)</f>
        <v>150.31</v>
      </c>
      <c r="O12" s="14"/>
      <c r="P12" s="14" t="n">
        <f aca="false">ROUND(IF(D12=0,IF((N12-E12-O12)&gt;0,(N12-E12-O12),0),IF((D12+N12-O12)&gt;0,(D12+N12-O12),0)),2)</f>
        <v>2462.67</v>
      </c>
      <c r="Q12" s="14" t="n">
        <f aca="false">ROUND(IF(E12=0,IF((D12+N12-O12)&lt;0,ABS(D12+N12-O12),0),IF((N12-E12-O12)&lt;0,ABS(N12-E12-O12),0)),2)</f>
        <v>0</v>
      </c>
    </row>
    <row r="13" customFormat="false" ht="15" hidden="false" customHeight="true" outlineLevel="0" collapsed="false">
      <c r="A13" s="12" t="s">
        <v>36</v>
      </c>
      <c r="B13" s="12" t="str">
        <f aca="false">жовтень!B13</f>
        <v>Андріяшев В.М</v>
      </c>
      <c r="C13" s="12" t="s">
        <v>38</v>
      </c>
      <c r="D13" s="14" t="n">
        <f aca="false">жовтень!P13</f>
        <v>2176.36</v>
      </c>
      <c r="E13" s="14" t="n">
        <f aca="false">жовтень!Q13</f>
        <v>0</v>
      </c>
      <c r="F13" s="13" t="n">
        <f aca="false">жовтень!F13</f>
        <v>0</v>
      </c>
      <c r="G13" s="13" t="n">
        <f aca="false">жовтень!G13</f>
        <v>49.8</v>
      </c>
      <c r="H13" s="13" t="n">
        <f aca="false">жовтень!H13</f>
        <v>0</v>
      </c>
      <c r="I13" s="13" t="n">
        <f aca="false">жовтень!I13</f>
        <v>4.1</v>
      </c>
      <c r="J13" s="14" t="n">
        <f aca="false">ROUND(G13*I13,2)</f>
        <v>204.18</v>
      </c>
      <c r="K13" s="14"/>
      <c r="L13" s="14"/>
      <c r="M13" s="14"/>
      <c r="N13" s="14" t="n">
        <f aca="false">ROUND((G13*I13)-K13-L13-M13,2)</f>
        <v>204.18</v>
      </c>
      <c r="O13" s="14"/>
      <c r="P13" s="14" t="n">
        <f aca="false">ROUND(IF(D13=0,IF((N13-E13-O13)&gt;0,(N13-E13-O13),0),IF((D13+N13-O13)&gt;0,(D13+N13-O13),0)),2)</f>
        <v>2380.54</v>
      </c>
      <c r="Q13" s="14" t="n">
        <f aca="false">ROUND(IF(E13=0,IF((D13+N13-O13)&lt;0,ABS(D13+N13-O13),0),IF((N13-E13-O13)&lt;0,ABS(N13-E13-O13),0)),2)</f>
        <v>0</v>
      </c>
    </row>
    <row r="14" customFormat="false" ht="15" hidden="false" customHeight="true" outlineLevel="0" collapsed="false">
      <c r="A14" s="12" t="s">
        <v>39</v>
      </c>
      <c r="B14" s="12" t="str">
        <f aca="false">жовтень!B14</f>
        <v>Старчикова О.М.</v>
      </c>
      <c r="C14" s="12" t="s">
        <v>41</v>
      </c>
      <c r="D14" s="14" t="n">
        <f aca="false">жовтень!P14</f>
        <v>1562.77</v>
      </c>
      <c r="E14" s="14" t="n">
        <f aca="false">жовтень!Q14</f>
        <v>0</v>
      </c>
      <c r="F14" s="13" t="n">
        <f aca="false">жовтень!F14</f>
        <v>0</v>
      </c>
      <c r="G14" s="13" t="n">
        <f aca="false">жовтень!G14</f>
        <v>34.65</v>
      </c>
      <c r="H14" s="13" t="n">
        <f aca="false">жовтень!H14</f>
        <v>0</v>
      </c>
      <c r="I14" s="13" t="n">
        <f aca="false">жовтень!I14</f>
        <v>4.1</v>
      </c>
      <c r="J14" s="14" t="n">
        <f aca="false">ROUND(G14*I14,2)</f>
        <v>142.07</v>
      </c>
      <c r="K14" s="14"/>
      <c r="L14" s="14"/>
      <c r="M14" s="14"/>
      <c r="N14" s="14" t="n">
        <f aca="false">ROUND((G14*I14)-K14-L14-M14,2)</f>
        <v>142.07</v>
      </c>
      <c r="O14" s="14"/>
      <c r="P14" s="14" t="n">
        <f aca="false">ROUND(IF(D14=0,IF((N14-E14-O14)&gt;0,(N14-E14-O14),0),IF((D14+N14-O14)&gt;0,(D14+N14-O14),0)),2)</f>
        <v>1704.84</v>
      </c>
      <c r="Q14" s="14" t="n">
        <f aca="false">ROUND(IF(E14=0,IF((D14+N14-O14)&lt;0,ABS(D14+N14-O14),0),IF((N14-E14-O14)&lt;0,ABS(N14-E14-O14),0)),2)</f>
        <v>0</v>
      </c>
    </row>
    <row r="15" customFormat="false" ht="15" hidden="false" customHeight="true" outlineLevel="0" collapsed="false">
      <c r="A15" s="12" t="s">
        <v>42</v>
      </c>
      <c r="B15" s="12" t="str">
        <f aca="false">жовтень!B15</f>
        <v>Безер Т.М</v>
      </c>
      <c r="C15" s="12" t="s">
        <v>44</v>
      </c>
      <c r="D15" s="14" t="n">
        <f aca="false">жовтень!P15</f>
        <v>2540.67</v>
      </c>
      <c r="E15" s="14" t="n">
        <f aca="false">жовтень!Q15</f>
        <v>0</v>
      </c>
      <c r="F15" s="13" t="n">
        <f aca="false">жовтень!F15</f>
        <v>0</v>
      </c>
      <c r="G15" s="13" t="n">
        <f aca="false">жовтень!G15</f>
        <v>62.14</v>
      </c>
      <c r="H15" s="13" t="n">
        <f aca="false">жовтень!H15</f>
        <v>0</v>
      </c>
      <c r="I15" s="13" t="n">
        <f aca="false">жовтень!I15</f>
        <v>4.1</v>
      </c>
      <c r="J15" s="14" t="n">
        <f aca="false">ROUND(G15*I15,2)</f>
        <v>254.77</v>
      </c>
      <c r="K15" s="14"/>
      <c r="L15" s="14"/>
      <c r="M15" s="14"/>
      <c r="N15" s="14" t="n">
        <f aca="false">ROUND((G15*I15)-K15-L15-M15,2)</f>
        <v>254.77</v>
      </c>
      <c r="O15" s="14"/>
      <c r="P15" s="14" t="n">
        <f aca="false">ROUND(IF(D15=0,IF((N15-E15-O15)&gt;0,(N15-E15-O15),0),IF((D15+N15-O15)&gt;0,(D15+N15-O15),0)),2)</f>
        <v>2795.44</v>
      </c>
      <c r="Q15" s="14" t="n">
        <f aca="false">ROUND(IF(E15=0,IF((D15+N15-O15)&lt;0,ABS(D15+N15-O15),0),IF((N15-E15-O15)&lt;0,ABS(N15-E15-O15),0)),2)</f>
        <v>0</v>
      </c>
    </row>
    <row r="16" customFormat="false" ht="15" hidden="false" customHeight="true" outlineLevel="0" collapsed="false">
      <c r="A16" s="12" t="s">
        <v>45</v>
      </c>
      <c r="B16" s="12" t="str">
        <f aca="false">жовтень!B16</f>
        <v>Решетило М.М</v>
      </c>
      <c r="C16" s="12" t="s">
        <v>47</v>
      </c>
      <c r="D16" s="14" t="n">
        <f aca="false">жовтень!P16</f>
        <v>3473.32</v>
      </c>
      <c r="E16" s="14" t="n">
        <f aca="false">жовтень!Q16</f>
        <v>0</v>
      </c>
      <c r="F16" s="13" t="n">
        <f aca="false">жовтень!F16</f>
        <v>0</v>
      </c>
      <c r="G16" s="13" t="n">
        <f aca="false">жовтень!G16</f>
        <v>65.16</v>
      </c>
      <c r="H16" s="13" t="n">
        <f aca="false">жовтень!H16</f>
        <v>0</v>
      </c>
      <c r="I16" s="13" t="n">
        <f aca="false">жовтень!I16</f>
        <v>4.1</v>
      </c>
      <c r="J16" s="14" t="n">
        <f aca="false">ROUND(G16*I16,2)</f>
        <v>267.16</v>
      </c>
      <c r="K16" s="14"/>
      <c r="L16" s="14"/>
      <c r="M16" s="14"/>
      <c r="N16" s="14" t="n">
        <f aca="false">ROUND((G16*I16)-K16-L16-M16,2)</f>
        <v>267.16</v>
      </c>
      <c r="O16" s="14"/>
      <c r="P16" s="14" t="n">
        <f aca="false">ROUND(IF(D16=0,IF((N16-E16-O16)&gt;0,(N16-E16-O16),0),IF((D16+N16-O16)&gt;0,(D16+N16-O16),0)),2)</f>
        <v>3740.48</v>
      </c>
      <c r="Q16" s="14" t="n">
        <f aca="false">ROUND(IF(E16=0,IF((D16+N16-O16)&lt;0,ABS(D16+N16-O16),0),IF((N16-E16-O16)&lt;0,ABS(N16-E16-O16),0)),2)</f>
        <v>0</v>
      </c>
    </row>
    <row r="17" customFormat="false" ht="15" hidden="false" customHeight="true" outlineLevel="0" collapsed="false">
      <c r="A17" s="12" t="s">
        <v>48</v>
      </c>
      <c r="B17" s="12" t="str">
        <f aca="false">жовтень!B17</f>
        <v>Фесенко О.В.</v>
      </c>
      <c r="C17" s="12" t="s">
        <v>50</v>
      </c>
      <c r="D17" s="14" t="n">
        <f aca="false">жовтень!P17</f>
        <v>6930.79</v>
      </c>
      <c r="E17" s="14" t="n">
        <f aca="false">жовтень!Q17</f>
        <v>0</v>
      </c>
      <c r="F17" s="13" t="n">
        <f aca="false">жовтень!F17</f>
        <v>0</v>
      </c>
      <c r="G17" s="13" t="n">
        <f aca="false">жовтень!G17</f>
        <v>50.1</v>
      </c>
      <c r="H17" s="13" t="n">
        <f aca="false">жовтень!H17</f>
        <v>0</v>
      </c>
      <c r="I17" s="13" t="n">
        <f aca="false">жовтень!I17</f>
        <v>4.1</v>
      </c>
      <c r="J17" s="14" t="n">
        <f aca="false">ROUND(G17*I17,2)</f>
        <v>205.41</v>
      </c>
      <c r="K17" s="14"/>
      <c r="L17" s="14"/>
      <c r="M17" s="14"/>
      <c r="N17" s="14" t="n">
        <f aca="false">ROUND((G17*I17)-K17-L17-M17,2)</f>
        <v>205.41</v>
      </c>
      <c r="O17" s="14"/>
      <c r="P17" s="14" t="n">
        <f aca="false">ROUND(IF(D17=0,IF((N17-E17-O17)&gt;0,(N17-E17-O17),0),IF((D17+N17-O17)&gt;0,(D17+N17-O17),0)),2)</f>
        <v>7136.2</v>
      </c>
      <c r="Q17" s="14" t="n">
        <f aca="false">ROUND(IF(E17=0,IF((D17+N17-O17)&lt;0,ABS(D17+N17-O17),0),IF((N17-E17-O17)&lt;0,ABS(N17-E17-O17),0)),2)</f>
        <v>0</v>
      </c>
    </row>
    <row r="18" customFormat="false" ht="15" hidden="false" customHeight="true" outlineLevel="0" collapsed="false">
      <c r="A18" s="12" t="s">
        <v>51</v>
      </c>
      <c r="B18" s="12" t="str">
        <f aca="false">жовтень!B18</f>
        <v>Петренко О.М.</v>
      </c>
      <c r="C18" s="12" t="s">
        <v>53</v>
      </c>
      <c r="D18" s="14" t="n">
        <f aca="false">жовтень!P18</f>
        <v>2991.4</v>
      </c>
      <c r="E18" s="14" t="n">
        <f aca="false">жовтень!Q18</f>
        <v>0</v>
      </c>
      <c r="F18" s="13" t="n">
        <f aca="false">жовтень!F18</f>
        <v>0</v>
      </c>
      <c r="G18" s="13" t="n">
        <f aca="false">жовтень!G18</f>
        <v>35.2</v>
      </c>
      <c r="H18" s="13" t="n">
        <f aca="false">жовтень!H18</f>
        <v>0</v>
      </c>
      <c r="I18" s="13" t="n">
        <f aca="false">жовтень!I18</f>
        <v>4.1</v>
      </c>
      <c r="J18" s="14" t="n">
        <f aca="false">ROUND(G18*I18,2)</f>
        <v>144.32</v>
      </c>
      <c r="K18" s="14"/>
      <c r="L18" s="14"/>
      <c r="M18" s="14"/>
      <c r="N18" s="14" t="n">
        <f aca="false">ROUND((G18*I18)-K18-L18-M18,2)</f>
        <v>144.32</v>
      </c>
      <c r="O18" s="14"/>
      <c r="P18" s="14" t="n">
        <f aca="false">ROUND(IF(D18=0,IF((N18-E18-O18)&gt;0,(N18-E18-O18),0),IF((D18+N18-O18)&gt;0,(D18+N18-O18),0)),2)</f>
        <v>3135.72</v>
      </c>
      <c r="Q18" s="14" t="n">
        <f aca="false">ROUND(IF(E18=0,IF((D18+N18-O18)&lt;0,ABS(D18+N18-O18),0),IF((N18-E18-O18)&lt;0,ABS(N18-E18-O18),0)),2)</f>
        <v>0</v>
      </c>
    </row>
    <row r="19" customFormat="false" ht="15" hidden="false" customHeight="true" outlineLevel="0" collapsed="false">
      <c r="A19" s="12" t="s">
        <v>54</v>
      </c>
      <c r="B19" s="12" t="str">
        <f aca="false">жовтень!B19</f>
        <v>Зеленюк А.Д</v>
      </c>
      <c r="C19" s="12" t="s">
        <v>56</v>
      </c>
      <c r="D19" s="14" t="n">
        <f aca="false">жовтень!P19</f>
        <v>14753.61</v>
      </c>
      <c r="E19" s="14" t="n">
        <f aca="false">жовтень!Q19</f>
        <v>0</v>
      </c>
      <c r="F19" s="13" t="n">
        <f aca="false">жовтень!F19</f>
        <v>0</v>
      </c>
      <c r="G19" s="13" t="n">
        <f aca="false">жовтень!G19</f>
        <v>62.78</v>
      </c>
      <c r="H19" s="13" t="n">
        <f aca="false">жовтень!H19</f>
        <v>0</v>
      </c>
      <c r="I19" s="13" t="n">
        <f aca="false">жовтень!I19</f>
        <v>4.1</v>
      </c>
      <c r="J19" s="14" t="n">
        <f aca="false">ROUND(G19*I19,2)</f>
        <v>257.4</v>
      </c>
      <c r="K19" s="14"/>
      <c r="L19" s="14"/>
      <c r="M19" s="14"/>
      <c r="N19" s="14" t="n">
        <f aca="false">ROUND((G19*I19)-K19-L19-M19,2)</f>
        <v>257.4</v>
      </c>
      <c r="O19" s="14"/>
      <c r="P19" s="14" t="n">
        <f aca="false">ROUND(IF(D19=0,IF((N19-E19-O19)&gt;0,(N19-E19-O19),0),IF((D19+N19-O19)&gt;0,(D19+N19-O19),0)),2)</f>
        <v>15011.01</v>
      </c>
      <c r="Q19" s="14" t="n">
        <f aca="false">ROUND(IF(E19=0,IF((D19+N19-O19)&lt;0,ABS(D19+N19-O19),0),IF((N19-E19-O19)&lt;0,ABS(N19-E19-O19),0)),2)</f>
        <v>0</v>
      </c>
    </row>
    <row r="20" customFormat="false" ht="15" hidden="false" customHeight="true" outlineLevel="0" collapsed="false">
      <c r="A20" s="12" t="s">
        <v>57</v>
      </c>
      <c r="B20" s="12" t="str">
        <f aca="false">жовтень!B20</f>
        <v>Вовк І.В</v>
      </c>
      <c r="C20" s="12" t="s">
        <v>59</v>
      </c>
      <c r="D20" s="14" t="n">
        <f aca="false">жовтень!P20</f>
        <v>6356.46</v>
      </c>
      <c r="E20" s="14" t="n">
        <f aca="false">жовтень!Q20</f>
        <v>0</v>
      </c>
      <c r="F20" s="13" t="n">
        <f aca="false">жовтень!F20</f>
        <v>0</v>
      </c>
      <c r="G20" s="13" t="n">
        <f aca="false">жовтень!G20</f>
        <v>28.23</v>
      </c>
      <c r="H20" s="13" t="n">
        <f aca="false">жовтень!H20</f>
        <v>0</v>
      </c>
      <c r="I20" s="13" t="n">
        <f aca="false">жовтень!I20</f>
        <v>4.1</v>
      </c>
      <c r="J20" s="14" t="n">
        <f aca="false">ROUND(G20*I20,2)</f>
        <v>115.74</v>
      </c>
      <c r="K20" s="14"/>
      <c r="L20" s="14"/>
      <c r="M20" s="14"/>
      <c r="N20" s="14" t="n">
        <f aca="false">ROUND((G20*I20)-K20-L20-M20,2)</f>
        <v>115.74</v>
      </c>
      <c r="O20" s="14"/>
      <c r="P20" s="14" t="n">
        <f aca="false">ROUND(IF(D20=0,IF((N20-E20-O20)&gt;0,(N20-E20-O20),0),IF((D20+N20-O20)&gt;0,(D20+N20-O20),0)),2)</f>
        <v>6472.2</v>
      </c>
      <c r="Q20" s="14" t="n">
        <f aca="false">ROUND(IF(E20=0,IF((D20+N20-O20)&lt;0,ABS(D20+N20-O20),0),IF((N20-E20-O20)&lt;0,ABS(N20-E20-O20),0)),2)</f>
        <v>0</v>
      </c>
    </row>
    <row r="21" customFormat="false" ht="15" hidden="false" customHeight="true" outlineLevel="0" collapsed="false">
      <c r="A21" s="12" t="s">
        <v>57</v>
      </c>
      <c r="B21" s="12" t="str">
        <f aca="false">жовтень!B21</f>
        <v>Романовський В.М</v>
      </c>
      <c r="C21" s="12" t="s">
        <v>61</v>
      </c>
      <c r="D21" s="14" t="n">
        <f aca="false">жовтень!P21</f>
        <v>7003.08</v>
      </c>
      <c r="E21" s="14" t="n">
        <f aca="false">жовтень!Q21</f>
        <v>0</v>
      </c>
      <c r="F21" s="13" t="n">
        <f aca="false">жовтень!F21</f>
        <v>0</v>
      </c>
      <c r="G21" s="13" t="n">
        <f aca="false">жовтень!G21</f>
        <v>37.84</v>
      </c>
      <c r="H21" s="13" t="n">
        <f aca="false">жовтень!H21</f>
        <v>0</v>
      </c>
      <c r="I21" s="13" t="n">
        <f aca="false">жовтень!I21</f>
        <v>4.1</v>
      </c>
      <c r="J21" s="14" t="n">
        <f aca="false">ROUND(G21*I21,2)</f>
        <v>155.14</v>
      </c>
      <c r="K21" s="14"/>
      <c r="L21" s="14"/>
      <c r="M21" s="14"/>
      <c r="N21" s="14" t="n">
        <f aca="false">ROUND((G21*I21)-K21-L21-M21,2)</f>
        <v>155.14</v>
      </c>
      <c r="O21" s="14"/>
      <c r="P21" s="14" t="n">
        <f aca="false">ROUND(IF(D21=0,IF((N21-E21-O21)&gt;0,(N21-E21-O21),0),IF((D21+N21-O21)&gt;0,(D21+N21-O21),0)),2)</f>
        <v>7158.22</v>
      </c>
      <c r="Q21" s="14" t="n">
        <f aca="false">ROUND(IF(E21=0,IF((D21+N21-O21)&lt;0,ABS(D21+N21-O21),0),IF((N21-E21-O21)&lt;0,ABS(N21-E21-O21),0)),2)</f>
        <v>0</v>
      </c>
    </row>
    <row r="22" customFormat="false" ht="15" hidden="false" customHeight="true" outlineLevel="0" collapsed="false">
      <c r="A22" s="12" t="s">
        <v>62</v>
      </c>
      <c r="B22" s="12" t="str">
        <f aca="false">жовтень!B22</f>
        <v>Ряба Л.І</v>
      </c>
      <c r="C22" s="12" t="s">
        <v>64</v>
      </c>
      <c r="D22" s="14" t="n">
        <f aca="false">жовтень!P22</f>
        <v>2085.36</v>
      </c>
      <c r="E22" s="14" t="n">
        <f aca="false">жовтень!Q22</f>
        <v>0</v>
      </c>
      <c r="F22" s="13" t="n">
        <f aca="false">жовтень!F22</f>
        <v>0</v>
      </c>
      <c r="G22" s="13" t="n">
        <f aca="false">жовтень!G22</f>
        <v>49.24</v>
      </c>
      <c r="H22" s="13" t="n">
        <f aca="false">жовтень!H22</f>
        <v>0</v>
      </c>
      <c r="I22" s="13" t="n">
        <f aca="false">жовтень!I22</f>
        <v>4.1</v>
      </c>
      <c r="J22" s="14" t="n">
        <f aca="false">ROUND(G22*I22,2)</f>
        <v>201.88</v>
      </c>
      <c r="K22" s="14"/>
      <c r="L22" s="14"/>
      <c r="M22" s="14"/>
      <c r="N22" s="14" t="n">
        <f aca="false">ROUND((G22*I22)-K22-L22-M22,2)</f>
        <v>201.88</v>
      </c>
      <c r="O22" s="14"/>
      <c r="P22" s="14" t="n">
        <f aca="false">ROUND(IF(D22=0,IF((N22-E22-O22)&gt;0,(N22-E22-O22),0),IF((D22+N22-O22)&gt;0,(D22+N22-O22),0)),2)</f>
        <v>2287.24</v>
      </c>
      <c r="Q22" s="14" t="n">
        <f aca="false">ROUND(IF(E22=0,IF((D22+N22-O22)&lt;0,ABS(D22+N22-O22),0),IF((N22-E22-O22)&lt;0,ABS(N22-E22-O22),0)),2)</f>
        <v>0</v>
      </c>
    </row>
    <row r="23" customFormat="false" ht="15" hidden="false" customHeight="true" outlineLevel="0" collapsed="false">
      <c r="A23" s="12" t="s">
        <v>65</v>
      </c>
      <c r="B23" s="12" t="str">
        <f aca="false">жовтень!B23</f>
        <v>Кас'янова О.А.</v>
      </c>
      <c r="C23" s="12" t="s">
        <v>67</v>
      </c>
      <c r="D23" s="14" t="n">
        <f aca="false">жовтень!P23</f>
        <v>1874.9</v>
      </c>
      <c r="E23" s="14" t="n">
        <f aca="false">жовтень!Q23</f>
        <v>0</v>
      </c>
      <c r="F23" s="13" t="n">
        <f aca="false">жовтень!F23</f>
        <v>0</v>
      </c>
      <c r="G23" s="13" t="n">
        <f aca="false">жовтень!G23</f>
        <v>35.1</v>
      </c>
      <c r="H23" s="13" t="n">
        <f aca="false">жовтень!H23</f>
        <v>0</v>
      </c>
      <c r="I23" s="13" t="n">
        <f aca="false">жовтень!I23</f>
        <v>4.1</v>
      </c>
      <c r="J23" s="14" t="n">
        <f aca="false">ROUND(G23*I23,2)</f>
        <v>143.91</v>
      </c>
      <c r="K23" s="14"/>
      <c r="L23" s="14"/>
      <c r="M23" s="14"/>
      <c r="N23" s="14" t="n">
        <f aca="false">ROUND((G23*I23)-K23-L23-M23,2)</f>
        <v>143.91</v>
      </c>
      <c r="O23" s="14"/>
      <c r="P23" s="14" t="n">
        <f aca="false">ROUND(IF(D23=0,IF((N23-E23-O23)&gt;0,(N23-E23-O23),0),IF((D23+N23-O23)&gt;0,(D23+N23-O23),0)),2)</f>
        <v>2018.81</v>
      </c>
      <c r="Q23" s="14" t="n">
        <f aca="false">ROUND(IF(E23=0,IF((D23+N23-O23)&lt;0,ABS(D23+N23-O23),0),IF((N23-E23-O23)&lt;0,ABS(N23-E23-O23),0)),2)</f>
        <v>0</v>
      </c>
    </row>
    <row r="24" customFormat="false" ht="15" hidden="false" customHeight="true" outlineLevel="0" collapsed="false">
      <c r="A24" s="12" t="s">
        <v>68</v>
      </c>
      <c r="B24" s="12" t="str">
        <f aca="false">жовтень!B24</f>
        <v>Корякіна М.В.</v>
      </c>
      <c r="C24" s="12" t="s">
        <v>70</v>
      </c>
      <c r="D24" s="14" t="n">
        <f aca="false">жовтень!P24</f>
        <v>7237.9</v>
      </c>
      <c r="E24" s="14" t="n">
        <f aca="false">жовтень!Q24</f>
        <v>0</v>
      </c>
      <c r="F24" s="13" t="n">
        <f aca="false">жовтень!F24</f>
        <v>0</v>
      </c>
      <c r="G24" s="13" t="n">
        <f aca="false">жовтень!G24</f>
        <v>61.9</v>
      </c>
      <c r="H24" s="13" t="n">
        <f aca="false">жовтень!H24</f>
        <v>0</v>
      </c>
      <c r="I24" s="13" t="n">
        <f aca="false">жовтень!I24</f>
        <v>4.1</v>
      </c>
      <c r="J24" s="14" t="n">
        <f aca="false">ROUND(G24*I24,2)</f>
        <v>253.79</v>
      </c>
      <c r="K24" s="14"/>
      <c r="L24" s="14"/>
      <c r="M24" s="14"/>
      <c r="N24" s="14" t="n">
        <f aca="false">ROUND((G24*I24)-K24-L24-M24,2)</f>
        <v>253.79</v>
      </c>
      <c r="O24" s="14"/>
      <c r="P24" s="14" t="n">
        <f aca="false">ROUND(IF(D24=0,IF((N24-E24-O24)&gt;0,(N24-E24-O24),0),IF((D24+N24-O24)&gt;0,(D24+N24-O24),0)),2)</f>
        <v>7491.69</v>
      </c>
      <c r="Q24" s="14" t="n">
        <f aca="false">ROUND(IF(E24=0,IF((D24+N24-O24)&lt;0,ABS(D24+N24-O24),0),IF((N24-E24-O24)&lt;0,ABS(N24-E24-O24),0)),2)</f>
        <v>0</v>
      </c>
    </row>
    <row r="25" customFormat="false" ht="15" hidden="false" customHeight="true" outlineLevel="0" collapsed="false">
      <c r="A25" s="12" t="s">
        <v>71</v>
      </c>
      <c r="B25" s="12" t="str">
        <f aca="false">жовтень!B25</f>
        <v>Сокерчак А.В.</v>
      </c>
      <c r="C25" s="12" t="s">
        <v>73</v>
      </c>
      <c r="D25" s="14" t="n">
        <f aca="false">жовтень!P25</f>
        <v>2990.13</v>
      </c>
      <c r="E25" s="14" t="n">
        <f aca="false">жовтень!Q25</f>
        <v>0</v>
      </c>
      <c r="F25" s="13" t="n">
        <f aca="false">жовтень!F25</f>
        <v>0</v>
      </c>
      <c r="G25" s="13" t="n">
        <f aca="false">жовтень!G25</f>
        <v>66.3</v>
      </c>
      <c r="H25" s="13" t="n">
        <f aca="false">жовтень!H25</f>
        <v>0</v>
      </c>
      <c r="I25" s="13" t="n">
        <f aca="false">жовтень!I25</f>
        <v>4.1</v>
      </c>
      <c r="J25" s="14" t="n">
        <f aca="false">ROUND(G25*I25,2)</f>
        <v>271.83</v>
      </c>
      <c r="K25" s="14"/>
      <c r="L25" s="14"/>
      <c r="M25" s="14"/>
      <c r="N25" s="14" t="n">
        <f aca="false">ROUND((G25*I25)-K25-L25-M25,2)</f>
        <v>271.83</v>
      </c>
      <c r="O25" s="14"/>
      <c r="P25" s="14" t="n">
        <f aca="false">ROUND(IF(D25=0,IF((N25-E25-O25)&gt;0,(N25-E25-O25),0),IF((D25+N25-O25)&gt;0,(D25+N25-O25),0)),2)</f>
        <v>3261.96</v>
      </c>
      <c r="Q25" s="14" t="n">
        <f aca="false">ROUND(IF(E25=0,IF((D25+N25-O25)&lt;0,ABS(D25+N25-O25),0),IF((N25-E25-O25)&lt;0,ABS(N25-E25-O25),0)),2)</f>
        <v>0</v>
      </c>
    </row>
    <row r="26" customFormat="false" ht="15" hidden="false" customHeight="true" outlineLevel="0" collapsed="false">
      <c r="A26" s="12" t="s">
        <v>74</v>
      </c>
      <c r="B26" s="12" t="str">
        <f aca="false">жовтень!B26</f>
        <v>Кравченко В.А</v>
      </c>
      <c r="C26" s="12" t="s">
        <v>76</v>
      </c>
      <c r="D26" s="14" t="n">
        <f aca="false">жовтень!P26</f>
        <v>2110.7</v>
      </c>
      <c r="E26" s="14" t="n">
        <f aca="false">жовтень!Q26</f>
        <v>0</v>
      </c>
      <c r="F26" s="13" t="n">
        <f aca="false">жовтень!F26</f>
        <v>0</v>
      </c>
      <c r="G26" s="13" t="n">
        <f aca="false">жовтень!G26</f>
        <v>51.48</v>
      </c>
      <c r="H26" s="13" t="n">
        <f aca="false">жовтень!H26</f>
        <v>0</v>
      </c>
      <c r="I26" s="13" t="n">
        <f aca="false">жовтень!I26</f>
        <v>4.1</v>
      </c>
      <c r="J26" s="14" t="n">
        <f aca="false">ROUND(G26*I26,2)</f>
        <v>211.07</v>
      </c>
      <c r="K26" s="14"/>
      <c r="L26" s="14"/>
      <c r="M26" s="14"/>
      <c r="N26" s="14" t="n">
        <f aca="false">ROUND((G26*I26)-K26-L26-M26,2)</f>
        <v>211.07</v>
      </c>
      <c r="O26" s="14"/>
      <c r="P26" s="14" t="n">
        <f aca="false">ROUND(IF(D26=0,IF((N26-E26-O26)&gt;0,(N26-E26-O26),0),IF((D26+N26-O26)&gt;0,(D26+N26-O26),0)),2)</f>
        <v>2321.77</v>
      </c>
      <c r="Q26" s="14" t="n">
        <f aca="false">ROUND(IF(E26=0,IF((D26+N26-O26)&lt;0,ABS(D26+N26-O26),0),IF((N26-E26-O26)&lt;0,ABS(N26-E26-O26),0)),2)</f>
        <v>0</v>
      </c>
    </row>
    <row r="27" customFormat="false" ht="15" hidden="false" customHeight="true" outlineLevel="0" collapsed="false">
      <c r="A27" s="12" t="s">
        <v>77</v>
      </c>
      <c r="B27" s="12" t="str">
        <f aca="false">жовтень!B27</f>
        <v>Чичикало А.С</v>
      </c>
      <c r="C27" s="12" t="s">
        <v>79</v>
      </c>
      <c r="D27" s="14" t="n">
        <f aca="false">жовтень!P27</f>
        <v>868.24</v>
      </c>
      <c r="E27" s="14" t="n">
        <f aca="false">жовтень!Q27</f>
        <v>0</v>
      </c>
      <c r="F27" s="13" t="n">
        <f aca="false">жовтень!F27</f>
        <v>0</v>
      </c>
      <c r="G27" s="13" t="n">
        <f aca="false">жовтень!G27</f>
        <v>35.1</v>
      </c>
      <c r="H27" s="13" t="n">
        <f aca="false">жовтень!H27</f>
        <v>0</v>
      </c>
      <c r="I27" s="13" t="n">
        <f aca="false">жовтень!I27</f>
        <v>4.1</v>
      </c>
      <c r="J27" s="14" t="n">
        <f aca="false">ROUND(G27*I27,2)</f>
        <v>143.91</v>
      </c>
      <c r="K27" s="14"/>
      <c r="L27" s="14"/>
      <c r="M27" s="14"/>
      <c r="N27" s="14" t="n">
        <f aca="false">ROUND((G27*I27)-K27-L27-M27,2)</f>
        <v>143.91</v>
      </c>
      <c r="O27" s="14"/>
      <c r="P27" s="14" t="n">
        <f aca="false">ROUND(IF(D27=0,IF((N27-E27-O27)&gt;0,(N27-E27-O27),0),IF((D27+N27-O27)&gt;0,(D27+N27-O27),0)),2)</f>
        <v>1012.15</v>
      </c>
      <c r="Q27" s="14" t="n">
        <f aca="false">ROUND(IF(E27=0,IF((D27+N27-O27)&lt;0,ABS(D27+N27-O27),0),IF((N27-E27-O27)&lt;0,ABS(N27-E27-O27),0)),2)</f>
        <v>0</v>
      </c>
    </row>
    <row r="28" customFormat="false" ht="15" hidden="false" customHeight="true" outlineLevel="0" collapsed="false">
      <c r="A28" s="12" t="s">
        <v>80</v>
      </c>
      <c r="B28" s="12" t="str">
        <f aca="false">жовтень!B28</f>
        <v>Сільващук А.А</v>
      </c>
      <c r="C28" s="12" t="s">
        <v>82</v>
      </c>
      <c r="D28" s="14" t="n">
        <f aca="false">жовтень!P28</f>
        <v>2570.7</v>
      </c>
      <c r="E28" s="14" t="n">
        <f aca="false">жовтень!Q28</f>
        <v>0</v>
      </c>
      <c r="F28" s="13" t="n">
        <f aca="false">жовтень!F28</f>
        <v>0</v>
      </c>
      <c r="G28" s="13" t="n">
        <f aca="false">жовтень!G28</f>
        <v>62.7</v>
      </c>
      <c r="H28" s="13" t="n">
        <f aca="false">жовтень!H28</f>
        <v>0</v>
      </c>
      <c r="I28" s="13" t="n">
        <f aca="false">жовтень!I28</f>
        <v>4.1</v>
      </c>
      <c r="J28" s="14" t="n">
        <f aca="false">ROUND(G28*I28,2)</f>
        <v>257.07</v>
      </c>
      <c r="K28" s="14"/>
      <c r="L28" s="14"/>
      <c r="M28" s="14"/>
      <c r="N28" s="14" t="n">
        <f aca="false">ROUND((G28*I28)-K28-L28-M28,2)</f>
        <v>257.07</v>
      </c>
      <c r="O28" s="14"/>
      <c r="P28" s="14" t="n">
        <f aca="false">ROUND(IF(D28=0,IF((N28-E28-O28)&gt;0,(N28-E28-O28),0),IF((D28+N28-O28)&gt;0,(D28+N28-O28),0)),2)</f>
        <v>2827.77</v>
      </c>
      <c r="Q28" s="14" t="n">
        <f aca="false">ROUND(IF(E28=0,IF((D28+N28-O28)&lt;0,ABS(D28+N28-O28),0),IF((N28-E28-O28)&lt;0,ABS(N28-E28-O28),0)),2)</f>
        <v>0</v>
      </c>
    </row>
    <row r="29" customFormat="false" ht="15" hidden="false" customHeight="true" outlineLevel="0" collapsed="false">
      <c r="A29" s="12" t="s">
        <v>83</v>
      </c>
      <c r="B29" s="12" t="str">
        <f aca="false">жовтень!B29</f>
        <v>Стеценко Г.М</v>
      </c>
      <c r="C29" s="12" t="s">
        <v>85</v>
      </c>
      <c r="D29" s="14" t="n">
        <f aca="false">жовтень!P29</f>
        <v>2945.91</v>
      </c>
      <c r="E29" s="14" t="n">
        <f aca="false">жовтень!Q29</f>
        <v>0</v>
      </c>
      <c r="F29" s="13" t="n">
        <f aca="false">жовтень!F29</f>
        <v>0</v>
      </c>
      <c r="G29" s="13" t="n">
        <f aca="false">жовтень!G29</f>
        <v>65.32</v>
      </c>
      <c r="H29" s="13" t="n">
        <f aca="false">жовтень!H29</f>
        <v>0</v>
      </c>
      <c r="I29" s="13" t="n">
        <f aca="false">жовтень!I29</f>
        <v>4.1</v>
      </c>
      <c r="J29" s="14" t="n">
        <f aca="false">ROUND(G29*I29,2)</f>
        <v>267.81</v>
      </c>
      <c r="K29" s="14"/>
      <c r="L29" s="14"/>
      <c r="M29" s="14"/>
      <c r="N29" s="14" t="n">
        <f aca="false">ROUND((G29*I29)-K29-L29-M29,2)</f>
        <v>267.81</v>
      </c>
      <c r="O29" s="14"/>
      <c r="P29" s="14" t="n">
        <f aca="false">ROUND(IF(D29=0,IF((N29-E29-O29)&gt;0,(N29-E29-O29),0),IF((D29+N29-O29)&gt;0,(D29+N29-O29),0)),2)</f>
        <v>3213.72</v>
      </c>
      <c r="Q29" s="14" t="n">
        <f aca="false">ROUND(IF(E29=0,IF((D29+N29-O29)&lt;0,ABS(D29+N29-O29),0),IF((N29-E29-O29)&lt;0,ABS(N29-E29-O29),0)),2)</f>
        <v>0</v>
      </c>
    </row>
    <row r="30" customFormat="false" ht="15" hidden="false" customHeight="true" outlineLevel="0" collapsed="false">
      <c r="A30" s="12" t="s">
        <v>86</v>
      </c>
      <c r="B30" s="12" t="str">
        <f aca="false">жовтень!B30</f>
        <v>Кирдячкіна П.А</v>
      </c>
      <c r="C30" s="12" t="s">
        <v>88</v>
      </c>
      <c r="D30" s="14" t="n">
        <f aca="false">жовтень!P30</f>
        <v>1987.18</v>
      </c>
      <c r="E30" s="14" t="n">
        <f aca="false">жовтень!Q30</f>
        <v>0</v>
      </c>
      <c r="F30" s="13" t="n">
        <f aca="false">жовтень!F30</f>
        <v>0</v>
      </c>
      <c r="G30" s="13" t="n">
        <f aca="false">жовтень!G30</f>
        <v>49.7</v>
      </c>
      <c r="H30" s="13" t="n">
        <f aca="false">жовтень!H30</f>
        <v>0</v>
      </c>
      <c r="I30" s="13" t="n">
        <f aca="false">жовтень!I30</f>
        <v>4.1</v>
      </c>
      <c r="J30" s="14" t="n">
        <f aca="false">ROUND(G30*I30,2)</f>
        <v>203.77</v>
      </c>
      <c r="K30" s="14"/>
      <c r="L30" s="14"/>
      <c r="M30" s="14"/>
      <c r="N30" s="14" t="n">
        <f aca="false">ROUND((G30*I30)-K30-L30-M30,2)</f>
        <v>203.77</v>
      </c>
      <c r="O30" s="14"/>
      <c r="P30" s="14" t="n">
        <f aca="false">ROUND(IF(D30=0,IF((N30-E30-O30)&gt;0,(N30-E30-O30),0),IF((D30+N30-O30)&gt;0,(D30+N30-O30),0)),2)</f>
        <v>2190.95</v>
      </c>
      <c r="Q30" s="14" t="n">
        <f aca="false">ROUND(IF(E30=0,IF((D30+N30-O30)&lt;0,ABS(D30+N30-O30),0),IF((N30-E30-O30)&lt;0,ABS(N30-E30-O30),0)),2)</f>
        <v>0</v>
      </c>
    </row>
    <row r="31" customFormat="false" ht="15" hidden="false" customHeight="true" outlineLevel="0" collapsed="false">
      <c r="A31" s="12" t="s">
        <v>89</v>
      </c>
      <c r="B31" s="12" t="str">
        <f aca="false">жовтень!B31</f>
        <v>Фоміченко Л.А</v>
      </c>
      <c r="C31" s="12" t="s">
        <v>91</v>
      </c>
      <c r="D31" s="14" t="n">
        <f aca="false">жовтень!P31</f>
        <v>5119.86</v>
      </c>
      <c r="E31" s="14" t="n">
        <f aca="false">жовтень!Q31</f>
        <v>0</v>
      </c>
      <c r="F31" s="13" t="n">
        <f aca="false">жовтень!F31</f>
        <v>0</v>
      </c>
      <c r="G31" s="13" t="n">
        <f aca="false">жовтень!G31</f>
        <v>35.1</v>
      </c>
      <c r="H31" s="13" t="n">
        <f aca="false">жовтень!H31</f>
        <v>0</v>
      </c>
      <c r="I31" s="13" t="n">
        <f aca="false">жовтень!I31</f>
        <v>4.1</v>
      </c>
      <c r="J31" s="14" t="n">
        <f aca="false">ROUND(G31*I31,2)</f>
        <v>143.91</v>
      </c>
      <c r="K31" s="14"/>
      <c r="L31" s="14"/>
      <c r="M31" s="14"/>
      <c r="N31" s="14" t="n">
        <f aca="false">ROUND((G31*I31)-K31-L31-M31,2)</f>
        <v>143.91</v>
      </c>
      <c r="O31" s="14"/>
      <c r="P31" s="14" t="n">
        <f aca="false">ROUND(IF(D31=0,IF((N31-E31-O31)&gt;0,(N31-E31-O31),0),IF((D31+N31-O31)&gt;0,(D31+N31-O31),0)),2)</f>
        <v>5263.77</v>
      </c>
      <c r="Q31" s="14" t="n">
        <f aca="false">ROUND(IF(E31=0,IF((D31+N31-O31)&lt;0,ABS(D31+N31-O31),0),IF((N31-E31-O31)&lt;0,ABS(N31-E31-O31),0)),2)</f>
        <v>0</v>
      </c>
    </row>
    <row r="32" customFormat="false" ht="15" hidden="false" customHeight="true" outlineLevel="0" collapsed="false">
      <c r="A32" s="12" t="s">
        <v>92</v>
      </c>
      <c r="B32" s="12" t="str">
        <f aca="false">жовтень!B32</f>
        <v>Сердюк А.Г</v>
      </c>
      <c r="C32" s="12" t="s">
        <v>94</v>
      </c>
      <c r="D32" s="14" t="n">
        <f aca="false">жовтень!P32</f>
        <v>2810.12</v>
      </c>
      <c r="E32" s="14" t="n">
        <f aca="false">жовтень!Q32</f>
        <v>0</v>
      </c>
      <c r="F32" s="13" t="n">
        <f aca="false">жовтень!F32</f>
        <v>0</v>
      </c>
      <c r="G32" s="13" t="n">
        <f aca="false">жовтень!G32</f>
        <v>62.31</v>
      </c>
      <c r="H32" s="13" t="n">
        <f aca="false">жовтень!H32</f>
        <v>0</v>
      </c>
      <c r="I32" s="13" t="n">
        <f aca="false">жовтень!I32</f>
        <v>4.1</v>
      </c>
      <c r="J32" s="14" t="n">
        <f aca="false">ROUND(G32*I32,2)</f>
        <v>255.47</v>
      </c>
      <c r="K32" s="14"/>
      <c r="L32" s="14"/>
      <c r="M32" s="14"/>
      <c r="N32" s="14" t="n">
        <f aca="false">ROUND((G32*I32)-K32-L32-M32,2)</f>
        <v>255.47</v>
      </c>
      <c r="O32" s="14"/>
      <c r="P32" s="14" t="n">
        <f aca="false">ROUND(IF(D32=0,IF((N32-E32-O32)&gt;0,(N32-E32-O32),0),IF((D32+N32-O32)&gt;0,(D32+N32-O32),0)),2)</f>
        <v>3065.59</v>
      </c>
      <c r="Q32" s="14" t="n">
        <f aca="false">ROUND(IF(E32=0,IF((D32+N32-O32)&lt;0,ABS(D32+N32-O32),0),IF((N32-E32-O32)&lt;0,ABS(N32-E32-O32),0)),2)</f>
        <v>0</v>
      </c>
    </row>
    <row r="33" customFormat="false" ht="15" hidden="false" customHeight="true" outlineLevel="0" collapsed="false">
      <c r="A33" s="12" t="s">
        <v>95</v>
      </c>
      <c r="B33" s="12" t="str">
        <f aca="false">жовтень!B33</f>
        <v>Михальченко Г.М</v>
      </c>
      <c r="C33" s="12" t="s">
        <v>97</v>
      </c>
      <c r="D33" s="14" t="n">
        <f aca="false">жовтень!P33</f>
        <v>15053.84</v>
      </c>
      <c r="E33" s="14" t="n">
        <f aca="false">жовтень!Q33</f>
        <v>0</v>
      </c>
      <c r="F33" s="13" t="n">
        <f aca="false">жовтень!F33</f>
        <v>0</v>
      </c>
      <c r="G33" s="13" t="n">
        <f aca="false">жовтень!G33</f>
        <v>65.04</v>
      </c>
      <c r="H33" s="13" t="n">
        <f aca="false">жовтень!H33</f>
        <v>0</v>
      </c>
      <c r="I33" s="13" t="n">
        <f aca="false">жовтень!I33</f>
        <v>4.1</v>
      </c>
      <c r="J33" s="14" t="n">
        <f aca="false">ROUND(G33*I33,2)</f>
        <v>266.66</v>
      </c>
      <c r="K33" s="14"/>
      <c r="L33" s="14"/>
      <c r="M33" s="14"/>
      <c r="N33" s="14" t="n">
        <f aca="false">ROUND((G33*I33)-K33-L33-M33,2)</f>
        <v>266.66</v>
      </c>
      <c r="O33" s="14"/>
      <c r="P33" s="14" t="n">
        <f aca="false">ROUND(IF(D33=0,IF((N33-E33-O33)&gt;0,(N33-E33-O33),0),IF((D33+N33-O33)&gt;0,(D33+N33-O33),0)),2)</f>
        <v>15320.5</v>
      </c>
      <c r="Q33" s="14" t="n">
        <f aca="false">ROUND(IF(E33=0,IF((D33+N33-O33)&lt;0,ABS(D33+N33-O33),0),IF((N33-E33-O33)&lt;0,ABS(N33-E33-O33),0)),2)</f>
        <v>0</v>
      </c>
    </row>
    <row r="34" customFormat="false" ht="15" hidden="false" customHeight="true" outlineLevel="0" collapsed="false">
      <c r="A34" s="12" t="s">
        <v>98</v>
      </c>
      <c r="B34" s="12" t="str">
        <f aca="false">жовтень!B34</f>
        <v>Замуховська Я.С</v>
      </c>
      <c r="C34" s="12" t="s">
        <v>100</v>
      </c>
      <c r="D34" s="14" t="n">
        <f aca="false">жовтень!P34</f>
        <v>2450.16</v>
      </c>
      <c r="E34" s="14" t="n">
        <f aca="false">жовтень!Q34</f>
        <v>0</v>
      </c>
      <c r="F34" s="13" t="n">
        <f aca="false">жовтень!F34</f>
        <v>0</v>
      </c>
      <c r="G34" s="13" t="n">
        <f aca="false">жовтень!G34</f>
        <v>49.8</v>
      </c>
      <c r="H34" s="13" t="n">
        <f aca="false">жовтень!H34</f>
        <v>0</v>
      </c>
      <c r="I34" s="13" t="n">
        <f aca="false">жовтень!I34</f>
        <v>4.1</v>
      </c>
      <c r="J34" s="14" t="n">
        <f aca="false">ROUND(G34*I34,2)</f>
        <v>204.18</v>
      </c>
      <c r="K34" s="14"/>
      <c r="L34" s="14"/>
      <c r="M34" s="14"/>
      <c r="N34" s="14" t="n">
        <f aca="false">ROUND((G34*I34)-K34-L34-M34,2)</f>
        <v>204.18</v>
      </c>
      <c r="O34" s="14"/>
      <c r="P34" s="14" t="n">
        <f aca="false">ROUND(IF(D34=0,IF((N34-E34-O34)&gt;0,(N34-E34-O34),0),IF((D34+N34-O34)&gt;0,(D34+N34-O34),0)),2)</f>
        <v>2654.34</v>
      </c>
      <c r="Q34" s="14" t="n">
        <f aca="false">ROUND(IF(E34=0,IF((D34+N34-O34)&lt;0,ABS(D34+N34-O34),0),IF((N34-E34-O34)&lt;0,ABS(N34-E34-O34),0)),2)</f>
        <v>0</v>
      </c>
    </row>
    <row r="35" customFormat="false" ht="15" hidden="false" customHeight="true" outlineLevel="0" collapsed="false">
      <c r="A35" s="12" t="s">
        <v>101</v>
      </c>
      <c r="B35" s="12" t="str">
        <f aca="false">жовтень!B35</f>
        <v>Мержиєвська Г.К</v>
      </c>
      <c r="C35" s="12" t="s">
        <v>103</v>
      </c>
      <c r="D35" s="14" t="n">
        <f aca="false">жовтень!P35</f>
        <v>1730.4</v>
      </c>
      <c r="E35" s="14" t="n">
        <f aca="false">жовтень!Q35</f>
        <v>0</v>
      </c>
      <c r="F35" s="13" t="n">
        <f aca="false">жовтень!F35</f>
        <v>0</v>
      </c>
      <c r="G35" s="13" t="n">
        <f aca="false">жовтень!G35</f>
        <v>35.17</v>
      </c>
      <c r="H35" s="13" t="n">
        <f aca="false">жовтень!H35</f>
        <v>0</v>
      </c>
      <c r="I35" s="13" t="n">
        <f aca="false">жовтень!I35</f>
        <v>4.1</v>
      </c>
      <c r="J35" s="14" t="n">
        <f aca="false">ROUND(G35*I35,2)</f>
        <v>144.2</v>
      </c>
      <c r="K35" s="14"/>
      <c r="L35" s="14"/>
      <c r="M35" s="14"/>
      <c r="N35" s="14" t="n">
        <f aca="false">ROUND((G35*I35)-K35-L35-M35,2)</f>
        <v>144.2</v>
      </c>
      <c r="O35" s="14"/>
      <c r="P35" s="14" t="n">
        <f aca="false">ROUND(IF(D35=0,IF((N35-E35-O35)&gt;0,(N35-E35-O35),0),IF((D35+N35-O35)&gt;0,(D35+N35-O35),0)),2)</f>
        <v>1874.6</v>
      </c>
      <c r="Q35" s="14" t="n">
        <f aca="false">ROUND(IF(E35=0,IF((D35+N35-O35)&lt;0,ABS(D35+N35-O35),0),IF((N35-E35-O35)&lt;0,ABS(N35-E35-O35),0)),2)</f>
        <v>0</v>
      </c>
    </row>
    <row r="36" customFormat="false" ht="15" hidden="false" customHeight="true" outlineLevel="0" collapsed="false">
      <c r="A36" s="12" t="s">
        <v>104</v>
      </c>
      <c r="B36" s="12" t="str">
        <f aca="false">жовтень!B36</f>
        <v>Кулакова Л.В.</v>
      </c>
      <c r="C36" s="12" t="s">
        <v>106</v>
      </c>
      <c r="D36" s="14" t="n">
        <f aca="false">жовтень!P36</f>
        <v>2561.3</v>
      </c>
      <c r="E36" s="14" t="n">
        <f aca="false">жовтень!Q36</f>
        <v>0</v>
      </c>
      <c r="F36" s="13" t="n">
        <f aca="false">жовтень!F36</f>
        <v>0</v>
      </c>
      <c r="G36" s="13" t="n">
        <f aca="false">жовтень!G36</f>
        <v>62.47</v>
      </c>
      <c r="H36" s="13" t="n">
        <f aca="false">жовтень!H36</f>
        <v>0</v>
      </c>
      <c r="I36" s="13" t="n">
        <f aca="false">жовтень!I36</f>
        <v>4.1</v>
      </c>
      <c r="J36" s="14" t="n">
        <f aca="false">ROUND(G36*I36,2)</f>
        <v>256.13</v>
      </c>
      <c r="K36" s="14"/>
      <c r="L36" s="14"/>
      <c r="M36" s="14"/>
      <c r="N36" s="14" t="n">
        <f aca="false">ROUND((G36*I36)-K36-L36-M36,2)</f>
        <v>256.13</v>
      </c>
      <c r="O36" s="14"/>
      <c r="P36" s="14" t="n">
        <f aca="false">ROUND(IF(D36=0,IF((N36-E36-O36)&gt;0,(N36-E36-O36),0),IF((D36+N36-O36)&gt;0,(D36+N36-O36),0)),2)</f>
        <v>2817.43</v>
      </c>
      <c r="Q36" s="14" t="n">
        <f aca="false">ROUND(IF(E36=0,IF((D36+N36-O36)&lt;0,ABS(D36+N36-O36),0),IF((N36-E36-O36)&lt;0,ABS(N36-E36-O36),0)),2)</f>
        <v>0</v>
      </c>
    </row>
    <row r="37" customFormat="false" ht="15" hidden="false" customHeight="true" outlineLevel="0" collapsed="false">
      <c r="A37" s="12" t="s">
        <v>107</v>
      </c>
      <c r="B37" s="12" t="str">
        <f aca="false">жовтень!B37</f>
        <v>Бочаров В.Л.</v>
      </c>
      <c r="C37" s="12" t="s">
        <v>109</v>
      </c>
      <c r="D37" s="14" t="n">
        <f aca="false">жовтень!P37</f>
        <v>9679.32</v>
      </c>
      <c r="E37" s="14" t="n">
        <f aca="false">жовтень!Q37</f>
        <v>0</v>
      </c>
      <c r="F37" s="13" t="n">
        <f aca="false">жовтень!F37</f>
        <v>0</v>
      </c>
      <c r="G37" s="13" t="n">
        <f aca="false">жовтень!G37</f>
        <v>65.75</v>
      </c>
      <c r="H37" s="13" t="n">
        <f aca="false">жовтень!H37</f>
        <v>0</v>
      </c>
      <c r="I37" s="13" t="n">
        <f aca="false">жовтень!I37</f>
        <v>4.1</v>
      </c>
      <c r="J37" s="14" t="n">
        <f aca="false">ROUND(G37*I37,2)</f>
        <v>269.58</v>
      </c>
      <c r="K37" s="14"/>
      <c r="L37" s="14"/>
      <c r="M37" s="14"/>
      <c r="N37" s="14" t="n">
        <f aca="false">ROUND((G37*I37)-K37-L37-M37,2)</f>
        <v>269.58</v>
      </c>
      <c r="O37" s="14"/>
      <c r="P37" s="14" t="n">
        <f aca="false">ROUND(IF(D37=0,IF((N37-E37-O37)&gt;0,(N37-E37-O37),0),IF((D37+N37-O37)&gt;0,(D37+N37-O37),0)),2)</f>
        <v>9948.9</v>
      </c>
      <c r="Q37" s="14" t="n">
        <f aca="false">ROUND(IF(E37=0,IF((D37+N37-O37)&lt;0,ABS(D37+N37-O37),0),IF((N37-E37-O37)&lt;0,ABS(N37-E37-O37),0)),2)</f>
        <v>0</v>
      </c>
    </row>
    <row r="38" customFormat="false" ht="15" hidden="false" customHeight="true" outlineLevel="0" collapsed="false">
      <c r="A38" s="12" t="s">
        <v>110</v>
      </c>
      <c r="B38" s="12" t="str">
        <f aca="false">жовтень!B38</f>
        <v>Лучков В.Л.</v>
      </c>
      <c r="C38" s="12" t="s">
        <v>112</v>
      </c>
      <c r="D38" s="14" t="n">
        <f aca="false">жовтень!P38</f>
        <v>11606.25</v>
      </c>
      <c r="E38" s="14" t="n">
        <f aca="false">жовтень!Q38</f>
        <v>0</v>
      </c>
      <c r="F38" s="13" t="n">
        <f aca="false">жовтень!F38</f>
        <v>0</v>
      </c>
      <c r="G38" s="13" t="n">
        <f aca="false">жовтень!G38</f>
        <v>49.7</v>
      </c>
      <c r="H38" s="13" t="n">
        <f aca="false">жовтень!H38</f>
        <v>0</v>
      </c>
      <c r="I38" s="13" t="n">
        <f aca="false">жовтень!I38</f>
        <v>4.1</v>
      </c>
      <c r="J38" s="14" t="n">
        <f aca="false">ROUND(G38*I38,2)</f>
        <v>203.77</v>
      </c>
      <c r="K38" s="14"/>
      <c r="L38" s="14"/>
      <c r="M38" s="14"/>
      <c r="N38" s="14" t="n">
        <f aca="false">ROUND((G38*I38)-K38-L38-M38,2)</f>
        <v>203.77</v>
      </c>
      <c r="O38" s="14"/>
      <c r="P38" s="14" t="n">
        <f aca="false">ROUND(IF(D38=0,IF((N38-E38-O38)&gt;0,(N38-E38-O38),0),IF((D38+N38-O38)&gt;0,(D38+N38-O38),0)),2)</f>
        <v>11810.02</v>
      </c>
      <c r="Q38" s="14" t="n">
        <f aca="false">ROUND(IF(E38=0,IF((D38+N38-O38)&lt;0,ABS(D38+N38-O38),0),IF((N38-E38-O38)&lt;0,ABS(N38-E38-O38),0)),2)</f>
        <v>0</v>
      </c>
    </row>
    <row r="39" customFormat="false" ht="15" hidden="false" customHeight="true" outlineLevel="0" collapsed="false">
      <c r="A39" s="12" t="s">
        <v>113</v>
      </c>
      <c r="B39" s="12" t="str">
        <f aca="false">жовтень!B39</f>
        <v>Кашкар Т.М.</v>
      </c>
      <c r="C39" s="12" t="s">
        <v>115</v>
      </c>
      <c r="D39" s="14" t="n">
        <f aca="false">жовтень!P39</f>
        <v>1439.1</v>
      </c>
      <c r="E39" s="14" t="n">
        <f aca="false">жовтень!Q39</f>
        <v>0</v>
      </c>
      <c r="F39" s="13" t="n">
        <f aca="false">жовтень!F39</f>
        <v>0</v>
      </c>
      <c r="G39" s="13" t="n">
        <f aca="false">жовтень!G39</f>
        <v>35.1</v>
      </c>
      <c r="H39" s="13" t="n">
        <f aca="false">жовтень!H39</f>
        <v>0</v>
      </c>
      <c r="I39" s="13" t="n">
        <f aca="false">жовтень!I39</f>
        <v>4.1</v>
      </c>
      <c r="J39" s="14" t="n">
        <f aca="false">ROUND(G39*I39,2)</f>
        <v>143.91</v>
      </c>
      <c r="K39" s="14"/>
      <c r="L39" s="14"/>
      <c r="M39" s="14"/>
      <c r="N39" s="14" t="n">
        <f aca="false">ROUND((G39*I39)-K39-L39-M39,2)</f>
        <v>143.91</v>
      </c>
      <c r="O39" s="14"/>
      <c r="P39" s="14" t="n">
        <f aca="false">ROUND(IF(D39=0,IF((N39-E39-O39)&gt;0,(N39-E39-O39),0),IF((D39+N39-O39)&gt;0,(D39+N39-O39),0)),2)</f>
        <v>1583.01</v>
      </c>
      <c r="Q39" s="14" t="n">
        <f aca="false">ROUND(IF(E39=0,IF((D39+N39-O39)&lt;0,ABS(D39+N39-O39),0),IF((N39-E39-O39)&lt;0,ABS(N39-E39-O39),0)),2)</f>
        <v>0</v>
      </c>
    </row>
    <row r="40" customFormat="false" ht="15" hidden="false" customHeight="true" outlineLevel="0" collapsed="false">
      <c r="A40" s="12" t="s">
        <v>116</v>
      </c>
      <c r="B40" s="12" t="str">
        <f aca="false">жовтень!B40</f>
        <v>Стецюк Н.П.</v>
      </c>
      <c r="C40" s="12" t="s">
        <v>118</v>
      </c>
      <c r="D40" s="14" t="n">
        <f aca="false">жовтень!P40</f>
        <v>3456.01</v>
      </c>
      <c r="E40" s="14" t="n">
        <f aca="false">жовтень!Q40</f>
        <v>0</v>
      </c>
      <c r="F40" s="13" t="n">
        <f aca="false">жовтень!F40</f>
        <v>0</v>
      </c>
      <c r="G40" s="13" t="n">
        <f aca="false">жовтень!G40</f>
        <v>61.9</v>
      </c>
      <c r="H40" s="13" t="n">
        <f aca="false">жовтень!H40</f>
        <v>0</v>
      </c>
      <c r="I40" s="13" t="n">
        <f aca="false">жовтень!I40</f>
        <v>4.1</v>
      </c>
      <c r="J40" s="14" t="n">
        <f aca="false">ROUND(G40*I40,2)</f>
        <v>253.79</v>
      </c>
      <c r="K40" s="14"/>
      <c r="L40" s="14"/>
      <c r="M40" s="14"/>
      <c r="N40" s="14" t="n">
        <f aca="false">ROUND((G40*I40)-K40-L40-M40,2)</f>
        <v>253.79</v>
      </c>
      <c r="O40" s="14"/>
      <c r="P40" s="14" t="n">
        <f aca="false">ROUND(IF(D40=0,IF((N40-E40-O40)&gt;0,(N40-E40-O40),0),IF((D40+N40-O40)&gt;0,(D40+N40-O40),0)),2)</f>
        <v>3709.8</v>
      </c>
      <c r="Q40" s="14" t="n">
        <f aca="false">ROUND(IF(E40=0,IF((D40+N40-O40)&lt;0,ABS(D40+N40-O40),0),IF((N40-E40-O40)&lt;0,ABS(N40-E40-O40),0)),2)</f>
        <v>0</v>
      </c>
    </row>
    <row r="41" customFormat="false" ht="15" hidden="false" customHeight="true" outlineLevel="0" collapsed="false">
      <c r="A41" s="12" t="s">
        <v>119</v>
      </c>
      <c r="B41" s="12" t="str">
        <f aca="false">жовтень!B41</f>
        <v>Маханько В.О.</v>
      </c>
      <c r="C41" s="12" t="s">
        <v>121</v>
      </c>
      <c r="D41" s="14" t="n">
        <f aca="false">жовтень!P41</f>
        <v>12248.11</v>
      </c>
      <c r="E41" s="14" t="n">
        <f aca="false">жовтень!Q41</f>
        <v>0</v>
      </c>
      <c r="F41" s="13" t="n">
        <f aca="false">жовтень!F41</f>
        <v>0</v>
      </c>
      <c r="G41" s="13" t="n">
        <f aca="false">жовтень!G41</f>
        <v>65.53</v>
      </c>
      <c r="H41" s="13" t="n">
        <f aca="false">жовтень!H41</f>
        <v>0</v>
      </c>
      <c r="I41" s="13" t="n">
        <f aca="false">жовтень!I41</f>
        <v>4.1</v>
      </c>
      <c r="J41" s="14" t="n">
        <f aca="false">ROUND(G41*I41,2)</f>
        <v>268.67</v>
      </c>
      <c r="K41" s="14"/>
      <c r="L41" s="14"/>
      <c r="M41" s="14"/>
      <c r="N41" s="14" t="n">
        <f aca="false">ROUND((G41*I41)-K41-L41-M41,2)</f>
        <v>268.67</v>
      </c>
      <c r="O41" s="14"/>
      <c r="P41" s="14" t="n">
        <f aca="false">ROUND(IF(D41=0,IF((N41-E41-O41)&gt;0,(N41-E41-O41),0),IF((D41+N41-O41)&gt;0,(D41+N41-O41),0)),2)</f>
        <v>12516.78</v>
      </c>
      <c r="Q41" s="14" t="n">
        <f aca="false">ROUND(IF(E41=0,IF((D41+N41-O41)&lt;0,ABS(D41+N41-O41),0),IF((N41-E41-O41)&lt;0,ABS(N41-E41-O41),0)),2)</f>
        <v>0</v>
      </c>
    </row>
    <row r="42" customFormat="false" ht="15" hidden="false" customHeight="true" outlineLevel="0" collapsed="false">
      <c r="A42" s="12" t="s">
        <v>122</v>
      </c>
      <c r="B42" s="12" t="str">
        <f aca="false">жовтень!B42</f>
        <v>Реуцька Р.С.</v>
      </c>
      <c r="C42" s="12" t="s">
        <v>124</v>
      </c>
      <c r="D42" s="14" t="n">
        <f aca="false">жовтень!P42</f>
        <v>10299.16</v>
      </c>
      <c r="E42" s="14" t="n">
        <f aca="false">жовтень!Q42</f>
        <v>0</v>
      </c>
      <c r="F42" s="13" t="n">
        <f aca="false">жовтень!F42</f>
        <v>0</v>
      </c>
      <c r="G42" s="13" t="n">
        <f aca="false">жовтень!G42</f>
        <v>49.7</v>
      </c>
      <c r="H42" s="13" t="n">
        <f aca="false">жовтень!H42</f>
        <v>0</v>
      </c>
      <c r="I42" s="13" t="n">
        <f aca="false">жовтень!I42</f>
        <v>4.1</v>
      </c>
      <c r="J42" s="14" t="n">
        <f aca="false">ROUND(G42*I42,2)</f>
        <v>203.77</v>
      </c>
      <c r="K42" s="14"/>
      <c r="L42" s="14"/>
      <c r="M42" s="14"/>
      <c r="N42" s="14" t="n">
        <f aca="false">ROUND((G42*I42)-K42-L42-M42,2)</f>
        <v>203.77</v>
      </c>
      <c r="O42" s="14"/>
      <c r="P42" s="14" t="n">
        <f aca="false">ROUND(IF(D42=0,IF((N42-E42-O42)&gt;0,(N42-E42-O42),0),IF((D42+N42-O42)&gt;0,(D42+N42-O42),0)),2)</f>
        <v>10502.93</v>
      </c>
      <c r="Q42" s="14" t="n">
        <f aca="false">ROUND(IF(E42=0,IF((D42+N42-O42)&lt;0,ABS(D42+N42-O42),0),IF((N42-E42-O42)&lt;0,ABS(N42-E42-O42),0)),2)</f>
        <v>0</v>
      </c>
    </row>
    <row r="43" customFormat="false" ht="15" hidden="false" customHeight="true" outlineLevel="0" collapsed="false">
      <c r="A43" s="12" t="s">
        <v>125</v>
      </c>
      <c r="B43" s="12" t="str">
        <f aca="false">жовтень!B43</f>
        <v>Колесникова Р.Г.</v>
      </c>
      <c r="C43" s="12" t="s">
        <v>127</v>
      </c>
      <c r="D43" s="14" t="n">
        <f aca="false">жовтень!P43</f>
        <v>3315.66</v>
      </c>
      <c r="E43" s="14" t="n">
        <f aca="false">жовтень!Q43</f>
        <v>0</v>
      </c>
      <c r="F43" s="13" t="n">
        <f aca="false">жовтень!F43</f>
        <v>0</v>
      </c>
      <c r="G43" s="13" t="n">
        <f aca="false">жовтень!G43</f>
        <v>35.1</v>
      </c>
      <c r="H43" s="13" t="n">
        <f aca="false">жовтень!H43</f>
        <v>0</v>
      </c>
      <c r="I43" s="13" t="n">
        <f aca="false">жовтень!I43</f>
        <v>4.1</v>
      </c>
      <c r="J43" s="14" t="n">
        <f aca="false">ROUND(G43*I43,2)</f>
        <v>143.91</v>
      </c>
      <c r="K43" s="14"/>
      <c r="L43" s="14"/>
      <c r="M43" s="14"/>
      <c r="N43" s="14" t="n">
        <f aca="false">ROUND((G43*I43)-K43-L43-M43,2)</f>
        <v>143.91</v>
      </c>
      <c r="O43" s="14"/>
      <c r="P43" s="14" t="n">
        <f aca="false">ROUND(IF(D43=0,IF((N43-E43-O43)&gt;0,(N43-E43-O43),0),IF((D43+N43-O43)&gt;0,(D43+N43-O43),0)),2)</f>
        <v>3459.57</v>
      </c>
      <c r="Q43" s="14" t="n">
        <f aca="false">ROUND(IF(E43=0,IF((D43+N43-O43)&lt;0,ABS(D43+N43-O43),0),IF((N43-E43-O43)&lt;0,ABS(N43-E43-O43),0)),2)</f>
        <v>0</v>
      </c>
    </row>
    <row r="44" customFormat="false" ht="15" hidden="false" customHeight="true" outlineLevel="0" collapsed="false">
      <c r="A44" s="12" t="s">
        <v>128</v>
      </c>
      <c r="B44" s="12" t="str">
        <f aca="false">жовтень!B44</f>
        <v>Кучеренко М.М.</v>
      </c>
      <c r="C44" s="12" t="s">
        <v>130</v>
      </c>
      <c r="D44" s="14" t="n">
        <f aca="false">жовтень!P44</f>
        <v>13758.49</v>
      </c>
      <c r="E44" s="14" t="n">
        <f aca="false">жовтень!Q44</f>
        <v>0</v>
      </c>
      <c r="F44" s="13" t="n">
        <f aca="false">жовтень!F44</f>
        <v>0</v>
      </c>
      <c r="G44" s="13" t="n">
        <f aca="false">жовтень!G44</f>
        <v>61.88</v>
      </c>
      <c r="H44" s="13" t="n">
        <f aca="false">жовтень!H44</f>
        <v>0</v>
      </c>
      <c r="I44" s="13" t="n">
        <f aca="false">жовтень!I44</f>
        <v>4.1</v>
      </c>
      <c r="J44" s="14" t="n">
        <f aca="false">ROUND(G44*I44,2)</f>
        <v>253.71</v>
      </c>
      <c r="K44" s="14"/>
      <c r="L44" s="14"/>
      <c r="M44" s="14"/>
      <c r="N44" s="14" t="n">
        <f aca="false">ROUND((G44*I44)-K44-L44-M44,2)</f>
        <v>253.71</v>
      </c>
      <c r="O44" s="14"/>
      <c r="P44" s="14" t="n">
        <f aca="false">ROUND(IF(D44=0,IF((N44-E44-O44)&gt;0,(N44-E44-O44),0),IF((D44+N44-O44)&gt;0,(D44+N44-O44),0)),2)</f>
        <v>14012.2</v>
      </c>
      <c r="Q44" s="14" t="n">
        <f aca="false">ROUND(IF(E44=0,IF((D44+N44-O44)&lt;0,ABS(D44+N44-O44),0),IF((N44-E44-O44)&lt;0,ABS(N44-E44-O44),0)),2)</f>
        <v>0</v>
      </c>
    </row>
    <row r="45" customFormat="false" ht="15" hidden="false" customHeight="true" outlineLevel="0" collapsed="false">
      <c r="A45" s="12" t="s">
        <v>131</v>
      </c>
      <c r="B45" s="12" t="str">
        <f aca="false">жовтень!B45</f>
        <v>Гурова О.М.</v>
      </c>
      <c r="C45" s="12" t="s">
        <v>133</v>
      </c>
      <c r="D45" s="14" t="n">
        <f aca="false">жовтень!P45</f>
        <v>2233.83</v>
      </c>
      <c r="E45" s="14" t="n">
        <f aca="false">жовтень!Q45</f>
        <v>0</v>
      </c>
      <c r="F45" s="13" t="n">
        <f aca="false">жовтень!F45</f>
        <v>0</v>
      </c>
      <c r="G45" s="13" t="n">
        <f aca="false">жовтень!G45</f>
        <v>62.2</v>
      </c>
      <c r="H45" s="13" t="n">
        <f aca="false">жовтень!H45</f>
        <v>0</v>
      </c>
      <c r="I45" s="13" t="n">
        <f aca="false">жовтень!I45</f>
        <v>4.1</v>
      </c>
      <c r="J45" s="14" t="n">
        <f aca="false">ROUND(G45*I45,2)</f>
        <v>255.02</v>
      </c>
      <c r="K45" s="14"/>
      <c r="L45" s="14"/>
      <c r="M45" s="14"/>
      <c r="N45" s="14" t="n">
        <f aca="false">ROUND((G45*I45)-K45-L45-M45,2)</f>
        <v>255.02</v>
      </c>
      <c r="O45" s="14"/>
      <c r="P45" s="14" t="n">
        <f aca="false">ROUND(IF(D45=0,IF((N45-E45-O45)&gt;0,(N45-E45-O45),0),IF((D45+N45-O45)&gt;0,(D45+N45-O45),0)),2)</f>
        <v>2488.85</v>
      </c>
      <c r="Q45" s="14" t="n">
        <f aca="false">ROUND(IF(E45=0,IF((D45+N45-O45)&lt;0,ABS(D45+N45-O45),0),IF((N45-E45-O45)&lt;0,ABS(N45-E45-O45),0)),2)</f>
        <v>0</v>
      </c>
    </row>
    <row r="46" customFormat="false" ht="15" hidden="false" customHeight="true" outlineLevel="0" collapsed="false">
      <c r="A46" s="12" t="s">
        <v>134</v>
      </c>
      <c r="B46" s="12" t="str">
        <f aca="false">жовтень!B46</f>
        <v>Федорова В.І.</v>
      </c>
      <c r="C46" s="12" t="s">
        <v>136</v>
      </c>
      <c r="D46" s="14" t="n">
        <f aca="false">жовтень!P46</f>
        <v>1073.99</v>
      </c>
      <c r="E46" s="14" t="n">
        <f aca="false">жовтень!Q46</f>
        <v>0</v>
      </c>
      <c r="F46" s="13" t="n">
        <f aca="false">жовтень!F46</f>
        <v>0</v>
      </c>
      <c r="G46" s="13" t="n">
        <f aca="false">жовтень!G46</f>
        <v>34.9</v>
      </c>
      <c r="H46" s="13" t="n">
        <f aca="false">жовтень!H46</f>
        <v>0</v>
      </c>
      <c r="I46" s="13" t="n">
        <f aca="false">жовтень!I46</f>
        <v>4.1</v>
      </c>
      <c r="J46" s="14" t="n">
        <f aca="false">ROUND(G46*I46,2)</f>
        <v>143.09</v>
      </c>
      <c r="K46" s="14"/>
      <c r="L46" s="14"/>
      <c r="M46" s="14"/>
      <c r="N46" s="14" t="n">
        <f aca="false">ROUND((G46*I46)-K46-L46-M46,2)</f>
        <v>143.09</v>
      </c>
      <c r="O46" s="14"/>
      <c r="P46" s="14" t="n">
        <f aca="false">ROUND(IF(D46=0,IF((N46-E46-O46)&gt;0,(N46-E46-O46),0),IF((D46+N46-O46)&gt;0,(D46+N46-O46),0)),2)</f>
        <v>1217.08</v>
      </c>
      <c r="Q46" s="14" t="n">
        <f aca="false">ROUND(IF(E46=0,IF((D46+N46-O46)&lt;0,ABS(D46+N46-O46),0),IF((N46-E46-O46)&lt;0,ABS(N46-E46-O46),0)),2)</f>
        <v>0</v>
      </c>
    </row>
    <row r="47" customFormat="false" ht="15" hidden="false" customHeight="true" outlineLevel="0" collapsed="false">
      <c r="A47" s="12" t="s">
        <v>137</v>
      </c>
      <c r="B47" s="12" t="str">
        <f aca="false">жовтень!B47</f>
        <v>Лаптєв В.І.</v>
      </c>
      <c r="C47" s="12" t="s">
        <v>139</v>
      </c>
      <c r="D47" s="14" t="n">
        <f aca="false">жовтень!P47</f>
        <v>2000.8</v>
      </c>
      <c r="E47" s="14" t="n">
        <f aca="false">жовтень!Q47</f>
        <v>0</v>
      </c>
      <c r="F47" s="13" t="n">
        <f aca="false">жовтень!F47</f>
        <v>0</v>
      </c>
      <c r="G47" s="13" t="n">
        <f aca="false">жовтень!G47</f>
        <v>48.8</v>
      </c>
      <c r="H47" s="13" t="n">
        <f aca="false">жовтень!H47</f>
        <v>0</v>
      </c>
      <c r="I47" s="13" t="n">
        <f aca="false">жовтень!I47</f>
        <v>4.1</v>
      </c>
      <c r="J47" s="14" t="n">
        <f aca="false">ROUND(G47*I47,2)</f>
        <v>200.08</v>
      </c>
      <c r="K47" s="14"/>
      <c r="L47" s="14"/>
      <c r="M47" s="14"/>
      <c r="N47" s="14" t="n">
        <f aca="false">ROUND((G47*I47)-K47-L47-M47,2)</f>
        <v>200.08</v>
      </c>
      <c r="O47" s="14"/>
      <c r="P47" s="14" t="n">
        <f aca="false">ROUND(IF(D47=0,IF((N47-E47-O47)&gt;0,(N47-E47-O47),0),IF((D47+N47-O47)&gt;0,(D47+N47-O47),0)),2)</f>
        <v>2200.88</v>
      </c>
      <c r="Q47" s="14" t="n">
        <f aca="false">ROUND(IF(E47=0,IF((D47+N47-O47)&lt;0,ABS(D47+N47-O47),0),IF((N47-E47-O47)&lt;0,ABS(N47-E47-O47),0)),2)</f>
        <v>0</v>
      </c>
    </row>
    <row r="48" customFormat="false" ht="15" hidden="false" customHeight="true" outlineLevel="0" collapsed="false">
      <c r="A48" s="12" t="s">
        <v>140</v>
      </c>
      <c r="B48" s="12" t="str">
        <f aca="false">жовтень!B48</f>
        <v>Тимощук О.Є.</v>
      </c>
      <c r="C48" s="12" t="s">
        <v>142</v>
      </c>
      <c r="D48" s="14" t="n">
        <f aca="false">жовтень!P48</f>
        <v>2349.3</v>
      </c>
      <c r="E48" s="14" t="n">
        <f aca="false">жовтень!Q48</f>
        <v>0</v>
      </c>
      <c r="F48" s="13" t="n">
        <f aca="false">жовтень!F48</f>
        <v>0</v>
      </c>
      <c r="G48" s="13" t="n">
        <f aca="false">жовтень!G48</f>
        <v>57.3</v>
      </c>
      <c r="H48" s="13" t="n">
        <f aca="false">жовтень!H48</f>
        <v>0</v>
      </c>
      <c r="I48" s="13" t="n">
        <f aca="false">жовтень!I48</f>
        <v>4.1</v>
      </c>
      <c r="J48" s="14" t="n">
        <f aca="false">ROUND(G48*I48,2)</f>
        <v>234.93</v>
      </c>
      <c r="K48" s="14"/>
      <c r="L48" s="14"/>
      <c r="M48" s="14"/>
      <c r="N48" s="14" t="n">
        <f aca="false">ROUND((G48*I48)-K48-L48-M48,2)</f>
        <v>234.93</v>
      </c>
      <c r="O48" s="14"/>
      <c r="P48" s="14" t="n">
        <f aca="false">ROUND(IF(D48=0,IF((N48-E48-O48)&gt;0,(N48-E48-O48),0),IF((D48+N48-O48)&gt;0,(D48+N48-O48),0)),2)</f>
        <v>2584.23</v>
      </c>
      <c r="Q48" s="14" t="n">
        <f aca="false">ROUND(IF(E48=0,IF((D48+N48-O48)&lt;0,ABS(D48+N48-O48),0),IF((N48-E48-O48)&lt;0,ABS(N48-E48-O48),0)),2)</f>
        <v>0</v>
      </c>
    </row>
    <row r="49" customFormat="false" ht="15" hidden="false" customHeight="true" outlineLevel="0" collapsed="false">
      <c r="A49" s="12" t="s">
        <v>143</v>
      </c>
      <c r="B49" s="12" t="str">
        <f aca="false">жовтень!B49</f>
        <v>Котяш О.В.</v>
      </c>
      <c r="C49" s="12" t="s">
        <v>145</v>
      </c>
      <c r="D49" s="14" t="n">
        <f aca="false">жовтень!P49</f>
        <v>5707.95</v>
      </c>
      <c r="E49" s="14" t="n">
        <f aca="false">жовтень!Q49</f>
        <v>0</v>
      </c>
      <c r="F49" s="13" t="n">
        <f aca="false">жовтень!F49</f>
        <v>0</v>
      </c>
      <c r="G49" s="13" t="n">
        <f aca="false">жовтень!G49</f>
        <v>63.3</v>
      </c>
      <c r="H49" s="13" t="n">
        <f aca="false">жовтень!H49</f>
        <v>0</v>
      </c>
      <c r="I49" s="13" t="n">
        <f aca="false">жовтень!I49</f>
        <v>4.1</v>
      </c>
      <c r="J49" s="14" t="n">
        <f aca="false">ROUND(G49*I49,2)</f>
        <v>259.53</v>
      </c>
      <c r="K49" s="14"/>
      <c r="L49" s="14"/>
      <c r="M49" s="14"/>
      <c r="N49" s="14" t="n">
        <f aca="false">ROUND((G49*I49)-K49-L49-M49,2)</f>
        <v>259.53</v>
      </c>
      <c r="O49" s="14"/>
      <c r="P49" s="14" t="n">
        <f aca="false">ROUND(IF(D49=0,IF((N49-E49-O49)&gt;0,(N49-E49-O49),0),IF((D49+N49-O49)&gt;0,(D49+N49-O49),0)),2)</f>
        <v>5967.48</v>
      </c>
      <c r="Q49" s="14" t="n">
        <f aca="false">ROUND(IF(E49=0,IF((D49+N49-O49)&lt;0,ABS(D49+N49-O49),0),IF((N49-E49-O49)&lt;0,ABS(N49-E49-O49),0)),2)</f>
        <v>0</v>
      </c>
    </row>
    <row r="50" customFormat="false" ht="15" hidden="false" customHeight="true" outlineLevel="0" collapsed="false">
      <c r="A50" s="12" t="s">
        <v>146</v>
      </c>
      <c r="B50" s="12" t="str">
        <f aca="false">жовтень!B50</f>
        <v>Токовило-Паращенко Л.П.</v>
      </c>
      <c r="C50" s="12" t="s">
        <v>148</v>
      </c>
      <c r="D50" s="14" t="n">
        <f aca="false">жовтень!P50</f>
        <v>1462.9</v>
      </c>
      <c r="E50" s="14" t="n">
        <f aca="false">жовтень!Q50</f>
        <v>0</v>
      </c>
      <c r="F50" s="13" t="n">
        <f aca="false">жовтень!F50</f>
        <v>0</v>
      </c>
      <c r="G50" s="13" t="n">
        <f aca="false">жовтень!G50</f>
        <v>35.68</v>
      </c>
      <c r="H50" s="13" t="n">
        <f aca="false">жовтень!H50</f>
        <v>0</v>
      </c>
      <c r="I50" s="13" t="n">
        <f aca="false">жовтень!I50</f>
        <v>4.1</v>
      </c>
      <c r="J50" s="14" t="n">
        <f aca="false">ROUND(G50*I50,2)</f>
        <v>146.29</v>
      </c>
      <c r="K50" s="14"/>
      <c r="L50" s="14"/>
      <c r="M50" s="14"/>
      <c r="N50" s="14" t="n">
        <f aca="false">ROUND((G50*I50)-K50-L50-M50,2)</f>
        <v>146.29</v>
      </c>
      <c r="O50" s="14"/>
      <c r="P50" s="14" t="n">
        <f aca="false">ROUND(IF(D50=0,IF((N50-E50-O50)&gt;0,(N50-E50-O50),0),IF((D50+N50-O50)&gt;0,(D50+N50-O50),0)),2)</f>
        <v>1609.19</v>
      </c>
      <c r="Q50" s="14" t="n">
        <f aca="false">ROUND(IF(E50=0,IF((D50+N50-O50)&lt;0,ABS(D50+N50-O50),0),IF((N50-E50-O50)&lt;0,ABS(N50-E50-O50),0)),2)</f>
        <v>0</v>
      </c>
    </row>
    <row r="51" customFormat="false" ht="15" hidden="false" customHeight="true" outlineLevel="0" collapsed="false">
      <c r="A51" s="12" t="s">
        <v>149</v>
      </c>
      <c r="B51" s="12" t="str">
        <f aca="false">жовтень!B51</f>
        <v>Бєлая К.В.</v>
      </c>
      <c r="C51" s="12" t="s">
        <v>151</v>
      </c>
      <c r="D51" s="14" t="n">
        <f aca="false">жовтень!P51</f>
        <v>4862.2</v>
      </c>
      <c r="E51" s="14" t="n">
        <f aca="false">жовтень!Q51</f>
        <v>0</v>
      </c>
      <c r="F51" s="13" t="n">
        <f aca="false">жовтень!F51</f>
        <v>0</v>
      </c>
      <c r="G51" s="13" t="n">
        <f aca="false">жовтень!G51</f>
        <v>49.8</v>
      </c>
      <c r="H51" s="13" t="n">
        <f aca="false">жовтень!H51</f>
        <v>0</v>
      </c>
      <c r="I51" s="13" t="n">
        <f aca="false">жовтень!I51</f>
        <v>4.1</v>
      </c>
      <c r="J51" s="14" t="n">
        <f aca="false">ROUND(G51*I51,2)</f>
        <v>204.18</v>
      </c>
      <c r="K51" s="14"/>
      <c r="L51" s="14"/>
      <c r="M51" s="14"/>
      <c r="N51" s="14" t="n">
        <f aca="false">ROUND((G51*I51)-K51-L51-M51,2)</f>
        <v>204.18</v>
      </c>
      <c r="O51" s="14"/>
      <c r="P51" s="14" t="n">
        <f aca="false">ROUND(IF(D51=0,IF((N51-E51-O51)&gt;0,(N51-E51-O51),0),IF((D51+N51-O51)&gt;0,(D51+N51-O51),0)),2)</f>
        <v>5066.38</v>
      </c>
      <c r="Q51" s="14" t="n">
        <f aca="false">ROUND(IF(E51=0,IF((D51+N51-O51)&lt;0,ABS(D51+N51-O51),0),IF((N51-E51-O51)&lt;0,ABS(N51-E51-O51),0)),2)</f>
        <v>0</v>
      </c>
    </row>
    <row r="52" customFormat="false" ht="15" hidden="false" customHeight="true" outlineLevel="0" collapsed="false">
      <c r="A52" s="12" t="s">
        <v>152</v>
      </c>
      <c r="B52" s="12" t="str">
        <f aca="false">жовтень!B52</f>
        <v>Стадник О.Ф.</v>
      </c>
      <c r="C52" s="12" t="s">
        <v>154</v>
      </c>
      <c r="D52" s="14" t="n">
        <f aca="false">жовтень!P52</f>
        <v>8427.37</v>
      </c>
      <c r="E52" s="14" t="n">
        <f aca="false">жовтень!Q52</f>
        <v>0</v>
      </c>
      <c r="F52" s="13" t="n">
        <f aca="false">жовтень!F52</f>
        <v>0</v>
      </c>
      <c r="G52" s="13" t="n">
        <f aca="false">жовтень!G52</f>
        <v>65.9</v>
      </c>
      <c r="H52" s="13" t="n">
        <f aca="false">жовтень!H52</f>
        <v>0</v>
      </c>
      <c r="I52" s="13" t="n">
        <f aca="false">жовтень!I52</f>
        <v>4.1</v>
      </c>
      <c r="J52" s="14" t="n">
        <f aca="false">ROUND(G52*I52,2)</f>
        <v>270.19</v>
      </c>
      <c r="K52" s="14"/>
      <c r="L52" s="14"/>
      <c r="M52" s="14"/>
      <c r="N52" s="14" t="n">
        <f aca="false">ROUND((G52*I52)-K52-L52-M52,2)</f>
        <v>270.19</v>
      </c>
      <c r="O52" s="14"/>
      <c r="P52" s="14" t="n">
        <f aca="false">ROUND(IF(D52=0,IF((N52-E52-O52)&gt;0,(N52-E52-O52),0),IF((D52+N52-O52)&gt;0,(D52+N52-O52),0)),2)</f>
        <v>8697.56</v>
      </c>
      <c r="Q52" s="14" t="n">
        <f aca="false">ROUND(IF(E52=0,IF((D52+N52-O52)&lt;0,ABS(D52+N52-O52),0),IF((N52-E52-O52)&lt;0,ABS(N52-E52-O52),0)),2)</f>
        <v>0</v>
      </c>
    </row>
    <row r="53" customFormat="false" ht="15" hidden="false" customHeight="true" outlineLevel="0" collapsed="false">
      <c r="A53" s="12" t="s">
        <v>155</v>
      </c>
      <c r="B53" s="12" t="str">
        <f aca="false">жовтень!B53</f>
        <v>Ляшенко В.М.</v>
      </c>
      <c r="C53" s="12" t="s">
        <v>157</v>
      </c>
      <c r="D53" s="14" t="n">
        <f aca="false">жовтень!P53</f>
        <v>2542</v>
      </c>
      <c r="E53" s="14" t="n">
        <f aca="false">жовтень!Q53</f>
        <v>0</v>
      </c>
      <c r="F53" s="13" t="n">
        <f aca="false">жовтень!F53</f>
        <v>0</v>
      </c>
      <c r="G53" s="13" t="n">
        <f aca="false">жовтень!G53</f>
        <v>62</v>
      </c>
      <c r="H53" s="13" t="n">
        <f aca="false">жовтень!H53</f>
        <v>0</v>
      </c>
      <c r="I53" s="13" t="n">
        <f aca="false">жовтень!I53</f>
        <v>4.1</v>
      </c>
      <c r="J53" s="14" t="n">
        <f aca="false">ROUND(G53*I53,2)</f>
        <v>254.2</v>
      </c>
      <c r="K53" s="14"/>
      <c r="L53" s="14"/>
      <c r="M53" s="14"/>
      <c r="N53" s="14" t="n">
        <f aca="false">ROUND((G53*I53)-K53-L53-M53,2)</f>
        <v>254.2</v>
      </c>
      <c r="O53" s="14"/>
      <c r="P53" s="14" t="n">
        <f aca="false">ROUND(IF(D53=0,IF((N53-E53-O53)&gt;0,(N53-E53-O53),0),IF((D53+N53-O53)&gt;0,(D53+N53-O53),0)),2)</f>
        <v>2796.2</v>
      </c>
      <c r="Q53" s="14" t="n">
        <f aca="false">ROUND(IF(E53=0,IF((D53+N53-O53)&lt;0,ABS(D53+N53-O53),0),IF((N53-E53-O53)&lt;0,ABS(N53-E53-O53),0)),2)</f>
        <v>0</v>
      </c>
    </row>
    <row r="54" customFormat="false" ht="15" hidden="false" customHeight="true" outlineLevel="0" collapsed="false">
      <c r="A54" s="12" t="s">
        <v>158</v>
      </c>
      <c r="B54" s="12" t="str">
        <f aca="false">жовтень!B54</f>
        <v>Смоленська Т.О.</v>
      </c>
      <c r="C54" s="12" t="s">
        <v>160</v>
      </c>
      <c r="D54" s="14" t="n">
        <f aca="false">жовтень!P54</f>
        <v>1439.1</v>
      </c>
      <c r="E54" s="14" t="n">
        <f aca="false">жовтень!Q54</f>
        <v>0</v>
      </c>
      <c r="F54" s="13" t="n">
        <f aca="false">жовтень!F54</f>
        <v>0</v>
      </c>
      <c r="G54" s="13" t="n">
        <f aca="false">жовтень!G54</f>
        <v>35.1</v>
      </c>
      <c r="H54" s="13" t="n">
        <f aca="false">жовтень!H54</f>
        <v>0</v>
      </c>
      <c r="I54" s="13" t="n">
        <f aca="false">жовтень!I54</f>
        <v>4.1</v>
      </c>
      <c r="J54" s="14" t="n">
        <f aca="false">ROUND(G54*I54,2)</f>
        <v>143.91</v>
      </c>
      <c r="K54" s="14"/>
      <c r="L54" s="14"/>
      <c r="M54" s="14"/>
      <c r="N54" s="14" t="n">
        <f aca="false">ROUND((G54*I54)-K54-L54-M54,2)</f>
        <v>143.91</v>
      </c>
      <c r="O54" s="14"/>
      <c r="P54" s="14" t="n">
        <f aca="false">ROUND(IF(D54=0,IF((N54-E54-O54)&gt;0,(N54-E54-O54),0),IF((D54+N54-O54)&gt;0,(D54+N54-O54),0)),2)</f>
        <v>1583.01</v>
      </c>
      <c r="Q54" s="14" t="n">
        <f aca="false">ROUND(IF(E54=0,IF((D54+N54-O54)&lt;0,ABS(D54+N54-O54),0),IF((N54-E54-O54)&lt;0,ABS(N54-E54-O54),0)),2)</f>
        <v>0</v>
      </c>
    </row>
    <row r="55" customFormat="false" ht="15" hidden="false" customHeight="true" outlineLevel="0" collapsed="false">
      <c r="A55" s="12" t="s">
        <v>161</v>
      </c>
      <c r="B55" s="12" t="str">
        <f aca="false">жовтень!B55</f>
        <v>Дудка І.В.</v>
      </c>
      <c r="C55" s="12" t="s">
        <v>163</v>
      </c>
      <c r="D55" s="14" t="n">
        <f aca="false">жовтень!P55</f>
        <v>2033.6</v>
      </c>
      <c r="E55" s="14" t="n">
        <f aca="false">жовтень!Q55</f>
        <v>0</v>
      </c>
      <c r="F55" s="13" t="n">
        <f aca="false">жовтень!F55</f>
        <v>0</v>
      </c>
      <c r="G55" s="13" t="n">
        <f aca="false">жовтень!G55</f>
        <v>49.6</v>
      </c>
      <c r="H55" s="13" t="n">
        <f aca="false">жовтень!H55</f>
        <v>0</v>
      </c>
      <c r="I55" s="13" t="n">
        <f aca="false">жовтень!I55</f>
        <v>4.1</v>
      </c>
      <c r="J55" s="14" t="n">
        <f aca="false">ROUND(G55*I55,2)</f>
        <v>203.36</v>
      </c>
      <c r="K55" s="14"/>
      <c r="L55" s="14"/>
      <c r="M55" s="14"/>
      <c r="N55" s="14" t="n">
        <f aca="false">ROUND((G55*I55)-K55-L55-M55,2)</f>
        <v>203.36</v>
      </c>
      <c r="O55" s="14"/>
      <c r="P55" s="14" t="n">
        <f aca="false">ROUND(IF(D55=0,IF((N55-E55-O55)&gt;0,(N55-E55-O55),0),IF((D55+N55-O55)&gt;0,(D55+N55-O55),0)),2)</f>
        <v>2236.96</v>
      </c>
      <c r="Q55" s="14" t="n">
        <f aca="false">ROUND(IF(E55=0,IF((D55+N55-O55)&lt;0,ABS(D55+N55-O55),0),IF((N55-E55-O55)&lt;0,ABS(N55-E55-O55),0)),2)</f>
        <v>0</v>
      </c>
    </row>
    <row r="56" customFormat="false" ht="15" hidden="false" customHeight="true" outlineLevel="0" collapsed="false">
      <c r="A56" s="12" t="s">
        <v>164</v>
      </c>
      <c r="B56" s="12" t="str">
        <f aca="false">жовтень!B56</f>
        <v>Буланова Л.І.</v>
      </c>
      <c r="C56" s="12" t="s">
        <v>166</v>
      </c>
      <c r="D56" s="14" t="n">
        <f aca="false">жовтень!P56</f>
        <v>2724</v>
      </c>
      <c r="E56" s="14" t="n">
        <f aca="false">жовтень!Q56</f>
        <v>0</v>
      </c>
      <c r="F56" s="13" t="n">
        <f aca="false">жовтень!F56</f>
        <v>0</v>
      </c>
      <c r="G56" s="13" t="n">
        <f aca="false">жовтень!G56</f>
        <v>66.44</v>
      </c>
      <c r="H56" s="13" t="n">
        <f aca="false">жовтень!H56</f>
        <v>0</v>
      </c>
      <c r="I56" s="13" t="n">
        <f aca="false">жовтень!I56</f>
        <v>4.1</v>
      </c>
      <c r="J56" s="14" t="n">
        <f aca="false">ROUND(G56*I56,2)</f>
        <v>272.4</v>
      </c>
      <c r="K56" s="14"/>
      <c r="L56" s="14"/>
      <c r="M56" s="14"/>
      <c r="N56" s="14" t="n">
        <f aca="false">ROUND((G56*I56)-K56-L56-M56,2)</f>
        <v>272.4</v>
      </c>
      <c r="O56" s="14"/>
      <c r="P56" s="14" t="n">
        <f aca="false">ROUND(IF(D56=0,IF((N56-E56-O56)&gt;0,(N56-E56-O56),0),IF((D56+N56-O56)&gt;0,(D56+N56-O56),0)),2)</f>
        <v>2996.4</v>
      </c>
      <c r="Q56" s="14" t="n">
        <f aca="false">ROUND(IF(E56=0,IF((D56+N56-O56)&lt;0,ABS(D56+N56-O56),0),IF((N56-E56-O56)&lt;0,ABS(N56-E56-O56),0)),2)</f>
        <v>0</v>
      </c>
    </row>
    <row r="57" customFormat="false" ht="15" hidden="false" customHeight="true" outlineLevel="0" collapsed="false">
      <c r="A57" s="12" t="s">
        <v>167</v>
      </c>
      <c r="B57" s="12" t="str">
        <f aca="false">жовтень!B57</f>
        <v>Шалімова О.О.</v>
      </c>
      <c r="C57" s="12" t="s">
        <v>169</v>
      </c>
      <c r="D57" s="14" t="n">
        <f aca="false">жовтень!P57</f>
        <v>2972.33</v>
      </c>
      <c r="E57" s="14" t="n">
        <f aca="false">жовтень!Q57</f>
        <v>0</v>
      </c>
      <c r="F57" s="13" t="n">
        <f aca="false">жовтень!F57</f>
        <v>0</v>
      </c>
      <c r="G57" s="13" t="n">
        <f aca="false">жовтень!G57</f>
        <v>62.1</v>
      </c>
      <c r="H57" s="13" t="n">
        <f aca="false">жовтень!H57</f>
        <v>0</v>
      </c>
      <c r="I57" s="13" t="n">
        <f aca="false">жовтень!I57</f>
        <v>4.1</v>
      </c>
      <c r="J57" s="14" t="n">
        <f aca="false">ROUND(G57*I57,2)</f>
        <v>254.61</v>
      </c>
      <c r="K57" s="14"/>
      <c r="L57" s="14"/>
      <c r="M57" s="14"/>
      <c r="N57" s="14" t="n">
        <f aca="false">ROUND((G57*I57)-K57-L57-M57,2)</f>
        <v>254.61</v>
      </c>
      <c r="O57" s="14"/>
      <c r="P57" s="14" t="n">
        <f aca="false">ROUND(IF(D57=0,IF((N57-E57-O57)&gt;0,(N57-E57-O57),0),IF((D57+N57-O57)&gt;0,(D57+N57-O57),0)),2)</f>
        <v>3226.94</v>
      </c>
      <c r="Q57" s="14" t="n">
        <f aca="false">ROUND(IF(E57=0,IF((D57+N57-O57)&lt;0,ABS(D57+N57-O57),0),IF((N57-E57-O57)&lt;0,ABS(N57-E57-O57),0)),2)</f>
        <v>0</v>
      </c>
    </row>
    <row r="58" customFormat="false" ht="15" hidden="false" customHeight="true" outlineLevel="0" collapsed="false">
      <c r="A58" s="12" t="s">
        <v>170</v>
      </c>
      <c r="B58" s="12" t="str">
        <f aca="false">жовтень!B58</f>
        <v>Андросик О.О.</v>
      </c>
      <c r="C58" s="12" t="s">
        <v>172</v>
      </c>
      <c r="D58" s="14" t="n">
        <f aca="false">жовтень!P58</f>
        <v>2643.9</v>
      </c>
      <c r="E58" s="14" t="n">
        <f aca="false">жовтень!Q58</f>
        <v>0</v>
      </c>
      <c r="F58" s="13" t="n">
        <f aca="false">жовтень!F58</f>
        <v>0</v>
      </c>
      <c r="G58" s="13" t="n">
        <f aca="false">жовтень!G58</f>
        <v>34.9</v>
      </c>
      <c r="H58" s="13" t="n">
        <f aca="false">жовтень!H58</f>
        <v>0</v>
      </c>
      <c r="I58" s="13" t="n">
        <f aca="false">жовтень!I58</f>
        <v>4.1</v>
      </c>
      <c r="J58" s="14" t="n">
        <f aca="false">ROUND(G58*I58,2)</f>
        <v>143.09</v>
      </c>
      <c r="K58" s="14"/>
      <c r="L58" s="14"/>
      <c r="M58" s="14"/>
      <c r="N58" s="14" t="n">
        <f aca="false">ROUND((G58*I58)-K58-L58-M58,2)</f>
        <v>143.09</v>
      </c>
      <c r="O58" s="14"/>
      <c r="P58" s="14" t="n">
        <f aca="false">ROUND(IF(D58=0,IF((N58-E58-O58)&gt;0,(N58-E58-O58),0),IF((D58+N58-O58)&gt;0,(D58+N58-O58),0)),2)</f>
        <v>2786.99</v>
      </c>
      <c r="Q58" s="14" t="n">
        <f aca="false">ROUND(IF(E58=0,IF((D58+N58-O58)&lt;0,ABS(D58+N58-O58),0),IF((N58-E58-O58)&lt;0,ABS(N58-E58-O58),0)),2)</f>
        <v>0</v>
      </c>
    </row>
    <row r="59" customFormat="false" ht="15" hidden="false" customHeight="true" outlineLevel="0" collapsed="false">
      <c r="A59" s="12" t="s">
        <v>173</v>
      </c>
      <c r="B59" s="12" t="str">
        <f aca="false">жовтень!B59</f>
        <v>Токар Є.А.</v>
      </c>
      <c r="C59" s="12" t="s">
        <v>175</v>
      </c>
      <c r="D59" s="14" t="n">
        <f aca="false">жовтень!P59</f>
        <v>5357.75</v>
      </c>
      <c r="E59" s="14" t="n">
        <f aca="false">жовтень!Q59</f>
        <v>0</v>
      </c>
      <c r="F59" s="13" t="n">
        <f aca="false">жовтень!F59</f>
        <v>0</v>
      </c>
      <c r="G59" s="13" t="n">
        <f aca="false">жовтень!G59</f>
        <v>49.22</v>
      </c>
      <c r="H59" s="13" t="n">
        <f aca="false">жовтень!H59</f>
        <v>0</v>
      </c>
      <c r="I59" s="13" t="n">
        <f aca="false">жовтень!I59</f>
        <v>4.1</v>
      </c>
      <c r="J59" s="14" t="n">
        <f aca="false">ROUND(G59*I59,2)</f>
        <v>201.8</v>
      </c>
      <c r="K59" s="14"/>
      <c r="L59" s="14"/>
      <c r="M59" s="14"/>
      <c r="N59" s="14" t="n">
        <f aca="false">ROUND((G59*I59)-K59-L59-M59,2)</f>
        <v>201.8</v>
      </c>
      <c r="O59" s="14"/>
      <c r="P59" s="14" t="n">
        <f aca="false">ROUND(IF(D59=0,IF((N59-E59-O59)&gt;0,(N59-E59-O59),0),IF((D59+N59-O59)&gt;0,(D59+N59-O59),0)),2)</f>
        <v>5559.55</v>
      </c>
      <c r="Q59" s="14" t="n">
        <f aca="false">ROUND(IF(E59=0,IF((D59+N59-O59)&lt;0,ABS(D59+N59-O59),0),IF((N59-E59-O59)&lt;0,ABS(N59-E59-O59),0)),2)</f>
        <v>0</v>
      </c>
    </row>
    <row r="60" customFormat="false" ht="15" hidden="false" customHeight="true" outlineLevel="0" collapsed="false">
      <c r="A60" s="12" t="s">
        <v>176</v>
      </c>
      <c r="B60" s="12" t="str">
        <f aca="false">жовтень!B60</f>
        <v>Констанчук І.В.</v>
      </c>
      <c r="C60" s="12" t="s">
        <v>178</v>
      </c>
      <c r="D60" s="14" t="n">
        <f aca="false">жовтень!P60</f>
        <v>11554.61</v>
      </c>
      <c r="E60" s="14" t="n">
        <f aca="false">жовтень!Q60</f>
        <v>0</v>
      </c>
      <c r="F60" s="13" t="n">
        <f aca="false">жовтень!F60</f>
        <v>0</v>
      </c>
      <c r="G60" s="13" t="n">
        <f aca="false">жовтень!G60</f>
        <v>65.5</v>
      </c>
      <c r="H60" s="13" t="n">
        <f aca="false">жовтень!H60</f>
        <v>0</v>
      </c>
      <c r="I60" s="13" t="n">
        <f aca="false">жовтень!I60</f>
        <v>4.1</v>
      </c>
      <c r="J60" s="14" t="n">
        <f aca="false">ROUND(G60*I60,2)</f>
        <v>268.55</v>
      </c>
      <c r="K60" s="14"/>
      <c r="L60" s="14"/>
      <c r="M60" s="14"/>
      <c r="N60" s="14" t="n">
        <f aca="false">ROUND((G60*I60)-K60-L60-M60,2)</f>
        <v>268.55</v>
      </c>
      <c r="O60" s="14"/>
      <c r="P60" s="14" t="n">
        <f aca="false">ROUND(IF(D60=0,IF((N60-E60-O60)&gt;0,(N60-E60-O60),0),IF((D60+N60-O60)&gt;0,(D60+N60-O60),0)),2)</f>
        <v>11823.16</v>
      </c>
      <c r="Q60" s="14" t="n">
        <f aca="false">ROUND(IF(E60=0,IF((D60+N60-O60)&lt;0,ABS(D60+N60-O60),0),IF((N60-E60-O60)&lt;0,ABS(N60-E60-O60),0)),2)</f>
        <v>0</v>
      </c>
    </row>
    <row r="61" customFormat="false" ht="15" hidden="false" customHeight="true" outlineLevel="0" collapsed="false">
      <c r="A61" s="12" t="s">
        <v>179</v>
      </c>
      <c r="B61" s="12" t="str">
        <f aca="false">жовтень!B61</f>
        <v>Гончаров В.В.</v>
      </c>
      <c r="C61" s="12" t="s">
        <v>181</v>
      </c>
      <c r="D61" s="14" t="n">
        <f aca="false">жовтень!P61</f>
        <v>1922.2</v>
      </c>
      <c r="E61" s="14" t="n">
        <f aca="false">жовтень!Q61</f>
        <v>0</v>
      </c>
      <c r="F61" s="13" t="n">
        <f aca="false">жовтень!F61</f>
        <v>0</v>
      </c>
      <c r="G61" s="13" t="n">
        <f aca="false">жовтень!G61</f>
        <v>62.64</v>
      </c>
      <c r="H61" s="13" t="n">
        <f aca="false">жовтень!H61</f>
        <v>0</v>
      </c>
      <c r="I61" s="13" t="n">
        <f aca="false">жовтень!I61</f>
        <v>4.1</v>
      </c>
      <c r="J61" s="14" t="n">
        <f aca="false">ROUND(G61*I61,2)</f>
        <v>256.82</v>
      </c>
      <c r="K61" s="14"/>
      <c r="L61" s="14"/>
      <c r="M61" s="14"/>
      <c r="N61" s="14" t="n">
        <f aca="false">ROUND((G61*I61)-K61-L61-M61,2)</f>
        <v>256.82</v>
      </c>
      <c r="O61" s="14"/>
      <c r="P61" s="14" t="n">
        <f aca="false">ROUND(IF(D61=0,IF((N61-E61-O61)&gt;0,(N61-E61-O61),0),IF((D61+N61-O61)&gt;0,(D61+N61-O61),0)),2)</f>
        <v>2179.02</v>
      </c>
      <c r="Q61" s="14" t="n">
        <f aca="false">ROUND(IF(E61=0,IF((D61+N61-O61)&lt;0,ABS(D61+N61-O61),0),IF((N61-E61-O61)&lt;0,ABS(N61-E61-O61),0)),2)</f>
        <v>0</v>
      </c>
    </row>
    <row r="62" customFormat="false" ht="15" hidden="false" customHeight="true" outlineLevel="0" collapsed="false">
      <c r="A62" s="12" t="s">
        <v>182</v>
      </c>
      <c r="B62" s="12" t="str">
        <f aca="false">жовтень!B62</f>
        <v>Ляхомський В.О.</v>
      </c>
      <c r="C62" s="12" t="s">
        <v>184</v>
      </c>
      <c r="D62" s="14" t="n">
        <f aca="false">жовтень!P62</f>
        <v>2443.53</v>
      </c>
      <c r="E62" s="14" t="n">
        <f aca="false">жовтень!Q62</f>
        <v>0</v>
      </c>
      <c r="F62" s="13" t="n">
        <f aca="false">жовтень!F62</f>
        <v>0</v>
      </c>
      <c r="G62" s="13" t="n">
        <f aca="false">жовтень!G62</f>
        <v>34.9</v>
      </c>
      <c r="H62" s="13" t="n">
        <f aca="false">жовтень!H62</f>
        <v>0</v>
      </c>
      <c r="I62" s="13" t="n">
        <f aca="false">жовтень!I62</f>
        <v>4.1</v>
      </c>
      <c r="J62" s="14" t="n">
        <f aca="false">ROUND(G62*I62,2)</f>
        <v>143.09</v>
      </c>
      <c r="K62" s="14"/>
      <c r="L62" s="14"/>
      <c r="M62" s="14"/>
      <c r="N62" s="14" t="n">
        <f aca="false">ROUND((G62*I62)-K62-L62-M62,2)</f>
        <v>143.09</v>
      </c>
      <c r="O62" s="14"/>
      <c r="P62" s="14" t="n">
        <f aca="false">ROUND(IF(D62=0,IF((N62-E62-O62)&gt;0,(N62-E62-O62),0),IF((D62+N62-O62)&gt;0,(D62+N62-O62),0)),2)</f>
        <v>2586.62</v>
      </c>
      <c r="Q62" s="14" t="n">
        <f aca="false">ROUND(IF(E62=0,IF((D62+N62-O62)&lt;0,ABS(D62+N62-O62),0),IF((N62-E62-O62)&lt;0,ABS(N62-E62-O62),0)),2)</f>
        <v>0</v>
      </c>
    </row>
    <row r="63" customFormat="false" ht="15" hidden="false" customHeight="true" outlineLevel="0" collapsed="false">
      <c r="A63" s="12" t="s">
        <v>185</v>
      </c>
      <c r="B63" s="12" t="str">
        <f aca="false">жовтень!B63</f>
        <v>Крамаренко В.П.</v>
      </c>
      <c r="C63" s="12" t="s">
        <v>187</v>
      </c>
      <c r="D63" s="14" t="n">
        <f aca="false">жовтень!P63</f>
        <v>2857.96</v>
      </c>
      <c r="E63" s="14" t="n">
        <f aca="false">жовтень!Q63</f>
        <v>0</v>
      </c>
      <c r="F63" s="13" t="n">
        <f aca="false">жовтень!F63</f>
        <v>0</v>
      </c>
      <c r="G63" s="13" t="n">
        <f aca="false">жовтень!G63</f>
        <v>49.79</v>
      </c>
      <c r="H63" s="13" t="n">
        <f aca="false">жовтень!H63</f>
        <v>0</v>
      </c>
      <c r="I63" s="13" t="n">
        <f aca="false">жовтень!I63</f>
        <v>4.1</v>
      </c>
      <c r="J63" s="14" t="n">
        <f aca="false">ROUND(G63*I63,2)</f>
        <v>204.14</v>
      </c>
      <c r="K63" s="14"/>
      <c r="L63" s="14"/>
      <c r="M63" s="14"/>
      <c r="N63" s="14" t="n">
        <f aca="false">ROUND((G63*I63)-K63-L63-M63,2)</f>
        <v>204.14</v>
      </c>
      <c r="O63" s="14"/>
      <c r="P63" s="14" t="n">
        <f aca="false">ROUND(IF(D63=0,IF((N63-E63-O63)&gt;0,(N63-E63-O63),0),IF((D63+N63-O63)&gt;0,(D63+N63-O63),0)),2)</f>
        <v>3062.1</v>
      </c>
      <c r="Q63" s="14" t="n">
        <f aca="false">ROUND(IF(E63=0,IF((D63+N63-O63)&lt;0,ABS(D63+N63-O63),0),IF((N63-E63-O63)&lt;0,ABS(N63-E63-O63),0)),2)</f>
        <v>0</v>
      </c>
    </row>
    <row r="64" customFormat="false" ht="15" hidden="false" customHeight="true" outlineLevel="0" collapsed="false">
      <c r="A64" s="12" t="s">
        <v>188</v>
      </c>
      <c r="B64" s="12" t="str">
        <f aca="false">жовтень!B64</f>
        <v>Родзик С.Г.</v>
      </c>
      <c r="C64" s="12" t="s">
        <v>190</v>
      </c>
      <c r="D64" s="14" t="n">
        <f aca="false">жовтень!P64</f>
        <v>6148.36</v>
      </c>
      <c r="E64" s="14" t="n">
        <f aca="false">жовтень!Q64</f>
        <v>0</v>
      </c>
      <c r="F64" s="13" t="n">
        <f aca="false">жовтень!F64</f>
        <v>0</v>
      </c>
      <c r="G64" s="13" t="n">
        <f aca="false">жовтень!G64</f>
        <v>65.2</v>
      </c>
      <c r="H64" s="13" t="n">
        <f aca="false">жовтень!H64</f>
        <v>0</v>
      </c>
      <c r="I64" s="13" t="n">
        <f aca="false">жовтень!I64</f>
        <v>4.1</v>
      </c>
      <c r="J64" s="14" t="n">
        <f aca="false">ROUND(G64*I64,2)</f>
        <v>267.32</v>
      </c>
      <c r="K64" s="14"/>
      <c r="L64" s="14"/>
      <c r="M64" s="14"/>
      <c r="N64" s="14" t="n">
        <f aca="false">ROUND((G64*I64)-K64-L64-M64,2)</f>
        <v>267.32</v>
      </c>
      <c r="O64" s="14"/>
      <c r="P64" s="14" t="n">
        <f aca="false">ROUND(IF(D64=0,IF((N64-E64-O64)&gt;0,(N64-E64-O64),0),IF((D64+N64-O64)&gt;0,(D64+N64-O64),0)),2)</f>
        <v>6415.68</v>
      </c>
      <c r="Q64" s="14" t="n">
        <f aca="false">ROUND(IF(E64=0,IF((D64+N64-O64)&lt;0,ABS(D64+N64-O64),0),IF((N64-E64-O64)&lt;0,ABS(N64-E64-O64),0)),2)</f>
        <v>0</v>
      </c>
    </row>
    <row r="65" customFormat="false" ht="15" hidden="false" customHeight="true" outlineLevel="0" collapsed="false">
      <c r="A65" s="12" t="s">
        <v>191</v>
      </c>
      <c r="B65" s="12" t="str">
        <f aca="false">жовтень!B65</f>
        <v>Никоненко Н.С.</v>
      </c>
      <c r="C65" s="12" t="s">
        <v>193</v>
      </c>
      <c r="D65" s="14" t="n">
        <f aca="false">жовтень!P65</f>
        <v>12580.12</v>
      </c>
      <c r="E65" s="14" t="n">
        <f aca="false">жовтень!Q65</f>
        <v>0</v>
      </c>
      <c r="F65" s="13" t="n">
        <f aca="false">жовтень!F65</f>
        <v>0</v>
      </c>
      <c r="G65" s="13" t="n">
        <f aca="false">жовтень!G65</f>
        <v>61.88</v>
      </c>
      <c r="H65" s="13" t="n">
        <f aca="false">жовтень!H65</f>
        <v>0</v>
      </c>
      <c r="I65" s="13" t="n">
        <f aca="false">жовтень!I65</f>
        <v>4.1</v>
      </c>
      <c r="J65" s="14" t="n">
        <f aca="false">ROUND(G65*I65,2)</f>
        <v>253.71</v>
      </c>
      <c r="K65" s="14"/>
      <c r="L65" s="14"/>
      <c r="M65" s="14"/>
      <c r="N65" s="14" t="n">
        <f aca="false">ROUND((G65*I65)-K65-L65-M65,2)</f>
        <v>253.71</v>
      </c>
      <c r="O65" s="14"/>
      <c r="P65" s="14" t="n">
        <f aca="false">ROUND(IF(D65=0,IF((N65-E65-O65)&gt;0,(N65-E65-O65),0),IF((D65+N65-O65)&gt;0,(D65+N65-O65),0)),2)</f>
        <v>12833.83</v>
      </c>
      <c r="Q65" s="14" t="n">
        <f aca="false">ROUND(IF(E65=0,IF((D65+N65-O65)&lt;0,ABS(D65+N65-O65),0),IF((N65-E65-O65)&lt;0,ABS(N65-E65-O65),0)),2)</f>
        <v>0</v>
      </c>
    </row>
    <row r="66" customFormat="false" ht="15" hidden="false" customHeight="true" outlineLevel="0" collapsed="false">
      <c r="A66" s="12" t="s">
        <v>194</v>
      </c>
      <c r="B66" s="12" t="str">
        <f aca="false">жовтень!B66</f>
        <v>Чепок О.В.</v>
      </c>
      <c r="C66" s="12" t="s">
        <v>196</v>
      </c>
      <c r="D66" s="14" t="n">
        <f aca="false">жовтень!P66</f>
        <v>7018.91</v>
      </c>
      <c r="E66" s="14" t="n">
        <f aca="false">жовтень!Q66</f>
        <v>0</v>
      </c>
      <c r="F66" s="13" t="n">
        <f aca="false">жовтень!F66</f>
        <v>0</v>
      </c>
      <c r="G66" s="13" t="n">
        <f aca="false">жовтень!G66</f>
        <v>35</v>
      </c>
      <c r="H66" s="13" t="n">
        <f aca="false">жовтень!H66</f>
        <v>0</v>
      </c>
      <c r="I66" s="13" t="n">
        <f aca="false">жовтень!I66</f>
        <v>4.1</v>
      </c>
      <c r="J66" s="14" t="n">
        <f aca="false">ROUND(G66*I66,2)</f>
        <v>143.5</v>
      </c>
      <c r="K66" s="14"/>
      <c r="L66" s="14"/>
      <c r="M66" s="14"/>
      <c r="N66" s="14" t="n">
        <f aca="false">ROUND((G66*I66)-K66-L66-M66,2)</f>
        <v>143.5</v>
      </c>
      <c r="O66" s="14"/>
      <c r="P66" s="14" t="n">
        <f aca="false">ROUND(IF(D66=0,IF((N66-E66-O66)&gt;0,(N66-E66-O66),0),IF((D66+N66-O66)&gt;0,(D66+N66-O66),0)),2)</f>
        <v>7162.41</v>
      </c>
      <c r="Q66" s="14" t="n">
        <f aca="false">ROUND(IF(E66=0,IF((D66+N66-O66)&lt;0,ABS(D66+N66-O66),0),IF((N66-E66-O66)&lt;0,ABS(N66-E66-O66),0)),2)</f>
        <v>0</v>
      </c>
    </row>
    <row r="67" customFormat="false" ht="15" hidden="false" customHeight="true" outlineLevel="0" collapsed="false">
      <c r="A67" s="12" t="s">
        <v>197</v>
      </c>
      <c r="B67" s="12" t="str">
        <f aca="false">жовтень!B67</f>
        <v>Горошенко Л.С.</v>
      </c>
      <c r="C67" s="12" t="s">
        <v>199</v>
      </c>
      <c r="D67" s="14" t="n">
        <f aca="false">жовтень!P67</f>
        <v>4042.6</v>
      </c>
      <c r="E67" s="14" t="n">
        <f aca="false">жовтень!Q67</f>
        <v>0</v>
      </c>
      <c r="F67" s="13" t="n">
        <f aca="false">жовтень!F67</f>
        <v>0</v>
      </c>
      <c r="G67" s="13" t="n">
        <f aca="false">жовтень!G67</f>
        <v>49.3</v>
      </c>
      <c r="H67" s="13" t="n">
        <f aca="false">жовтень!H67</f>
        <v>0</v>
      </c>
      <c r="I67" s="13" t="n">
        <f aca="false">жовтень!I67</f>
        <v>4.1</v>
      </c>
      <c r="J67" s="14" t="n">
        <f aca="false">ROUND(G67*I67,2)</f>
        <v>202.13</v>
      </c>
      <c r="K67" s="14"/>
      <c r="L67" s="14"/>
      <c r="M67" s="14"/>
      <c r="N67" s="14" t="n">
        <f aca="false">ROUND((G67*I67)-K67-L67-M67,2)</f>
        <v>202.13</v>
      </c>
      <c r="O67" s="14"/>
      <c r="P67" s="14" t="n">
        <f aca="false">ROUND(IF(D67=0,IF((N67-E67-O67)&gt;0,(N67-E67-O67),0),IF((D67+N67-O67)&gt;0,(D67+N67-O67),0)),2)</f>
        <v>4244.73</v>
      </c>
      <c r="Q67" s="14" t="n">
        <f aca="false">ROUND(IF(E67=0,IF((D67+N67-O67)&lt;0,ABS(D67+N67-O67),0),IF((N67-E67-O67)&lt;0,ABS(N67-E67-O67),0)),2)</f>
        <v>0</v>
      </c>
    </row>
    <row r="68" customFormat="false" ht="15" hidden="false" customHeight="true" outlineLevel="0" collapsed="false">
      <c r="A68" s="12" t="s">
        <v>200</v>
      </c>
      <c r="B68" s="12" t="str">
        <f aca="false">жовтень!B68</f>
        <v>Неграчева Л.Г.</v>
      </c>
      <c r="C68" s="12" t="s">
        <v>202</v>
      </c>
      <c r="D68" s="14" t="n">
        <f aca="false">жовтень!P68</f>
        <v>2730.6</v>
      </c>
      <c r="E68" s="14" t="n">
        <f aca="false">жовтень!Q68</f>
        <v>0</v>
      </c>
      <c r="F68" s="13" t="n">
        <f aca="false">жовтень!F68</f>
        <v>0</v>
      </c>
      <c r="G68" s="13" t="n">
        <f aca="false">жовтень!G68</f>
        <v>66.6</v>
      </c>
      <c r="H68" s="13" t="n">
        <f aca="false">жовтень!H68</f>
        <v>0</v>
      </c>
      <c r="I68" s="13" t="n">
        <f aca="false">жовтень!I68</f>
        <v>4.1</v>
      </c>
      <c r="J68" s="14" t="n">
        <f aca="false">ROUND(G68*I68,2)</f>
        <v>273.06</v>
      </c>
      <c r="K68" s="14"/>
      <c r="L68" s="14"/>
      <c r="M68" s="14"/>
      <c r="N68" s="14" t="n">
        <f aca="false">ROUND((G68*I68)-K68-L68-M68,2)</f>
        <v>273.06</v>
      </c>
      <c r="O68" s="14"/>
      <c r="P68" s="14" t="n">
        <f aca="false">ROUND(IF(D68=0,IF((N68-E68-O68)&gt;0,(N68-E68-O68),0),IF((D68+N68-O68)&gt;0,(D68+N68-O68),0)),2)</f>
        <v>3003.66</v>
      </c>
      <c r="Q68" s="14" t="n">
        <f aca="false">ROUND(IF(E68=0,IF((D68+N68-O68)&lt;0,ABS(D68+N68-O68),0),IF((N68-E68-O68)&lt;0,ABS(N68-E68-O68),0)),2)</f>
        <v>0</v>
      </c>
    </row>
    <row r="69" customFormat="false" ht="15" hidden="false" customHeight="true" outlineLevel="0" collapsed="false">
      <c r="A69" s="12" t="s">
        <v>203</v>
      </c>
      <c r="B69" s="12" t="str">
        <f aca="false">жовтень!B69</f>
        <v>Брежнєв О.В.</v>
      </c>
      <c r="C69" s="12" t="s">
        <v>205</v>
      </c>
      <c r="D69" s="14" t="n">
        <f aca="false">жовтень!P69</f>
        <v>3951.34</v>
      </c>
      <c r="E69" s="14" t="n">
        <f aca="false">жовтень!Q69</f>
        <v>0</v>
      </c>
      <c r="F69" s="13" t="n">
        <f aca="false">жовтень!F69</f>
        <v>0</v>
      </c>
      <c r="G69" s="13" t="n">
        <f aca="false">жовтень!G69</f>
        <v>61.88</v>
      </c>
      <c r="H69" s="13" t="n">
        <f aca="false">жовтень!H69</f>
        <v>0</v>
      </c>
      <c r="I69" s="13" t="n">
        <f aca="false">жовтень!I69</f>
        <v>4.1</v>
      </c>
      <c r="J69" s="14" t="n">
        <f aca="false">ROUND(G69*I69,2)</f>
        <v>253.71</v>
      </c>
      <c r="K69" s="14"/>
      <c r="L69" s="14"/>
      <c r="M69" s="14"/>
      <c r="N69" s="14" t="n">
        <f aca="false">ROUND((G69*I69)-K69-L69-M69,2)</f>
        <v>253.71</v>
      </c>
      <c r="O69" s="14"/>
      <c r="P69" s="14" t="n">
        <f aca="false">ROUND(IF(D69=0,IF((N69-E69-O69)&gt;0,(N69-E69-O69),0),IF((D69+N69-O69)&gt;0,(D69+N69-O69),0)),2)</f>
        <v>4205.05</v>
      </c>
      <c r="Q69" s="14" t="n">
        <f aca="false">ROUND(IF(E69=0,IF((D69+N69-O69)&lt;0,ABS(D69+N69-O69),0),IF((N69-E69-O69)&lt;0,ABS(N69-E69-O69),0)),2)</f>
        <v>0</v>
      </c>
    </row>
    <row r="70" customFormat="false" ht="15" hidden="false" customHeight="true" outlineLevel="0" collapsed="false">
      <c r="A70" s="12" t="s">
        <v>206</v>
      </c>
      <c r="B70" s="12" t="str">
        <f aca="false">жовтень!B70</f>
        <v>Горбатюк К.О.</v>
      </c>
      <c r="C70" s="12" t="s">
        <v>208</v>
      </c>
      <c r="D70" s="14" t="n">
        <f aca="false">жовтень!P70</f>
        <v>2436.78</v>
      </c>
      <c r="E70" s="14" t="n">
        <f aca="false">жовтень!Q70</f>
        <v>0</v>
      </c>
      <c r="F70" s="13" t="n">
        <f aca="false">жовтень!F70</f>
        <v>0</v>
      </c>
      <c r="G70" s="13" t="n">
        <f aca="false">жовтень!G70</f>
        <v>34.96</v>
      </c>
      <c r="H70" s="13" t="n">
        <f aca="false">жовтень!H70</f>
        <v>0</v>
      </c>
      <c r="I70" s="13" t="n">
        <f aca="false">жовтень!I70</f>
        <v>4.1</v>
      </c>
      <c r="J70" s="14" t="n">
        <f aca="false">ROUND(G70*I70,2)</f>
        <v>143.34</v>
      </c>
      <c r="K70" s="14"/>
      <c r="L70" s="14"/>
      <c r="M70" s="14"/>
      <c r="N70" s="14" t="n">
        <f aca="false">ROUND((G70*I70)-K70-L70-M70,2)</f>
        <v>143.34</v>
      </c>
      <c r="O70" s="14"/>
      <c r="P70" s="14" t="n">
        <f aca="false">ROUND(IF(D70=0,IF((N70-E70-O70)&gt;0,(N70-E70-O70),0),IF((D70+N70-O70)&gt;0,(D70+N70-O70),0)),2)</f>
        <v>2580.12</v>
      </c>
      <c r="Q70" s="14" t="n">
        <f aca="false">ROUND(IF(E70=0,IF((D70+N70-O70)&lt;0,ABS(D70+N70-O70),0),IF((N70-E70-O70)&lt;0,ABS(N70-E70-O70),0)),2)</f>
        <v>0</v>
      </c>
    </row>
    <row r="71" customFormat="false" ht="15" hidden="false" customHeight="true" outlineLevel="0" collapsed="false">
      <c r="A71" s="12" t="s">
        <v>209</v>
      </c>
      <c r="B71" s="12" t="str">
        <f aca="false">жовтень!B71</f>
        <v>Божик М.О.</v>
      </c>
      <c r="C71" s="12" t="s">
        <v>211</v>
      </c>
      <c r="D71" s="14" t="n">
        <f aca="false">жовтень!P71</f>
        <v>1846.08</v>
      </c>
      <c r="E71" s="14" t="n">
        <f aca="false">жовтень!Q71</f>
        <v>0</v>
      </c>
      <c r="F71" s="13" t="n">
        <f aca="false">жовтень!F71</f>
        <v>0</v>
      </c>
      <c r="G71" s="13" t="n">
        <f aca="false">жовтень!G71</f>
        <v>50.03</v>
      </c>
      <c r="H71" s="13" t="n">
        <f aca="false">жовтень!H71</f>
        <v>0</v>
      </c>
      <c r="I71" s="13" t="n">
        <f aca="false">жовтень!I71</f>
        <v>4.1</v>
      </c>
      <c r="J71" s="14" t="n">
        <f aca="false">ROUND(G71*I71,2)</f>
        <v>205.12</v>
      </c>
      <c r="K71" s="14"/>
      <c r="L71" s="14"/>
      <c r="M71" s="14"/>
      <c r="N71" s="14" t="n">
        <f aca="false">ROUND((G71*I71)-K71-L71-M71,2)</f>
        <v>205.12</v>
      </c>
      <c r="O71" s="14"/>
      <c r="P71" s="14" t="n">
        <f aca="false">ROUND(IF(D71=0,IF((N71-E71-O71)&gt;0,(N71-E71-O71),0),IF((D71+N71-O71)&gt;0,(D71+N71-O71),0)),2)</f>
        <v>2051.2</v>
      </c>
      <c r="Q71" s="14" t="n">
        <f aca="false">ROUND(IF(E71=0,IF((D71+N71-O71)&lt;0,ABS(D71+N71-O71),0),IF((N71-E71-O71)&lt;0,ABS(N71-E71-O71),0)),2)</f>
        <v>0</v>
      </c>
    </row>
    <row r="72" customFormat="false" ht="15" hidden="false" customHeight="true" outlineLevel="0" collapsed="false">
      <c r="A72" s="12" t="s">
        <v>212</v>
      </c>
      <c r="B72" s="12" t="str">
        <f aca="false">жовтень!B72</f>
        <v>Зайченко С.Л</v>
      </c>
      <c r="C72" s="12" t="s">
        <v>214</v>
      </c>
      <c r="D72" s="14" t="n">
        <f aca="false">жовтень!P72</f>
        <v>15196.17</v>
      </c>
      <c r="E72" s="14" t="n">
        <f aca="false">жовтень!Q72</f>
        <v>0</v>
      </c>
      <c r="F72" s="13" t="n">
        <f aca="false">жовтень!F72</f>
        <v>0</v>
      </c>
      <c r="G72" s="13" t="n">
        <f aca="false">жовтень!G72</f>
        <v>65.15</v>
      </c>
      <c r="H72" s="13" t="n">
        <f aca="false">жовтень!H72</f>
        <v>0</v>
      </c>
      <c r="I72" s="13" t="n">
        <f aca="false">жовтень!I72</f>
        <v>4.1</v>
      </c>
      <c r="J72" s="14" t="n">
        <f aca="false">ROUND(G72*I72,2)</f>
        <v>267.12</v>
      </c>
      <c r="K72" s="14"/>
      <c r="L72" s="14"/>
      <c r="M72" s="14"/>
      <c r="N72" s="14" t="n">
        <f aca="false">ROUND((G72*I72)-K72-L72-M72,2)</f>
        <v>267.12</v>
      </c>
      <c r="O72" s="14"/>
      <c r="P72" s="14" t="n">
        <f aca="false">ROUND(IF(D72=0,IF((N72-E72-O72)&gt;0,(N72-E72-O72),0),IF((D72+N72-O72)&gt;0,(D72+N72-O72),0)),2)</f>
        <v>15463.29</v>
      </c>
      <c r="Q72" s="14" t="n">
        <f aca="false">ROUND(IF(E72=0,IF((D72+N72-O72)&lt;0,ABS(D72+N72-O72),0),IF((N72-E72-O72)&lt;0,ABS(N72-E72-O72),0)),2)</f>
        <v>0</v>
      </c>
    </row>
    <row r="73" customFormat="false" ht="15" hidden="false" customHeight="true" outlineLevel="0" collapsed="false">
      <c r="A73" s="12" t="s">
        <v>215</v>
      </c>
      <c r="B73" s="12" t="str">
        <f aca="false">жовтень!B73</f>
        <v>Бессараб Н.Г.</v>
      </c>
      <c r="C73" s="12" t="s">
        <v>217</v>
      </c>
      <c r="D73" s="14" t="n">
        <f aca="false">жовтень!P73</f>
        <v>4147.77</v>
      </c>
      <c r="E73" s="14" t="n">
        <f aca="false">жовтень!Q73</f>
        <v>0</v>
      </c>
      <c r="F73" s="13" t="n">
        <f aca="false">жовтень!F73</f>
        <v>0</v>
      </c>
      <c r="G73" s="13" t="n">
        <f aca="false">жовтень!G73</f>
        <v>63.41</v>
      </c>
      <c r="H73" s="13" t="n">
        <f aca="false">жовтень!H73</f>
        <v>0</v>
      </c>
      <c r="I73" s="13" t="n">
        <f aca="false">жовтень!I73</f>
        <v>4.1</v>
      </c>
      <c r="J73" s="14" t="n">
        <f aca="false">ROUND(G73*I73,2)</f>
        <v>259.98</v>
      </c>
      <c r="K73" s="14"/>
      <c r="L73" s="14"/>
      <c r="M73" s="14"/>
      <c r="N73" s="14" t="n">
        <f aca="false">ROUND((G73*I73)-K73-L73-M73,2)</f>
        <v>259.98</v>
      </c>
      <c r="O73" s="14"/>
      <c r="P73" s="14" t="n">
        <f aca="false">ROUND(IF(D73=0,IF((N73-E73-O73)&gt;0,(N73-E73-O73),0),IF((D73+N73-O73)&gt;0,(D73+N73-O73),0)),2)</f>
        <v>4407.75</v>
      </c>
      <c r="Q73" s="14" t="n">
        <f aca="false">ROUND(IF(E73=0,IF((D73+N73-O73)&lt;0,ABS(D73+N73-O73),0),IF((N73-E73-O73)&lt;0,ABS(N73-E73-O73),0)),2)</f>
        <v>0</v>
      </c>
    </row>
    <row r="74" customFormat="false" ht="15" hidden="false" customHeight="true" outlineLevel="0" collapsed="false">
      <c r="A74" s="12" t="s">
        <v>218</v>
      </c>
      <c r="B74" s="12" t="str">
        <f aca="false">жовтень!B74</f>
        <v>Прохорова С.І.</v>
      </c>
      <c r="C74" s="12" t="s">
        <v>220</v>
      </c>
      <c r="D74" s="14" t="n">
        <f aca="false">жовтень!P74</f>
        <v>1397.04</v>
      </c>
      <c r="E74" s="14" t="n">
        <f aca="false">жовтень!Q74</f>
        <v>0</v>
      </c>
      <c r="F74" s="13" t="n">
        <f aca="false">жовтень!F74</f>
        <v>0</v>
      </c>
      <c r="G74" s="13" t="n">
        <f aca="false">жовтень!G74</f>
        <v>35.19</v>
      </c>
      <c r="H74" s="13" t="n">
        <f aca="false">жовтень!H74</f>
        <v>0</v>
      </c>
      <c r="I74" s="13" t="n">
        <f aca="false">жовтень!I74</f>
        <v>4.1</v>
      </c>
      <c r="J74" s="14" t="n">
        <f aca="false">ROUND(G74*I74,2)</f>
        <v>144.28</v>
      </c>
      <c r="K74" s="14"/>
      <c r="L74" s="14"/>
      <c r="M74" s="14"/>
      <c r="N74" s="14" t="n">
        <f aca="false">ROUND((G74*I74)-K74-L74-M74,2)</f>
        <v>144.28</v>
      </c>
      <c r="O74" s="14"/>
      <c r="P74" s="14" t="n">
        <f aca="false">ROUND(IF(D74=0,IF((N74-E74-O74)&gt;0,(N74-E74-O74),0),IF((D74+N74-O74)&gt;0,(D74+N74-O74),0)),2)</f>
        <v>1541.32</v>
      </c>
      <c r="Q74" s="14" t="n">
        <f aca="false">ROUND(IF(E74=0,IF((D74+N74-O74)&lt;0,ABS(D74+N74-O74),0),IF((N74-E74-O74)&lt;0,ABS(N74-E74-O74),0)),2)</f>
        <v>0</v>
      </c>
    </row>
    <row r="75" customFormat="false" ht="15" hidden="false" customHeight="true" outlineLevel="0" collapsed="false">
      <c r="A75" s="12" t="s">
        <v>221</v>
      </c>
      <c r="B75" s="12" t="str">
        <f aca="false">жовтень!B75</f>
        <v>Браташ А.Ф.</v>
      </c>
      <c r="C75" s="12" t="s">
        <v>223</v>
      </c>
      <c r="D75" s="14" t="n">
        <f aca="false">жовтень!P75</f>
        <v>11926.57</v>
      </c>
      <c r="E75" s="14" t="n">
        <f aca="false">жовтень!Q75</f>
        <v>0</v>
      </c>
      <c r="F75" s="13" t="n">
        <f aca="false">жовтень!F75</f>
        <v>0</v>
      </c>
      <c r="G75" s="13" t="n">
        <f aca="false">жовтень!G75</f>
        <v>49.89</v>
      </c>
      <c r="H75" s="13" t="n">
        <f aca="false">жовтень!H75</f>
        <v>0</v>
      </c>
      <c r="I75" s="13" t="n">
        <f aca="false">жовтень!I75</f>
        <v>4.1</v>
      </c>
      <c r="J75" s="14" t="n">
        <f aca="false">ROUND(G75*I75,2)</f>
        <v>204.55</v>
      </c>
      <c r="K75" s="14"/>
      <c r="L75" s="14"/>
      <c r="M75" s="14"/>
      <c r="N75" s="14" t="n">
        <f aca="false">ROUND((G75*I75)-K75-L75-M75,2)</f>
        <v>204.55</v>
      </c>
      <c r="O75" s="14"/>
      <c r="P75" s="14" t="n">
        <f aca="false">ROUND(IF(D75=0,IF((N75-E75-O75)&gt;0,(N75-E75-O75),0),IF((D75+N75-O75)&gt;0,(D75+N75-O75),0)),2)</f>
        <v>12131.12</v>
      </c>
      <c r="Q75" s="14" t="n">
        <f aca="false">ROUND(IF(E75=0,IF((D75+N75-O75)&lt;0,ABS(D75+N75-O75),0),IF((N75-E75-O75)&lt;0,ABS(N75-E75-O75),0)),2)</f>
        <v>0</v>
      </c>
    </row>
    <row r="76" customFormat="false" ht="15" hidden="false" customHeight="true" outlineLevel="0" collapsed="false">
      <c r="A76" s="12" t="s">
        <v>224</v>
      </c>
      <c r="B76" s="12" t="str">
        <f aca="false">жовтень!B76</f>
        <v>Кудас Д.О.</v>
      </c>
      <c r="C76" s="12" t="s">
        <v>226</v>
      </c>
      <c r="D76" s="14" t="n">
        <f aca="false">жовтень!P76</f>
        <v>3732.68</v>
      </c>
      <c r="E76" s="14" t="n">
        <f aca="false">жовтень!Q76</f>
        <v>0</v>
      </c>
      <c r="F76" s="13" t="n">
        <f aca="false">жовтень!F76</f>
        <v>0</v>
      </c>
      <c r="G76" s="13" t="n">
        <f aca="false">жовтень!G76</f>
        <v>65.03</v>
      </c>
      <c r="H76" s="13" t="n">
        <f aca="false">жовтень!H76</f>
        <v>0</v>
      </c>
      <c r="I76" s="13" t="n">
        <f aca="false">жовтень!I76</f>
        <v>4.1</v>
      </c>
      <c r="J76" s="14" t="n">
        <f aca="false">ROUND(G76*I76,2)</f>
        <v>266.62</v>
      </c>
      <c r="K76" s="14"/>
      <c r="L76" s="14"/>
      <c r="M76" s="14"/>
      <c r="N76" s="14" t="n">
        <f aca="false">ROUND((G76*I76)-K76-L76-M76,2)</f>
        <v>266.62</v>
      </c>
      <c r="O76" s="14"/>
      <c r="P76" s="14" t="n">
        <f aca="false">ROUND(IF(D76=0,IF((N76-E76-O76)&gt;0,(N76-E76-O76),0),IF((D76+N76-O76)&gt;0,(D76+N76-O76),0)),2)</f>
        <v>3999.3</v>
      </c>
      <c r="Q76" s="14" t="n">
        <f aca="false">ROUND(IF(E76=0,IF((D76+N76-O76)&lt;0,ABS(D76+N76-O76),0),IF((N76-E76-O76)&lt;0,ABS(N76-E76-O76),0)),2)</f>
        <v>0</v>
      </c>
    </row>
    <row r="77" customFormat="false" ht="15" hidden="false" customHeight="true" outlineLevel="0" collapsed="false">
      <c r="A77" s="12" t="s">
        <v>227</v>
      </c>
      <c r="B77" s="12" t="str">
        <f aca="false">жовтень!B77</f>
        <v>Шушлєбін Б.В.</v>
      </c>
      <c r="C77" s="12" t="s">
        <v>229</v>
      </c>
      <c r="D77" s="14" t="n">
        <f aca="false">жовтень!P77</f>
        <v>2375.8</v>
      </c>
      <c r="E77" s="14" t="n">
        <f aca="false">жовтень!Q77</f>
        <v>0</v>
      </c>
      <c r="F77" s="13" t="n">
        <f aca="false">жовтень!F77</f>
        <v>0</v>
      </c>
      <c r="G77" s="13" t="n">
        <f aca="false">жовтень!G77</f>
        <v>62.11</v>
      </c>
      <c r="H77" s="13" t="n">
        <f aca="false">жовтень!H77</f>
        <v>0</v>
      </c>
      <c r="I77" s="13" t="n">
        <f aca="false">жовтень!I77</f>
        <v>4.1</v>
      </c>
      <c r="J77" s="14" t="n">
        <f aca="false">ROUND(G77*I77,2)</f>
        <v>254.65</v>
      </c>
      <c r="K77" s="14"/>
      <c r="L77" s="14"/>
      <c r="M77" s="14"/>
      <c r="N77" s="14" t="n">
        <f aca="false">ROUND((G77*I77)-K77-L77-M77,2)</f>
        <v>254.65</v>
      </c>
      <c r="O77" s="14"/>
      <c r="P77" s="14" t="n">
        <f aca="false">ROUND(IF(D77=0,IF((N77-E77-O77)&gt;0,(N77-E77-O77),0),IF((D77+N77-O77)&gt;0,(D77+N77-O77),0)),2)</f>
        <v>2630.45</v>
      </c>
      <c r="Q77" s="14" t="n">
        <f aca="false">ROUND(IF(E77=0,IF((D77+N77-O77)&lt;0,ABS(D77+N77-O77),0),IF((N77-E77-O77)&lt;0,ABS(N77-E77-O77),0)),2)</f>
        <v>0</v>
      </c>
    </row>
    <row r="78" customFormat="false" ht="15" hidden="false" customHeight="true" outlineLevel="0" collapsed="false">
      <c r="A78" s="12" t="s">
        <v>230</v>
      </c>
      <c r="B78" s="12" t="str">
        <f aca="false">жовтень!B78</f>
        <v>Бородіна І.О.</v>
      </c>
      <c r="C78" s="12" t="s">
        <v>232</v>
      </c>
      <c r="D78" s="14" t="n">
        <f aca="false">жовтень!P78</f>
        <v>7620.89</v>
      </c>
      <c r="E78" s="14" t="n">
        <f aca="false">жовтень!Q78</f>
        <v>0</v>
      </c>
      <c r="F78" s="13" t="n">
        <f aca="false">жовтень!F78</f>
        <v>0</v>
      </c>
      <c r="G78" s="13" t="n">
        <f aca="false">жовтень!G78</f>
        <v>34.9</v>
      </c>
      <c r="H78" s="13" t="n">
        <f aca="false">жовтень!H78</f>
        <v>0</v>
      </c>
      <c r="I78" s="13" t="n">
        <f aca="false">жовтень!I78</f>
        <v>4.1</v>
      </c>
      <c r="J78" s="14" t="n">
        <f aca="false">ROUND(G78*I78,2)</f>
        <v>143.09</v>
      </c>
      <c r="K78" s="14"/>
      <c r="L78" s="14"/>
      <c r="M78" s="14"/>
      <c r="N78" s="14" t="n">
        <f aca="false">ROUND((G78*I78)-K78-L78-M78,2)</f>
        <v>143.09</v>
      </c>
      <c r="O78" s="14"/>
      <c r="P78" s="14" t="n">
        <f aca="false">ROUND(IF(D78=0,IF((N78-E78-O78)&gt;0,(N78-E78-O78),0),IF((D78+N78-O78)&gt;0,(D78+N78-O78),0)),2)</f>
        <v>7763.98</v>
      </c>
      <c r="Q78" s="14" t="n">
        <f aca="false">ROUND(IF(E78=0,IF((D78+N78-O78)&lt;0,ABS(D78+N78-O78),0),IF((N78-E78-O78)&lt;0,ABS(N78-E78-O78),0)),2)</f>
        <v>0</v>
      </c>
    </row>
    <row r="79" customFormat="false" ht="15" hidden="false" customHeight="true" outlineLevel="0" collapsed="false">
      <c r="A79" s="12" t="s">
        <v>233</v>
      </c>
      <c r="B79" s="12" t="str">
        <f aca="false">жовтень!B79</f>
        <v>Котурга Л.Й.</v>
      </c>
      <c r="C79" s="12" t="s">
        <v>235</v>
      </c>
      <c r="D79" s="14" t="n">
        <f aca="false">жовтень!P79</f>
        <v>2017.2</v>
      </c>
      <c r="E79" s="14" t="n">
        <f aca="false">жовтень!Q79</f>
        <v>0</v>
      </c>
      <c r="F79" s="13" t="n">
        <f aca="false">жовтень!F79</f>
        <v>0</v>
      </c>
      <c r="G79" s="13" t="n">
        <f aca="false">жовтень!G79</f>
        <v>49.2</v>
      </c>
      <c r="H79" s="13" t="n">
        <f aca="false">жовтень!H79</f>
        <v>0</v>
      </c>
      <c r="I79" s="13" t="n">
        <f aca="false">жовтень!I79</f>
        <v>4.1</v>
      </c>
      <c r="J79" s="14" t="n">
        <f aca="false">ROUND(G79*I79,2)</f>
        <v>201.72</v>
      </c>
      <c r="K79" s="14"/>
      <c r="L79" s="14"/>
      <c r="M79" s="14"/>
      <c r="N79" s="14" t="n">
        <f aca="false">ROUND((G79*I79)-K79-L79-M79,2)</f>
        <v>201.72</v>
      </c>
      <c r="O79" s="14"/>
      <c r="P79" s="14" t="n">
        <f aca="false">ROUND(IF(D79=0,IF((N79-E79-O79)&gt;0,(N79-E79-O79),0),IF((D79+N79-O79)&gt;0,(D79+N79-O79),0)),2)</f>
        <v>2218.92</v>
      </c>
      <c r="Q79" s="14" t="n">
        <f aca="false">ROUND(IF(E79=0,IF((D79+N79-O79)&lt;0,ABS(D79+N79-O79),0),IF((N79-E79-O79)&lt;0,ABS(N79-E79-O79),0)),2)</f>
        <v>0</v>
      </c>
    </row>
    <row r="80" customFormat="false" ht="15" hidden="false" customHeight="true" outlineLevel="0" collapsed="false">
      <c r="A80" s="12" t="s">
        <v>236</v>
      </c>
      <c r="B80" s="12" t="str">
        <f aca="false">жовтень!B80</f>
        <v>Горова О.І.</v>
      </c>
      <c r="C80" s="12" t="s">
        <v>238</v>
      </c>
      <c r="D80" s="14" t="n">
        <f aca="false">жовтень!P80</f>
        <v>2950.86</v>
      </c>
      <c r="E80" s="14" t="n">
        <f aca="false">жовтень!Q80</f>
        <v>0</v>
      </c>
      <c r="F80" s="13" t="n">
        <f aca="false">жовтень!F80</f>
        <v>0</v>
      </c>
      <c r="G80" s="13" t="n">
        <f aca="false">жовтень!G80</f>
        <v>65.43</v>
      </c>
      <c r="H80" s="13" t="n">
        <f aca="false">жовтень!H80</f>
        <v>0</v>
      </c>
      <c r="I80" s="13" t="n">
        <f aca="false">жовтень!I80</f>
        <v>4.1</v>
      </c>
      <c r="J80" s="14" t="n">
        <f aca="false">ROUND(G80*I80,2)</f>
        <v>268.26</v>
      </c>
      <c r="K80" s="14"/>
      <c r="L80" s="14"/>
      <c r="M80" s="14"/>
      <c r="N80" s="14" t="n">
        <f aca="false">ROUND((G80*I80)-K80-L80-M80,2)</f>
        <v>268.26</v>
      </c>
      <c r="O80" s="14"/>
      <c r="P80" s="14" t="n">
        <f aca="false">ROUND(IF(D80=0,IF((N80-E80-O80)&gt;0,(N80-E80-O80),0),IF((D80+N80-O80)&gt;0,(D80+N80-O80),0)),2)</f>
        <v>3219.12</v>
      </c>
      <c r="Q80" s="14" t="n">
        <f aca="false">ROUND(IF(E80=0,IF((D80+N80-O80)&lt;0,ABS(D80+N80-O80),0),IF((N80-E80-O80)&lt;0,ABS(N80-E80-O80),0)),2)</f>
        <v>0</v>
      </c>
    </row>
    <row r="81" customFormat="false" ht="15" hidden="false" customHeight="true" outlineLevel="0" collapsed="false">
      <c r="A81" s="12" t="s">
        <v>239</v>
      </c>
      <c r="B81" s="12" t="str">
        <f aca="false">жовтень!B81</f>
        <v>Рибакевич М.П.</v>
      </c>
      <c r="C81" s="12" t="s">
        <v>241</v>
      </c>
      <c r="D81" s="14" t="n">
        <f aca="false">жовтень!P81</f>
        <v>3656.8</v>
      </c>
      <c r="E81" s="14" t="n">
        <f aca="false">жовтень!Q81</f>
        <v>0</v>
      </c>
      <c r="F81" s="13" t="n">
        <f aca="false">жовтень!F81</f>
        <v>0</v>
      </c>
      <c r="G81" s="13" t="n">
        <f aca="false">жовтень!G81</f>
        <v>64.5</v>
      </c>
      <c r="H81" s="13" t="n">
        <f aca="false">жовтень!H81</f>
        <v>0</v>
      </c>
      <c r="I81" s="13" t="n">
        <f aca="false">жовтень!I81</f>
        <v>4.1</v>
      </c>
      <c r="J81" s="14" t="n">
        <f aca="false">ROUND(G81*I81,2)</f>
        <v>264.45</v>
      </c>
      <c r="K81" s="14"/>
      <c r="L81" s="14"/>
      <c r="M81" s="14"/>
      <c r="N81" s="14" t="n">
        <f aca="false">ROUND((G81*I81)-K81-L81-M81,2)</f>
        <v>264.45</v>
      </c>
      <c r="O81" s="14"/>
      <c r="P81" s="14" t="n">
        <f aca="false">ROUND(IF(D81=0,IF((N81-E81-O81)&gt;0,(N81-E81-O81),0),IF((D81+N81-O81)&gt;0,(D81+N81-O81),0)),2)</f>
        <v>3921.25</v>
      </c>
      <c r="Q81" s="14" t="n">
        <f aca="false">ROUND(IF(E81=0,IF((D81+N81-O81)&lt;0,ABS(D81+N81-O81),0),IF((N81-E81-O81)&lt;0,ABS(N81-E81-O81),0)),2)</f>
        <v>0</v>
      </c>
    </row>
    <row r="82" customFormat="false" ht="15" hidden="false" customHeight="true" outlineLevel="0" collapsed="false">
      <c r="A82" s="12" t="s">
        <v>242</v>
      </c>
      <c r="B82" s="12" t="str">
        <f aca="false">жовтень!B82</f>
        <v>Башкалов В.В.</v>
      </c>
      <c r="C82" s="12" t="s">
        <v>244</v>
      </c>
      <c r="D82" s="14" t="n">
        <f aca="false">жовтень!P82</f>
        <v>2079.88</v>
      </c>
      <c r="E82" s="14" t="n">
        <f aca="false">жовтень!Q82</f>
        <v>0</v>
      </c>
      <c r="F82" s="13" t="n">
        <f aca="false">жовтень!F82</f>
        <v>0</v>
      </c>
      <c r="G82" s="13" t="n">
        <f aca="false">жовтень!G82</f>
        <v>50.8</v>
      </c>
      <c r="H82" s="13" t="n">
        <f aca="false">жовтень!H82</f>
        <v>0</v>
      </c>
      <c r="I82" s="13" t="n">
        <f aca="false">жовтень!I82</f>
        <v>4.1</v>
      </c>
      <c r="J82" s="14" t="n">
        <f aca="false">ROUND(G82*I82,2)</f>
        <v>208.28</v>
      </c>
      <c r="K82" s="14"/>
      <c r="L82" s="14"/>
      <c r="M82" s="14"/>
      <c r="N82" s="14" t="n">
        <f aca="false">ROUND((G82*I82)-K82-L82-M82,2)</f>
        <v>208.28</v>
      </c>
      <c r="O82" s="14"/>
      <c r="P82" s="14" t="n">
        <f aca="false">ROUND(IF(D82=0,IF((N82-E82-O82)&gt;0,(N82-E82-O82),0),IF((D82+N82-O82)&gt;0,(D82+N82-O82),0)),2)</f>
        <v>2288.16</v>
      </c>
      <c r="Q82" s="14" t="n">
        <f aca="false">ROUND(IF(E82=0,IF((D82+N82-O82)&lt;0,ABS(D82+N82-O82),0),IF((N82-E82-O82)&lt;0,ABS(N82-E82-O82),0)),2)</f>
        <v>0</v>
      </c>
    </row>
    <row r="83" customFormat="false" ht="15" hidden="false" customHeight="true" outlineLevel="0" collapsed="false">
      <c r="A83" s="12" t="s">
        <v>245</v>
      </c>
      <c r="B83" s="12" t="str">
        <f aca="false">жовтень!B83</f>
        <v>Тіхенко Г.Д.</v>
      </c>
      <c r="C83" s="12" t="s">
        <v>247</v>
      </c>
      <c r="D83" s="14" t="n">
        <f aca="false">жовтень!P83</f>
        <v>5148.41</v>
      </c>
      <c r="E83" s="14" t="n">
        <f aca="false">жовтень!Q83</f>
        <v>0</v>
      </c>
      <c r="F83" s="13" t="n">
        <f aca="false">жовтень!F83</f>
        <v>0</v>
      </c>
      <c r="G83" s="13" t="n">
        <f aca="false">жовтень!G83</f>
        <v>34.9</v>
      </c>
      <c r="H83" s="13" t="n">
        <f aca="false">жовтень!H83</f>
        <v>0</v>
      </c>
      <c r="I83" s="13" t="n">
        <f aca="false">жовтень!I83</f>
        <v>4.1</v>
      </c>
      <c r="J83" s="14" t="n">
        <f aca="false">ROUND(G83*I83,2)</f>
        <v>143.09</v>
      </c>
      <c r="K83" s="14"/>
      <c r="L83" s="14"/>
      <c r="M83" s="14"/>
      <c r="N83" s="14" t="n">
        <f aca="false">ROUND((G83*I83)-K83-L83-M83,2)</f>
        <v>143.09</v>
      </c>
      <c r="O83" s="14"/>
      <c r="P83" s="14" t="n">
        <f aca="false">ROUND(IF(D83=0,IF((N83-E83-O83)&gt;0,(N83-E83-O83),0),IF((D83+N83-O83)&gt;0,(D83+N83-O83),0)),2)</f>
        <v>5291.5</v>
      </c>
      <c r="Q83" s="14" t="n">
        <f aca="false">ROUND(IF(E83=0,IF((D83+N83-O83)&lt;0,ABS(D83+N83-O83),0),IF((N83-E83-O83)&lt;0,ABS(N83-E83-O83),0)),2)</f>
        <v>0</v>
      </c>
    </row>
    <row r="84" customFormat="false" ht="15" hidden="false" customHeight="true" outlineLevel="0" collapsed="false">
      <c r="A84" s="12" t="s">
        <v>248</v>
      </c>
      <c r="B84" s="12" t="str">
        <f aca="false">жовтень!B84</f>
        <v>Головченко В.Г.</v>
      </c>
      <c r="C84" s="12" t="s">
        <v>250</v>
      </c>
      <c r="D84" s="14" t="n">
        <f aca="false">жовтень!P84</f>
        <v>2501.1</v>
      </c>
      <c r="E84" s="14" t="n">
        <f aca="false">жовтень!Q84</f>
        <v>0</v>
      </c>
      <c r="F84" s="13" t="n">
        <f aca="false">жовтень!F84</f>
        <v>0</v>
      </c>
      <c r="G84" s="13" t="n">
        <f aca="false">жовтень!G84</f>
        <v>61</v>
      </c>
      <c r="H84" s="13" t="n">
        <f aca="false">жовтень!H84</f>
        <v>0</v>
      </c>
      <c r="I84" s="13" t="n">
        <f aca="false">жовтень!I84</f>
        <v>4.1</v>
      </c>
      <c r="J84" s="14" t="n">
        <f aca="false">ROUND(G84*I84,2)</f>
        <v>250.1</v>
      </c>
      <c r="K84" s="14"/>
      <c r="L84" s="14"/>
      <c r="M84" s="14"/>
      <c r="N84" s="14" t="n">
        <f aca="false">ROUND((G84*I84)-K84-L84-M84,2)</f>
        <v>250.1</v>
      </c>
      <c r="O84" s="14"/>
      <c r="P84" s="14" t="n">
        <f aca="false">ROUND(IF(D84=0,IF((N84-E84-O84)&gt;0,(N84-E84-O84),0),IF((D84+N84-O84)&gt;0,(D84+N84-O84),0)),2)</f>
        <v>2751.2</v>
      </c>
      <c r="Q84" s="14" t="n">
        <f aca="false">ROUND(IF(E84=0,IF((D84+N84-O84)&lt;0,ABS(D84+N84-O84),0),IF((N84-E84-O84)&lt;0,ABS(N84-E84-O84),0)),2)</f>
        <v>0</v>
      </c>
    </row>
    <row r="85" customFormat="false" ht="15" hidden="false" customHeight="true" outlineLevel="0" collapsed="false">
      <c r="A85" s="12" t="s">
        <v>251</v>
      </c>
      <c r="B85" s="12" t="str">
        <f aca="false">жовтень!B85</f>
        <v>Семанішина Є.С.</v>
      </c>
      <c r="C85" s="12" t="s">
        <v>253</v>
      </c>
      <c r="D85" s="14" t="n">
        <f aca="false">жовтень!P85</f>
        <v>3045.65</v>
      </c>
      <c r="E85" s="14" t="n">
        <f aca="false">жовтень!Q85</f>
        <v>0</v>
      </c>
      <c r="F85" s="13" t="n">
        <f aca="false">жовтень!F85</f>
        <v>0</v>
      </c>
      <c r="G85" s="13" t="n">
        <f aca="false">жовтень!G85</f>
        <v>64.5</v>
      </c>
      <c r="H85" s="13" t="n">
        <f aca="false">жовтень!H85</f>
        <v>0</v>
      </c>
      <c r="I85" s="13" t="n">
        <f aca="false">жовтень!I85</f>
        <v>4.1</v>
      </c>
      <c r="J85" s="14" t="n">
        <f aca="false">ROUND(G85*I85,2)</f>
        <v>264.45</v>
      </c>
      <c r="K85" s="14"/>
      <c r="L85" s="14"/>
      <c r="M85" s="14"/>
      <c r="N85" s="14" t="n">
        <f aca="false">ROUND((G85*I85)-K85-L85-M85,2)</f>
        <v>264.45</v>
      </c>
      <c r="O85" s="14"/>
      <c r="P85" s="14" t="n">
        <f aca="false">ROUND(IF(D85=0,IF((N85-E85-O85)&gt;0,(N85-E85-O85),0),IF((D85+N85-O85)&gt;0,(D85+N85-O85),0)),2)</f>
        <v>3310.1</v>
      </c>
      <c r="Q85" s="14" t="n">
        <f aca="false">ROUND(IF(E85=0,IF((D85+N85-O85)&lt;0,ABS(D85+N85-O85),0),IF((N85-E85-O85)&lt;0,ABS(N85-E85-O85),0)),2)</f>
        <v>0</v>
      </c>
    </row>
    <row r="86" customFormat="false" ht="15" hidden="false" customHeight="true" outlineLevel="0" collapsed="false">
      <c r="A86" s="12" t="s">
        <v>254</v>
      </c>
      <c r="B86" s="12" t="str">
        <f aca="false">жовтень!B86</f>
        <v>Зінченко Ю.В.</v>
      </c>
      <c r="C86" s="12" t="s">
        <v>256</v>
      </c>
      <c r="D86" s="14" t="n">
        <f aca="false">жовтень!P86</f>
        <v>2005.56</v>
      </c>
      <c r="E86" s="14" t="n">
        <f aca="false">жовтень!Q86</f>
        <v>0</v>
      </c>
      <c r="F86" s="13" t="n">
        <f aca="false">жовтень!F86</f>
        <v>0</v>
      </c>
      <c r="G86" s="13" t="n">
        <f aca="false">жовтень!G86</f>
        <v>49.3</v>
      </c>
      <c r="H86" s="13" t="n">
        <f aca="false">жовтень!H86</f>
        <v>0</v>
      </c>
      <c r="I86" s="13" t="n">
        <f aca="false">жовтень!I86</f>
        <v>4.1</v>
      </c>
      <c r="J86" s="14" t="n">
        <f aca="false">ROUND(G86*I86,2)</f>
        <v>202.13</v>
      </c>
      <c r="K86" s="14"/>
      <c r="L86" s="14"/>
      <c r="M86" s="14"/>
      <c r="N86" s="14" t="n">
        <f aca="false">ROUND((G86*I86)-K86-L86-M86,2)</f>
        <v>202.13</v>
      </c>
      <c r="O86" s="14"/>
      <c r="P86" s="14" t="n">
        <f aca="false">ROUND(IF(D86=0,IF((N86-E86-O86)&gt;0,(N86-E86-O86),0),IF((D86+N86-O86)&gt;0,(D86+N86-O86),0)),2)</f>
        <v>2207.69</v>
      </c>
      <c r="Q86" s="14" t="n">
        <f aca="false">ROUND(IF(E86=0,IF((D86+N86-O86)&lt;0,ABS(D86+N86-O86),0),IF((N86-E86-O86)&lt;0,ABS(N86-E86-O86),0)),2)</f>
        <v>0</v>
      </c>
    </row>
    <row r="87" customFormat="false" ht="15" hidden="false" customHeight="true" outlineLevel="0" collapsed="false">
      <c r="A87" s="12" t="s">
        <v>257</v>
      </c>
      <c r="B87" s="12" t="str">
        <f aca="false">жовтень!B87</f>
        <v>Рилова Г.П.</v>
      </c>
      <c r="C87" s="12" t="s">
        <v>259</v>
      </c>
      <c r="D87" s="14" t="n">
        <f aca="false">жовтень!P87</f>
        <v>1578.5</v>
      </c>
      <c r="E87" s="14" t="n">
        <f aca="false">жовтень!Q87</f>
        <v>0</v>
      </c>
      <c r="F87" s="13" t="n">
        <f aca="false">жовтень!F87</f>
        <v>0</v>
      </c>
      <c r="G87" s="13" t="n">
        <f aca="false">жовтень!G87</f>
        <v>35</v>
      </c>
      <c r="H87" s="13" t="n">
        <f aca="false">жовтень!H87</f>
        <v>0</v>
      </c>
      <c r="I87" s="13" t="n">
        <f aca="false">жовтень!I87</f>
        <v>4.1</v>
      </c>
      <c r="J87" s="14" t="n">
        <f aca="false">ROUND(G87*I87,2)</f>
        <v>143.5</v>
      </c>
      <c r="K87" s="14"/>
      <c r="L87" s="14"/>
      <c r="M87" s="14"/>
      <c r="N87" s="14" t="n">
        <f aca="false">ROUND((G87*I87)-K87-L87-M87,2)</f>
        <v>143.5</v>
      </c>
      <c r="O87" s="14"/>
      <c r="P87" s="14" t="n">
        <f aca="false">ROUND(IF(D87=0,IF((N87-E87-O87)&gt;0,(N87-E87-O87),0),IF((D87+N87-O87)&gt;0,(D87+N87-O87),0)),2)</f>
        <v>1722</v>
      </c>
      <c r="Q87" s="14" t="n">
        <f aca="false">ROUND(IF(E87=0,IF((D87+N87-O87)&lt;0,ABS(D87+N87-O87),0),IF((N87-E87-O87)&lt;0,ABS(N87-E87-O87),0)),2)</f>
        <v>0</v>
      </c>
    </row>
    <row r="88" customFormat="false" ht="15" hidden="false" customHeight="true" outlineLevel="0" collapsed="false">
      <c r="A88" s="12" t="s">
        <v>260</v>
      </c>
      <c r="B88" s="12" t="str">
        <f aca="false">жовтень!B88</f>
        <v>Ленський І.О.</v>
      </c>
      <c r="C88" s="12" t="s">
        <v>262</v>
      </c>
      <c r="D88" s="14" t="n">
        <f aca="false">жовтень!P88</f>
        <v>2787.18</v>
      </c>
      <c r="E88" s="14" t="n">
        <f aca="false">жовтень!Q88</f>
        <v>0</v>
      </c>
      <c r="F88" s="13" t="n">
        <f aca="false">жовтень!F88</f>
        <v>0</v>
      </c>
      <c r="G88" s="13" t="n">
        <f aca="false">жовтень!G88</f>
        <v>61.8</v>
      </c>
      <c r="H88" s="13" t="n">
        <f aca="false">жовтень!H88</f>
        <v>0</v>
      </c>
      <c r="I88" s="13" t="n">
        <f aca="false">жовтень!I88</f>
        <v>4.1</v>
      </c>
      <c r="J88" s="14" t="n">
        <f aca="false">ROUND(G88*I88,2)</f>
        <v>253.38</v>
      </c>
      <c r="K88" s="14"/>
      <c r="L88" s="14"/>
      <c r="M88" s="14"/>
      <c r="N88" s="14" t="n">
        <f aca="false">ROUND((G88*I88)-K88-L88-M88,2)</f>
        <v>253.38</v>
      </c>
      <c r="O88" s="14"/>
      <c r="P88" s="14" t="n">
        <f aca="false">ROUND(IF(D88=0,IF((N88-E88-O88)&gt;0,(N88-E88-O88),0),IF((D88+N88-O88)&gt;0,(D88+N88-O88),0)),2)</f>
        <v>3040.56</v>
      </c>
      <c r="Q88" s="14" t="n">
        <f aca="false">ROUND(IF(E88=0,IF((D88+N88-O88)&lt;0,ABS(D88+N88-O88),0),IF((N88-E88-O88)&lt;0,ABS(N88-E88-O88),0)),2)</f>
        <v>0</v>
      </c>
    </row>
    <row r="89" customFormat="false" ht="15" hidden="false" customHeight="true" outlineLevel="0" collapsed="false">
      <c r="A89" s="12" t="s">
        <v>263</v>
      </c>
      <c r="B89" s="12" t="str">
        <f aca="false">жовтень!B89</f>
        <v>Слюсар О.О.</v>
      </c>
      <c r="C89" s="12" t="s">
        <v>265</v>
      </c>
      <c r="D89" s="14" t="n">
        <f aca="false">жовтень!P89</f>
        <v>15245.27</v>
      </c>
      <c r="E89" s="14" t="n">
        <f aca="false">жовтень!Q89</f>
        <v>0</v>
      </c>
      <c r="F89" s="13" t="n">
        <f aca="false">жовтень!F89</f>
        <v>0</v>
      </c>
      <c r="G89" s="13" t="n">
        <f aca="false">жовтень!G89</f>
        <v>65.81</v>
      </c>
      <c r="H89" s="13" t="n">
        <f aca="false">жовтень!H89</f>
        <v>0</v>
      </c>
      <c r="I89" s="13" t="n">
        <f aca="false">жовтень!I89</f>
        <v>4.1</v>
      </c>
      <c r="J89" s="14" t="n">
        <f aca="false">ROUND(G89*I89,2)</f>
        <v>269.82</v>
      </c>
      <c r="K89" s="14"/>
      <c r="L89" s="14"/>
      <c r="M89" s="14"/>
      <c r="N89" s="14" t="n">
        <f aca="false">ROUND((G89*I89)-K89-L89-M89,2)</f>
        <v>269.82</v>
      </c>
      <c r="O89" s="14"/>
      <c r="P89" s="14" t="n">
        <f aca="false">ROUND(IF(D89=0,IF((N89-E89-O89)&gt;0,(N89-E89-O89),0),IF((D89+N89-O89)&gt;0,(D89+N89-O89),0)),2)</f>
        <v>15515.09</v>
      </c>
      <c r="Q89" s="14" t="n">
        <f aca="false">ROUND(IF(E89=0,IF((D89+N89-O89)&lt;0,ABS(D89+N89-O89),0),IF((N89-E89-O89)&lt;0,ABS(N89-E89-O89),0)),2)</f>
        <v>0</v>
      </c>
    </row>
    <row r="90" customFormat="false" ht="15" hidden="false" customHeight="true" outlineLevel="0" collapsed="false">
      <c r="A90" s="12" t="s">
        <v>266</v>
      </c>
      <c r="B90" s="12" t="str">
        <f aca="false">жовтень!B90</f>
        <v>Кісельов Г.О.</v>
      </c>
      <c r="C90" s="12" t="s">
        <v>268</v>
      </c>
      <c r="D90" s="14" t="n">
        <f aca="false">жовтень!P90</f>
        <v>1425.01</v>
      </c>
      <c r="E90" s="14" t="n">
        <f aca="false">жовтень!Q90</f>
        <v>0</v>
      </c>
      <c r="F90" s="13" t="n">
        <f aca="false">жовтень!F90</f>
        <v>0</v>
      </c>
      <c r="G90" s="13" t="n">
        <f aca="false">жовтень!G90</f>
        <v>49.7</v>
      </c>
      <c r="H90" s="13" t="n">
        <f aca="false">жовтень!H90</f>
        <v>0</v>
      </c>
      <c r="I90" s="13" t="n">
        <f aca="false">жовтень!I90</f>
        <v>4.1</v>
      </c>
      <c r="J90" s="14" t="n">
        <f aca="false">ROUND(G90*I90,2)</f>
        <v>203.77</v>
      </c>
      <c r="K90" s="14"/>
      <c r="L90" s="14"/>
      <c r="M90" s="14"/>
      <c r="N90" s="14" t="n">
        <f aca="false">ROUND((G90*I90)-K90-L90-M90,2)</f>
        <v>203.77</v>
      </c>
      <c r="O90" s="14"/>
      <c r="P90" s="14" t="n">
        <f aca="false">ROUND(IF(D90=0,IF((N90-E90-O90)&gt;0,(N90-E90-O90),0),IF((D90+N90-O90)&gt;0,(D90+N90-O90),0)),2)</f>
        <v>1628.78</v>
      </c>
      <c r="Q90" s="14" t="n">
        <f aca="false">ROUND(IF(E90=0,IF((D90+N90-O90)&lt;0,ABS(D90+N90-O90),0),IF((N90-E90-O90)&lt;0,ABS(N90-E90-O90),0)),2)</f>
        <v>0</v>
      </c>
    </row>
    <row r="91" customFormat="false" ht="15" hidden="false" customHeight="true" outlineLevel="0" collapsed="false">
      <c r="A91" s="12" t="s">
        <v>269</v>
      </c>
      <c r="B91" s="12" t="str">
        <f aca="false">жовтень!B91</f>
        <v>Губанова Н.С.</v>
      </c>
      <c r="C91" s="12" t="s">
        <v>271</v>
      </c>
      <c r="D91" s="14" t="n">
        <f aca="false">жовтень!P91</f>
        <v>7213.95</v>
      </c>
      <c r="E91" s="14" t="n">
        <f aca="false">жовтень!Q91</f>
        <v>0</v>
      </c>
      <c r="F91" s="13" t="n">
        <f aca="false">жовтень!F91</f>
        <v>0</v>
      </c>
      <c r="G91" s="13" t="n">
        <f aca="false">жовтень!G91</f>
        <v>34.5</v>
      </c>
      <c r="H91" s="13" t="n">
        <f aca="false">жовтень!H91</f>
        <v>0</v>
      </c>
      <c r="I91" s="13" t="n">
        <f aca="false">жовтень!I91</f>
        <v>4.1</v>
      </c>
      <c r="J91" s="14" t="n">
        <f aca="false">ROUND(G91*I91,2)</f>
        <v>141.45</v>
      </c>
      <c r="K91" s="14"/>
      <c r="L91" s="14"/>
      <c r="M91" s="14"/>
      <c r="N91" s="14" t="n">
        <f aca="false">ROUND((G91*I91)-K91-L91-M91,2)</f>
        <v>141.45</v>
      </c>
      <c r="O91" s="14"/>
      <c r="P91" s="14" t="n">
        <f aca="false">ROUND(IF(D91=0,IF((N91-E91-O91)&gt;0,(N91-E91-O91),0),IF((D91+N91-O91)&gt;0,(D91+N91-O91),0)),2)</f>
        <v>7355.4</v>
      </c>
      <c r="Q91" s="14" t="n">
        <f aca="false">ROUND(IF(E91=0,IF((D91+N91-O91)&lt;0,ABS(D91+N91-O91),0),IF((N91-E91-O91)&lt;0,ABS(N91-E91-O91),0)),2)</f>
        <v>0</v>
      </c>
    </row>
    <row r="92" customFormat="false" ht="15" hidden="false" customHeight="true" outlineLevel="0" collapsed="false">
      <c r="A92" s="12" t="s">
        <v>272</v>
      </c>
      <c r="B92" s="12" t="str">
        <f aca="false">жовтень!B92</f>
        <v>Попова А.В.</v>
      </c>
      <c r="C92" s="12" t="s">
        <v>274</v>
      </c>
      <c r="D92" s="14" t="n">
        <f aca="false">жовтень!P92</f>
        <v>6314.83</v>
      </c>
      <c r="E92" s="14" t="n">
        <f aca="false">жовтень!Q92</f>
        <v>0</v>
      </c>
      <c r="F92" s="13" t="n">
        <f aca="false">жовтень!F92</f>
        <v>0</v>
      </c>
      <c r="G92" s="13" t="n">
        <f aca="false">жовтень!G92</f>
        <v>62.4</v>
      </c>
      <c r="H92" s="13" t="n">
        <f aca="false">жовтень!H92</f>
        <v>0</v>
      </c>
      <c r="I92" s="13" t="n">
        <f aca="false">жовтень!I92</f>
        <v>4.1</v>
      </c>
      <c r="J92" s="14" t="n">
        <f aca="false">ROUND(G92*I92,2)</f>
        <v>255.84</v>
      </c>
      <c r="K92" s="14"/>
      <c r="L92" s="14"/>
      <c r="M92" s="14"/>
      <c r="N92" s="14" t="n">
        <f aca="false">ROUND((G92*I92)-K92-L92-M92,2)</f>
        <v>255.84</v>
      </c>
      <c r="O92" s="14"/>
      <c r="P92" s="14" t="n">
        <f aca="false">ROUND(IF(D92=0,IF((N92-E92-O92)&gt;0,(N92-E92-O92),0),IF((D92+N92-O92)&gt;0,(D92+N92-O92),0)),2)</f>
        <v>6570.67</v>
      </c>
      <c r="Q92" s="14" t="n">
        <f aca="false">ROUND(IF(E92=0,IF((D92+N92-O92)&lt;0,ABS(D92+N92-O92),0),IF((N92-E92-O92)&lt;0,ABS(N92-E92-O92),0)),2)</f>
        <v>0</v>
      </c>
    </row>
    <row r="93" customFormat="false" ht="15" hidden="false" customHeight="true" outlineLevel="0" collapsed="false">
      <c r="A93" s="12" t="s">
        <v>275</v>
      </c>
      <c r="B93" s="12" t="str">
        <f aca="false">жовтень!B93</f>
        <v>Стародубець О.К.</v>
      </c>
      <c r="C93" s="12" t="s">
        <v>277</v>
      </c>
      <c r="D93" s="14" t="n">
        <f aca="false">жовтень!P93</f>
        <v>2997.39</v>
      </c>
      <c r="E93" s="14" t="n">
        <f aca="false">жовтень!Q93</f>
        <v>0</v>
      </c>
      <c r="F93" s="13" t="n">
        <f aca="false">жовтень!F93</f>
        <v>0</v>
      </c>
      <c r="G93" s="13" t="n">
        <f aca="false">жовтень!G93</f>
        <v>66.46</v>
      </c>
      <c r="H93" s="13" t="n">
        <f aca="false">жовтень!H93</f>
        <v>0</v>
      </c>
      <c r="I93" s="13" t="n">
        <f aca="false">жовтень!I93</f>
        <v>4.1</v>
      </c>
      <c r="J93" s="14" t="n">
        <f aca="false">ROUND(G93*I93,2)</f>
        <v>272.49</v>
      </c>
      <c r="K93" s="14"/>
      <c r="L93" s="14"/>
      <c r="M93" s="14"/>
      <c r="N93" s="14" t="n">
        <f aca="false">ROUND((G93*I93)-K93-L93-M93,2)</f>
        <v>272.49</v>
      </c>
      <c r="O93" s="14"/>
      <c r="P93" s="14" t="n">
        <f aca="false">ROUND(IF(D93=0,IF((N93-E93-O93)&gt;0,(N93-E93-O93),0),IF((D93+N93-O93)&gt;0,(D93+N93-O93),0)),2)</f>
        <v>3269.88</v>
      </c>
      <c r="Q93" s="14" t="n">
        <f aca="false">ROUND(IF(E93=0,IF((D93+N93-O93)&lt;0,ABS(D93+N93-O93),0),IF((N93-E93-O93)&lt;0,ABS(N93-E93-O93),0)),2)</f>
        <v>0</v>
      </c>
    </row>
    <row r="94" customFormat="false" ht="15" hidden="false" customHeight="true" outlineLevel="0" collapsed="false">
      <c r="A94" s="12" t="s">
        <v>278</v>
      </c>
      <c r="B94" s="12" t="str">
        <f aca="false">жовтень!B94</f>
        <v>Сакун Т.А.</v>
      </c>
      <c r="C94" s="12" t="s">
        <v>280</v>
      </c>
      <c r="D94" s="14" t="n">
        <f aca="false">жовтень!P94</f>
        <v>9825.52</v>
      </c>
      <c r="E94" s="14" t="n">
        <f aca="false">жовтень!Q94</f>
        <v>0</v>
      </c>
      <c r="F94" s="13" t="n">
        <f aca="false">жовтень!F94</f>
        <v>0</v>
      </c>
      <c r="G94" s="13" t="n">
        <f aca="false">жовтень!G94</f>
        <v>49.73</v>
      </c>
      <c r="H94" s="13" t="n">
        <f aca="false">жовтень!H94</f>
        <v>0</v>
      </c>
      <c r="I94" s="13" t="n">
        <f aca="false">жовтень!I94</f>
        <v>4.1</v>
      </c>
      <c r="J94" s="14" t="n">
        <f aca="false">ROUND(G94*I94,2)</f>
        <v>203.89</v>
      </c>
      <c r="K94" s="14"/>
      <c r="L94" s="14"/>
      <c r="M94" s="14"/>
      <c r="N94" s="14" t="n">
        <f aca="false">ROUND((G94*I94)-K94-L94-M94,2)</f>
        <v>203.89</v>
      </c>
      <c r="O94" s="14"/>
      <c r="P94" s="14" t="n">
        <f aca="false">ROUND(IF(D94=0,IF((N94-E94-O94)&gt;0,(N94-E94-O94),0),IF((D94+N94-O94)&gt;0,(D94+N94-O94),0)),2)</f>
        <v>10029.41</v>
      </c>
      <c r="Q94" s="14" t="n">
        <f aca="false">ROUND(IF(E94=0,IF((D94+N94-O94)&lt;0,ABS(D94+N94-O94),0),IF((N94-E94-O94)&lt;0,ABS(N94-E94-O94),0)),2)</f>
        <v>0</v>
      </c>
    </row>
    <row r="95" customFormat="false" ht="15" hidden="false" customHeight="true" outlineLevel="0" collapsed="false">
      <c r="A95" s="12" t="s">
        <v>281</v>
      </c>
      <c r="B95" s="12" t="str">
        <f aca="false">жовтень!B95</f>
        <v>Фатєєв Ю.О.</v>
      </c>
      <c r="C95" s="12" t="s">
        <v>283</v>
      </c>
      <c r="D95" s="14" t="n">
        <f aca="false">жовтень!P95</f>
        <v>10374.59</v>
      </c>
      <c r="E95" s="14" t="n">
        <f aca="false">жовтень!Q95</f>
        <v>0</v>
      </c>
      <c r="F95" s="13" t="n">
        <f aca="false">жовтень!F95</f>
        <v>0</v>
      </c>
      <c r="G95" s="13" t="n">
        <f aca="false">жовтень!G95</f>
        <v>34.9</v>
      </c>
      <c r="H95" s="13" t="n">
        <f aca="false">жовтень!H95</f>
        <v>0</v>
      </c>
      <c r="I95" s="13" t="n">
        <f aca="false">жовтень!I95</f>
        <v>4.1</v>
      </c>
      <c r="J95" s="14" t="n">
        <f aca="false">ROUND(G95*I95,2)</f>
        <v>143.09</v>
      </c>
      <c r="K95" s="14"/>
      <c r="L95" s="14"/>
      <c r="M95" s="14"/>
      <c r="N95" s="14" t="n">
        <f aca="false">ROUND((G95*I95)-K95-L95-M95,2)</f>
        <v>143.09</v>
      </c>
      <c r="O95" s="14"/>
      <c r="P95" s="14" t="n">
        <f aca="false">ROUND(IF(D95=0,IF((N95-E95-O95)&gt;0,(N95-E95-O95),0),IF((D95+N95-O95)&gt;0,(D95+N95-O95),0)),2)</f>
        <v>10517.68</v>
      </c>
      <c r="Q95" s="14" t="n">
        <f aca="false">ROUND(IF(E95=0,IF((D95+N95-O95)&lt;0,ABS(D95+N95-O95),0),IF((N95-E95-O95)&lt;0,ABS(N95-E95-O95),0)),2)</f>
        <v>0</v>
      </c>
    </row>
    <row r="96" customFormat="false" ht="15" hidden="false" customHeight="true" outlineLevel="0" collapsed="false">
      <c r="A96" s="12" t="s">
        <v>284</v>
      </c>
      <c r="B96" s="12" t="str">
        <f aca="false">жовтень!B96</f>
        <v>Лукашов Є.В.</v>
      </c>
      <c r="C96" s="12" t="s">
        <v>286</v>
      </c>
      <c r="D96" s="14" t="n">
        <f aca="false">жовтень!P96</f>
        <v>15915.29</v>
      </c>
      <c r="E96" s="14" t="n">
        <f aca="false">жовтень!Q96</f>
        <v>0</v>
      </c>
      <c r="F96" s="13" t="n">
        <f aca="false">жовтень!F96</f>
        <v>0</v>
      </c>
      <c r="G96" s="13" t="n">
        <f aca="false">жовтень!G96</f>
        <v>61.9</v>
      </c>
      <c r="H96" s="13" t="n">
        <f aca="false">жовтень!H96</f>
        <v>0</v>
      </c>
      <c r="I96" s="13" t="n">
        <f aca="false">жовтень!I96</f>
        <v>4.1</v>
      </c>
      <c r="J96" s="14" t="n">
        <f aca="false">ROUND(G96*I96,2)</f>
        <v>253.79</v>
      </c>
      <c r="K96" s="14"/>
      <c r="L96" s="14"/>
      <c r="M96" s="14"/>
      <c r="N96" s="14" t="n">
        <f aca="false">ROUND((G96*I96)-K96-L96-M96,2)</f>
        <v>253.79</v>
      </c>
      <c r="O96" s="14"/>
      <c r="P96" s="14" t="n">
        <f aca="false">ROUND(IF(D96=0,IF((N96-E96-O96)&gt;0,(N96-E96-O96),0),IF((D96+N96-O96)&gt;0,(D96+N96-O96),0)),2)</f>
        <v>16169.08</v>
      </c>
      <c r="Q96" s="14" t="n">
        <f aca="false">ROUND(IF(E96=0,IF((D96+N96-O96)&lt;0,ABS(D96+N96-O96),0),IF((N96-E96-O96)&lt;0,ABS(N96-E96-O96),0)),2)</f>
        <v>0</v>
      </c>
    </row>
    <row r="97" customFormat="false" ht="15" hidden="false" customHeight="true" outlineLevel="0" collapsed="false">
      <c r="A97" s="12" t="s">
        <v>287</v>
      </c>
      <c r="B97" s="12" t="str">
        <f aca="false">жовтень!B97</f>
        <v>Довбета В.М.</v>
      </c>
      <c r="C97" s="12" t="s">
        <v>289</v>
      </c>
      <c r="D97" s="14" t="n">
        <f aca="false">жовтень!P97</f>
        <v>2405.06</v>
      </c>
      <c r="E97" s="14" t="n">
        <f aca="false">жовтень!Q97</f>
        <v>0</v>
      </c>
      <c r="F97" s="13" t="n">
        <f aca="false">жовтень!F97</f>
        <v>0</v>
      </c>
      <c r="G97" s="13" t="n">
        <f aca="false">жовтень!G97</f>
        <v>65.3</v>
      </c>
      <c r="H97" s="13" t="n">
        <f aca="false">жовтень!H97</f>
        <v>0</v>
      </c>
      <c r="I97" s="13" t="n">
        <f aca="false">жовтень!I97</f>
        <v>4.1</v>
      </c>
      <c r="J97" s="14" t="n">
        <f aca="false">ROUND(G97*I97,2)</f>
        <v>267.73</v>
      </c>
      <c r="K97" s="14"/>
      <c r="L97" s="14"/>
      <c r="M97" s="14"/>
      <c r="N97" s="14" t="n">
        <f aca="false">ROUND((G97*I97)-K97-L97-M97,2)</f>
        <v>267.73</v>
      </c>
      <c r="O97" s="14"/>
      <c r="P97" s="14" t="n">
        <f aca="false">ROUND(IF(D97=0,IF((N97-E97-O97)&gt;0,(N97-E97-O97),0),IF((D97+N97-O97)&gt;0,(D97+N97-O97),0)),2)</f>
        <v>2672.79</v>
      </c>
      <c r="Q97" s="14" t="n">
        <f aca="false">ROUND(IF(E97=0,IF((D97+N97-O97)&lt;0,ABS(D97+N97-O97),0),IF((N97-E97-O97)&lt;0,ABS(N97-E97-O97),0)),2)</f>
        <v>0</v>
      </c>
    </row>
    <row r="98" customFormat="false" ht="15" hidden="false" customHeight="true" outlineLevel="0" collapsed="false">
      <c r="A98" s="12" t="s">
        <v>290</v>
      </c>
      <c r="B98" s="12" t="str">
        <f aca="false">жовтень!B98</f>
        <v>Черняк К.В.</v>
      </c>
      <c r="C98" s="12" t="s">
        <v>292</v>
      </c>
      <c r="D98" s="14" t="n">
        <f aca="false">жовтень!P98</f>
        <v>1800.39</v>
      </c>
      <c r="E98" s="14" t="n">
        <f aca="false">жовтень!Q98</f>
        <v>0</v>
      </c>
      <c r="F98" s="13" t="n">
        <f aca="false">жовтень!F98</f>
        <v>0</v>
      </c>
      <c r="G98" s="13" t="n">
        <f aca="false">жовтень!G98</f>
        <v>49.48</v>
      </c>
      <c r="H98" s="13" t="n">
        <f aca="false">жовтень!H98</f>
        <v>0</v>
      </c>
      <c r="I98" s="13" t="n">
        <f aca="false">жовтень!I98</f>
        <v>4.1</v>
      </c>
      <c r="J98" s="14" t="n">
        <f aca="false">ROUND(G98*I98,2)</f>
        <v>202.87</v>
      </c>
      <c r="K98" s="14"/>
      <c r="L98" s="14"/>
      <c r="M98" s="14"/>
      <c r="N98" s="14" t="n">
        <f aca="false">ROUND((G98*I98)-K98-L98-M98,2)</f>
        <v>202.87</v>
      </c>
      <c r="O98" s="14"/>
      <c r="P98" s="14" t="n">
        <f aca="false">ROUND(IF(D98=0,IF((N98-E98-O98)&gt;0,(N98-E98-O98),0),IF((D98+N98-O98)&gt;0,(D98+N98-O98),0)),2)</f>
        <v>2003.26</v>
      </c>
      <c r="Q98" s="14" t="n">
        <f aca="false">ROUND(IF(E98=0,IF((D98+N98-O98)&lt;0,ABS(D98+N98-O98),0),IF((N98-E98-O98)&lt;0,ABS(N98-E98-O98),0)),2)</f>
        <v>0</v>
      </c>
    </row>
    <row r="99" customFormat="false" ht="15" hidden="false" customHeight="true" outlineLevel="0" collapsed="false">
      <c r="A99" s="12" t="s">
        <v>293</v>
      </c>
      <c r="B99" s="12" t="str">
        <f aca="false">жовтень!B99</f>
        <v>Довбета С.П.</v>
      </c>
      <c r="C99" s="12" t="s">
        <v>295</v>
      </c>
      <c r="D99" s="14" t="n">
        <f aca="false">жовтень!P99</f>
        <v>1435.96</v>
      </c>
      <c r="E99" s="14" t="n">
        <f aca="false">жовтень!Q99</f>
        <v>0</v>
      </c>
      <c r="F99" s="13" t="n">
        <f aca="false">жовтень!F99</f>
        <v>0</v>
      </c>
      <c r="G99" s="13" t="n">
        <f aca="false">жовтень!G99</f>
        <v>35.1</v>
      </c>
      <c r="H99" s="13" t="n">
        <f aca="false">жовтень!H99</f>
        <v>0</v>
      </c>
      <c r="I99" s="13" t="n">
        <f aca="false">жовтень!I99</f>
        <v>4.1</v>
      </c>
      <c r="J99" s="14" t="n">
        <f aca="false">ROUND(G99*I99,2)</f>
        <v>143.91</v>
      </c>
      <c r="K99" s="14"/>
      <c r="L99" s="14"/>
      <c r="M99" s="14"/>
      <c r="N99" s="14" t="n">
        <f aca="false">ROUND((G99*I99)-K99-L99-M99,2)</f>
        <v>143.91</v>
      </c>
      <c r="O99" s="14"/>
      <c r="P99" s="14" t="n">
        <f aca="false">ROUND(IF(D99=0,IF((N99-E99-O99)&gt;0,(N99-E99-O99),0),IF((D99+N99-O99)&gt;0,(D99+N99-O99),0)),2)</f>
        <v>1579.87</v>
      </c>
      <c r="Q99" s="14" t="n">
        <f aca="false">ROUND(IF(E99=0,IF((D99+N99-O99)&lt;0,ABS(D99+N99-O99),0),IF((N99-E99-O99)&lt;0,ABS(N99-E99-O99),0)),2)</f>
        <v>0</v>
      </c>
    </row>
    <row r="100" customFormat="false" ht="15" hidden="false" customHeight="true" outlineLevel="0" collapsed="false">
      <c r="A100" s="12" t="s">
        <v>296</v>
      </c>
      <c r="B100" s="12" t="str">
        <f aca="false">жовтень!B100</f>
        <v>Липка Г.Ю.</v>
      </c>
      <c r="C100" s="12" t="s">
        <v>298</v>
      </c>
      <c r="D100" s="14" t="n">
        <f aca="false">жовтень!P100</f>
        <v>15547.2</v>
      </c>
      <c r="E100" s="14" t="n">
        <f aca="false">жовтень!Q100</f>
        <v>0</v>
      </c>
      <c r="F100" s="13" t="n">
        <f aca="false">жовтень!F100</f>
        <v>0</v>
      </c>
      <c r="G100" s="13" t="n">
        <f aca="false">жовтень!G100</f>
        <v>63.2</v>
      </c>
      <c r="H100" s="13" t="n">
        <f aca="false">жовтень!H100</f>
        <v>0</v>
      </c>
      <c r="I100" s="13" t="n">
        <f aca="false">жовтень!I100</f>
        <v>4.1</v>
      </c>
      <c r="J100" s="14" t="n">
        <f aca="false">ROUND(G100*I100,2)</f>
        <v>259.12</v>
      </c>
      <c r="K100" s="14"/>
      <c r="L100" s="14"/>
      <c r="M100" s="14"/>
      <c r="N100" s="14" t="n">
        <f aca="false">ROUND((G100*I100)-K100-L100-M100,2)</f>
        <v>259.12</v>
      </c>
      <c r="O100" s="14"/>
      <c r="P100" s="14" t="n">
        <f aca="false">ROUND(IF(D100=0,IF((N100-E100-O100)&gt;0,(N100-E100-O100),0),IF((D100+N100-O100)&gt;0,(D100+N100-O100),0)),2)</f>
        <v>15806.32</v>
      </c>
      <c r="Q100" s="14" t="n">
        <f aca="false">ROUND(IF(E100=0,IF((D100+N100-O100)&lt;0,ABS(D100+N100-O100),0),IF((N100-E100-O100)&lt;0,ABS(N100-E100-O100),0)),2)</f>
        <v>0</v>
      </c>
    </row>
    <row r="101" customFormat="false" ht="15" hidden="false" customHeight="true" outlineLevel="0" collapsed="false">
      <c r="A101" s="12" t="s">
        <v>299</v>
      </c>
      <c r="B101" s="12" t="str">
        <f aca="false">жовтень!B101</f>
        <v>Утьосов Д.М.</v>
      </c>
      <c r="C101" s="12" t="s">
        <v>301</v>
      </c>
      <c r="D101" s="14" t="n">
        <f aca="false">жовтень!P101</f>
        <v>10104.94</v>
      </c>
      <c r="E101" s="14" t="n">
        <f aca="false">жовтень!Q101</f>
        <v>0</v>
      </c>
      <c r="F101" s="13" t="n">
        <f aca="false">жовтень!F101</f>
        <v>0</v>
      </c>
      <c r="G101" s="13" t="n">
        <f aca="false">жовтень!G101</f>
        <v>66.1</v>
      </c>
      <c r="H101" s="13" t="n">
        <f aca="false">жовтень!H101</f>
        <v>0</v>
      </c>
      <c r="I101" s="13" t="n">
        <f aca="false">жовтень!I101</f>
        <v>4.1</v>
      </c>
      <c r="J101" s="14" t="n">
        <f aca="false">ROUND(G101*I101,2)</f>
        <v>271.01</v>
      </c>
      <c r="K101" s="14"/>
      <c r="L101" s="14"/>
      <c r="M101" s="14"/>
      <c r="N101" s="14" t="n">
        <f aca="false">ROUND((G101*I101)-K101-L101-M101,2)</f>
        <v>271.01</v>
      </c>
      <c r="O101" s="14"/>
      <c r="P101" s="14" t="n">
        <f aca="false">ROUND(IF(D101=0,IF((N101-E101-O101)&gt;0,(N101-E101-O101),0),IF((D101+N101-O101)&gt;0,(D101+N101-O101),0)),2)</f>
        <v>10375.95</v>
      </c>
      <c r="Q101" s="14" t="n">
        <f aca="false">ROUND(IF(E101=0,IF((D101+N101-O101)&lt;0,ABS(D101+N101-O101),0),IF((N101-E101-O101)&lt;0,ABS(N101-E101-O101),0)),2)</f>
        <v>0</v>
      </c>
    </row>
    <row r="102" customFormat="false" ht="15" hidden="false" customHeight="true" outlineLevel="0" collapsed="false">
      <c r="A102" s="12" t="s">
        <v>302</v>
      </c>
      <c r="B102" s="12" t="str">
        <f aca="false">жовтень!B102</f>
        <v>Стеценко Д.М.</v>
      </c>
      <c r="C102" s="12" t="s">
        <v>304</v>
      </c>
      <c r="D102" s="14" t="n">
        <f aca="false">жовтень!P102</f>
        <v>9392.35</v>
      </c>
      <c r="E102" s="14" t="n">
        <f aca="false">жовтень!Q102</f>
        <v>0</v>
      </c>
      <c r="F102" s="13" t="n">
        <f aca="false">жовтень!F102</f>
        <v>0</v>
      </c>
      <c r="G102" s="13" t="n">
        <f aca="false">жовтень!G102</f>
        <v>49.8</v>
      </c>
      <c r="H102" s="13" t="n">
        <f aca="false">жовтень!H102</f>
        <v>0</v>
      </c>
      <c r="I102" s="13" t="n">
        <f aca="false">жовтень!I102</f>
        <v>4.1</v>
      </c>
      <c r="J102" s="14" t="n">
        <f aca="false">ROUND(G102*I102,2)</f>
        <v>204.18</v>
      </c>
      <c r="K102" s="14"/>
      <c r="L102" s="14"/>
      <c r="M102" s="14"/>
      <c r="N102" s="14" t="n">
        <f aca="false">ROUND((G102*I102)-K102-L102-M102,2)</f>
        <v>204.18</v>
      </c>
      <c r="O102" s="14"/>
      <c r="P102" s="14" t="n">
        <f aca="false">ROUND(IF(D102=0,IF((N102-E102-O102)&gt;0,(N102-E102-O102),0),IF((D102+N102-O102)&gt;0,(D102+N102-O102),0)),2)</f>
        <v>9596.53</v>
      </c>
      <c r="Q102" s="14" t="n">
        <f aca="false">ROUND(IF(E102=0,IF((D102+N102-O102)&lt;0,ABS(D102+N102-O102),0),IF((N102-E102-O102)&lt;0,ABS(N102-E102-O102),0)),2)</f>
        <v>0</v>
      </c>
    </row>
    <row r="103" customFormat="false" ht="15" hidden="false" customHeight="true" outlineLevel="0" collapsed="false">
      <c r="A103" s="12" t="s">
        <v>305</v>
      </c>
      <c r="B103" s="12" t="str">
        <f aca="false">жовтень!B103</f>
        <v>Задніпряна О.М.</v>
      </c>
      <c r="C103" s="12" t="s">
        <v>307</v>
      </c>
      <c r="D103" s="14" t="n">
        <f aca="false">жовтень!P103</f>
        <v>7662.04</v>
      </c>
      <c r="E103" s="14" t="n">
        <f aca="false">жовтень!Q103</f>
        <v>0</v>
      </c>
      <c r="F103" s="13" t="n">
        <f aca="false">жовтень!F103</f>
        <v>0</v>
      </c>
      <c r="G103" s="13" t="n">
        <f aca="false">жовтень!G103</f>
        <v>34.6</v>
      </c>
      <c r="H103" s="13" t="n">
        <f aca="false">жовтень!H103</f>
        <v>0</v>
      </c>
      <c r="I103" s="13" t="n">
        <f aca="false">жовтень!I103</f>
        <v>4.1</v>
      </c>
      <c r="J103" s="14" t="n">
        <f aca="false">ROUND(G103*I103,2)</f>
        <v>141.86</v>
      </c>
      <c r="K103" s="14"/>
      <c r="L103" s="14"/>
      <c r="M103" s="14"/>
      <c r="N103" s="14" t="n">
        <f aca="false">ROUND((G103*I103)-K103-L103-M103,2)</f>
        <v>141.86</v>
      </c>
      <c r="O103" s="14"/>
      <c r="P103" s="14" t="n">
        <f aca="false">ROUND(IF(D103=0,IF((N103-E103-O103)&gt;0,(N103-E103-O103),0),IF((D103+N103-O103)&gt;0,(D103+N103-O103),0)),2)</f>
        <v>7803.9</v>
      </c>
      <c r="Q103" s="14" t="n">
        <f aca="false">ROUND(IF(E103=0,IF((D103+N103-O103)&lt;0,ABS(D103+N103-O103),0),IF((N103-E103-O103)&lt;0,ABS(N103-E103-O103),0)),2)</f>
        <v>0</v>
      </c>
    </row>
    <row r="104" customFormat="false" ht="15" hidden="false" customHeight="true" outlineLevel="0" collapsed="false">
      <c r="A104" s="12" t="s">
        <v>308</v>
      </c>
      <c r="B104" s="12" t="str">
        <f aca="false">жовтень!B104</f>
        <v>Геращенко М.Д.</v>
      </c>
      <c r="C104" s="12" t="s">
        <v>310</v>
      </c>
      <c r="D104" s="14" t="n">
        <f aca="false">жовтень!P104</f>
        <v>2566.6</v>
      </c>
      <c r="E104" s="14" t="n">
        <f aca="false">жовтень!Q104</f>
        <v>0</v>
      </c>
      <c r="F104" s="13" t="n">
        <f aca="false">жовтень!F104</f>
        <v>0</v>
      </c>
      <c r="G104" s="13" t="n">
        <f aca="false">жовтень!G104</f>
        <v>62.6</v>
      </c>
      <c r="H104" s="13" t="n">
        <f aca="false">жовтень!H104</f>
        <v>0</v>
      </c>
      <c r="I104" s="13" t="n">
        <f aca="false">жовтень!I104</f>
        <v>4.1</v>
      </c>
      <c r="J104" s="14" t="n">
        <f aca="false">ROUND(G104*I104,2)</f>
        <v>256.66</v>
      </c>
      <c r="K104" s="14"/>
      <c r="L104" s="14"/>
      <c r="M104" s="14"/>
      <c r="N104" s="14" t="n">
        <f aca="false">ROUND((G104*I104)-K104-L104-M104,2)</f>
        <v>256.66</v>
      </c>
      <c r="O104" s="14"/>
      <c r="P104" s="14" t="n">
        <f aca="false">ROUND(IF(D104=0,IF((N104-E104-O104)&gt;0,(N104-E104-O104),0),IF((D104+N104-O104)&gt;0,(D104+N104-O104),0)),2)</f>
        <v>2823.26</v>
      </c>
      <c r="Q104" s="14" t="n">
        <f aca="false">ROUND(IF(E104=0,IF((D104+N104-O104)&lt;0,ABS(D104+N104-O104),0),IF((N104-E104-O104)&lt;0,ABS(N104-E104-O104),0)),2)</f>
        <v>0</v>
      </c>
    </row>
    <row r="105" customFormat="false" ht="15" hidden="false" customHeight="true" outlineLevel="0" collapsed="false">
      <c r="A105" s="12" t="s">
        <v>311</v>
      </c>
      <c r="B105" s="12" t="str">
        <f aca="false">жовтень!B105</f>
        <v>Горб В.М.</v>
      </c>
      <c r="C105" s="12" t="s">
        <v>313</v>
      </c>
      <c r="D105" s="14" t="n">
        <f aca="false">жовтень!P105</f>
        <v>13976.99</v>
      </c>
      <c r="E105" s="14" t="n">
        <f aca="false">жовтень!Q105</f>
        <v>0</v>
      </c>
      <c r="F105" s="13" t="n">
        <f aca="false">жовтень!F105</f>
        <v>0</v>
      </c>
      <c r="G105" s="13" t="n">
        <f aca="false">жовтень!G105</f>
        <v>65.57</v>
      </c>
      <c r="H105" s="13" t="n">
        <f aca="false">жовтень!H105</f>
        <v>0</v>
      </c>
      <c r="I105" s="13" t="n">
        <f aca="false">жовтень!I105</f>
        <v>4.1</v>
      </c>
      <c r="J105" s="14" t="n">
        <f aca="false">ROUND(G105*I105,2)</f>
        <v>268.84</v>
      </c>
      <c r="K105" s="14"/>
      <c r="L105" s="14"/>
      <c r="M105" s="14"/>
      <c r="N105" s="14" t="n">
        <f aca="false">ROUND((G105*I105)-K105-L105-M105,2)</f>
        <v>268.84</v>
      </c>
      <c r="O105" s="14"/>
      <c r="P105" s="14" t="n">
        <f aca="false">ROUND(IF(D105=0,IF((N105-E105-O105)&gt;0,(N105-E105-O105),0),IF((D105+N105-O105)&gt;0,(D105+N105-O105),0)),2)</f>
        <v>14245.83</v>
      </c>
      <c r="Q105" s="14" t="n">
        <f aca="false">ROUND(IF(E105=0,IF((D105+N105-O105)&lt;0,ABS(D105+N105-O105),0),IF((N105-E105-O105)&lt;0,ABS(N105-E105-O105),0)),2)</f>
        <v>0</v>
      </c>
    </row>
    <row r="106" customFormat="false" ht="15" hidden="false" customHeight="true" outlineLevel="0" collapsed="false">
      <c r="A106" s="12" t="s">
        <v>314</v>
      </c>
      <c r="B106" s="12" t="str">
        <f aca="false">жовтень!B106</f>
        <v>Нойок Г.К.</v>
      </c>
      <c r="C106" s="12" t="s">
        <v>316</v>
      </c>
      <c r="D106" s="14" t="n">
        <f aca="false">жовтень!P106</f>
        <v>9405.95</v>
      </c>
      <c r="E106" s="14" t="n">
        <f aca="false">жовтень!Q106</f>
        <v>0</v>
      </c>
      <c r="F106" s="13" t="n">
        <f aca="false">жовтень!F106</f>
        <v>0</v>
      </c>
      <c r="G106" s="13" t="n">
        <f aca="false">жовтень!G106</f>
        <v>49.8</v>
      </c>
      <c r="H106" s="13" t="n">
        <f aca="false">жовтень!H106</f>
        <v>0</v>
      </c>
      <c r="I106" s="13" t="n">
        <f aca="false">жовтень!I106</f>
        <v>4.1</v>
      </c>
      <c r="J106" s="14" t="n">
        <f aca="false">ROUND(G106*I106,2)</f>
        <v>204.18</v>
      </c>
      <c r="K106" s="14"/>
      <c r="L106" s="14"/>
      <c r="M106" s="14"/>
      <c r="N106" s="14" t="n">
        <f aca="false">ROUND((G106*I106)-K106-L106-M106,2)</f>
        <v>204.18</v>
      </c>
      <c r="O106" s="14"/>
      <c r="P106" s="14" t="n">
        <f aca="false">ROUND(IF(D106=0,IF((N106-E106-O106)&gt;0,(N106-E106-O106),0),IF((D106+N106-O106)&gt;0,(D106+N106-O106),0)),2)</f>
        <v>9610.13</v>
      </c>
      <c r="Q106" s="14" t="n">
        <f aca="false">ROUND(IF(E106=0,IF((D106+N106-O106)&lt;0,ABS(D106+N106-O106),0),IF((N106-E106-O106)&lt;0,ABS(N106-E106-O106),0)),2)</f>
        <v>0</v>
      </c>
    </row>
    <row r="107" customFormat="false" ht="15" hidden="false" customHeight="true" outlineLevel="0" collapsed="false">
      <c r="A107" s="12" t="s">
        <v>317</v>
      </c>
      <c r="B107" s="12" t="str">
        <f aca="false">жовтень!B107</f>
        <v>Сафонова О.В.</v>
      </c>
      <c r="C107" s="12" t="s">
        <v>319</v>
      </c>
      <c r="D107" s="14" t="n">
        <f aca="false">жовтень!P107</f>
        <v>7394.86</v>
      </c>
      <c r="E107" s="14" t="n">
        <f aca="false">жовтень!Q107</f>
        <v>0</v>
      </c>
      <c r="F107" s="13" t="n">
        <f aca="false">жовтень!F107</f>
        <v>0</v>
      </c>
      <c r="G107" s="13" t="n">
        <f aca="false">жовтень!G107</f>
        <v>34.9</v>
      </c>
      <c r="H107" s="13" t="n">
        <f aca="false">жовтень!H107</f>
        <v>0</v>
      </c>
      <c r="I107" s="13" t="n">
        <f aca="false">жовтень!I107</f>
        <v>4.1</v>
      </c>
      <c r="J107" s="14" t="n">
        <f aca="false">ROUND(G107*I107,2)</f>
        <v>143.09</v>
      </c>
      <c r="K107" s="14"/>
      <c r="L107" s="14"/>
      <c r="M107" s="14"/>
      <c r="N107" s="14" t="n">
        <f aca="false">ROUND((G107*I107)-K107-L107-M107,2)</f>
        <v>143.09</v>
      </c>
      <c r="O107" s="14"/>
      <c r="P107" s="14" t="n">
        <f aca="false">ROUND(IF(D107=0,IF((N107-E107-O107)&gt;0,(N107-E107-O107),0),IF((D107+N107-O107)&gt;0,(D107+N107-O107),0)),2)</f>
        <v>7537.95</v>
      </c>
      <c r="Q107" s="14" t="n">
        <f aca="false">ROUND(IF(E107=0,IF((D107+N107-O107)&lt;0,ABS(D107+N107-O107),0),IF((N107-E107-O107)&lt;0,ABS(N107-E107-O107),0)),2)</f>
        <v>0</v>
      </c>
    </row>
    <row r="108" customFormat="false" ht="15" hidden="false" customHeight="true" outlineLevel="0" collapsed="false">
      <c r="A108" s="12" t="s">
        <v>320</v>
      </c>
      <c r="B108" s="12" t="str">
        <f aca="false">жовтень!B108</f>
        <v>Вінарська Н.П.</v>
      </c>
      <c r="C108" s="12" t="s">
        <v>322</v>
      </c>
      <c r="D108" s="14" t="n">
        <f aca="false">жовтень!P108</f>
        <v>14671.04</v>
      </c>
      <c r="E108" s="14" t="n">
        <f aca="false">жовтень!Q108</f>
        <v>0</v>
      </c>
      <c r="F108" s="13" t="n">
        <f aca="false">жовтень!F108</f>
        <v>0</v>
      </c>
      <c r="G108" s="13" t="n">
        <f aca="false">жовтень!G108</f>
        <v>62.78</v>
      </c>
      <c r="H108" s="13" t="n">
        <f aca="false">жовтень!H108</f>
        <v>0</v>
      </c>
      <c r="I108" s="13" t="n">
        <f aca="false">жовтень!I108</f>
        <v>4.1</v>
      </c>
      <c r="J108" s="14" t="n">
        <f aca="false">ROUND(G108*I108,2)</f>
        <v>257.4</v>
      </c>
      <c r="K108" s="14"/>
      <c r="L108" s="14"/>
      <c r="M108" s="14"/>
      <c r="N108" s="14" t="n">
        <f aca="false">ROUND((G108*I108)-K108-L108-M108,2)</f>
        <v>257.4</v>
      </c>
      <c r="O108" s="14"/>
      <c r="P108" s="14" t="n">
        <f aca="false">ROUND(IF(D108=0,IF((N108-E108-O108)&gt;0,(N108-E108-O108),0),IF((D108+N108-O108)&gt;0,(D108+N108-O108),0)),2)</f>
        <v>14928.44</v>
      </c>
      <c r="Q108" s="14" t="n">
        <f aca="false">ROUND(IF(E108=0,IF((D108+N108-O108)&lt;0,ABS(D108+N108-O108),0),IF((N108-E108-O108)&lt;0,ABS(N108-E108-O108),0)),2)</f>
        <v>0</v>
      </c>
    </row>
    <row r="109" customFormat="false" ht="15" hidden="false" customHeight="true" outlineLevel="0" collapsed="false">
      <c r="A109" s="12" t="s">
        <v>323</v>
      </c>
      <c r="B109" s="12" t="str">
        <f aca="false">жовтень!B109</f>
        <v>Чернова Н.І.</v>
      </c>
      <c r="C109" s="12" t="s">
        <v>325</v>
      </c>
      <c r="D109" s="14" t="n">
        <f aca="false">жовтень!P109</f>
        <v>15411.1</v>
      </c>
      <c r="E109" s="14" t="n">
        <f aca="false">жовтень!Q109</f>
        <v>0</v>
      </c>
      <c r="F109" s="13" t="n">
        <f aca="false">жовтень!F109</f>
        <v>0</v>
      </c>
      <c r="G109" s="13" t="n">
        <f aca="false">жовтень!G109</f>
        <v>66.29</v>
      </c>
      <c r="H109" s="13" t="n">
        <f aca="false">жовтень!H109</f>
        <v>0</v>
      </c>
      <c r="I109" s="13" t="n">
        <f aca="false">жовтень!I109</f>
        <v>4.1</v>
      </c>
      <c r="J109" s="14" t="n">
        <f aca="false">ROUND(G109*I109,2)</f>
        <v>271.79</v>
      </c>
      <c r="K109" s="14"/>
      <c r="L109" s="14"/>
      <c r="M109" s="14"/>
      <c r="N109" s="14" t="n">
        <f aca="false">ROUND((G109*I109)-K109-L109-M109,2)</f>
        <v>271.79</v>
      </c>
      <c r="O109" s="14"/>
      <c r="P109" s="14" t="n">
        <f aca="false">ROUND(IF(D109=0,IF((N109-E109-O109)&gt;0,(N109-E109-O109),0),IF((D109+N109-O109)&gt;0,(D109+N109-O109),0)),2)</f>
        <v>15682.89</v>
      </c>
      <c r="Q109" s="14" t="n">
        <f aca="false">ROUND(IF(E109=0,IF((D109+N109-O109)&lt;0,ABS(D109+N109-O109),0),IF((N109-E109-O109)&lt;0,ABS(N109-E109-O109),0)),2)</f>
        <v>0</v>
      </c>
    </row>
    <row r="110" customFormat="false" ht="15" hidden="false" customHeight="true" outlineLevel="0" collapsed="false">
      <c r="A110" s="12" t="s">
        <v>326</v>
      </c>
      <c r="B110" s="12" t="str">
        <f aca="false">жовтень!B110</f>
        <v>Кошева Н.П</v>
      </c>
      <c r="C110" s="12" t="s">
        <v>328</v>
      </c>
      <c r="D110" s="14" t="n">
        <f aca="false">жовтень!P110</f>
        <v>11299</v>
      </c>
      <c r="E110" s="14" t="n">
        <f aca="false">жовтень!Q110</f>
        <v>0</v>
      </c>
      <c r="F110" s="13" t="n">
        <f aca="false">жовтень!F110</f>
        <v>0</v>
      </c>
      <c r="G110" s="13" t="n">
        <f aca="false">жовтень!G110</f>
        <v>50</v>
      </c>
      <c r="H110" s="13" t="n">
        <f aca="false">жовтень!H110</f>
        <v>0</v>
      </c>
      <c r="I110" s="13" t="n">
        <f aca="false">жовтень!I110</f>
        <v>4.1</v>
      </c>
      <c r="J110" s="14" t="n">
        <f aca="false">ROUND(G110*I110,2)</f>
        <v>205</v>
      </c>
      <c r="K110" s="14"/>
      <c r="L110" s="14"/>
      <c r="M110" s="14"/>
      <c r="N110" s="14" t="n">
        <f aca="false">ROUND((G110*I110)-K110-L110-M110,2)</f>
        <v>205</v>
      </c>
      <c r="O110" s="14"/>
      <c r="P110" s="14" t="n">
        <f aca="false">ROUND(IF(D110=0,IF((N110-E110-O110)&gt;0,(N110-E110-O110),0),IF((D110+N110-O110)&gt;0,(D110+N110-O110),0)),2)</f>
        <v>11504</v>
      </c>
      <c r="Q110" s="14" t="n">
        <f aca="false">ROUND(IF(E110=0,IF((D110+N110-O110)&lt;0,ABS(D110+N110-O110),0),IF((N110-E110-O110)&lt;0,ABS(N110-E110-O110),0)),2)</f>
        <v>0</v>
      </c>
    </row>
    <row r="111" customFormat="false" ht="15" hidden="false" customHeight="true" outlineLevel="0" collapsed="false">
      <c r="A111" s="12" t="s">
        <v>329</v>
      </c>
      <c r="B111" s="12" t="str">
        <f aca="false">жовтень!B111</f>
        <v>Уривський Д.Б.</v>
      </c>
      <c r="C111" s="12" t="s">
        <v>331</v>
      </c>
      <c r="D111" s="14" t="n">
        <f aca="false">жовтень!P111</f>
        <v>8256.09</v>
      </c>
      <c r="E111" s="14" t="n">
        <f aca="false">жовтень!Q111</f>
        <v>0</v>
      </c>
      <c r="F111" s="13" t="n">
        <f aca="false">жовтень!F111</f>
        <v>0</v>
      </c>
      <c r="G111" s="13" t="n">
        <f aca="false">жовтень!G111</f>
        <v>35</v>
      </c>
      <c r="H111" s="13" t="n">
        <f aca="false">жовтень!H111</f>
        <v>0</v>
      </c>
      <c r="I111" s="13" t="n">
        <f aca="false">жовтень!I111</f>
        <v>4.1</v>
      </c>
      <c r="J111" s="14" t="n">
        <f aca="false">ROUND(G111*I111,2)</f>
        <v>143.5</v>
      </c>
      <c r="K111" s="14"/>
      <c r="L111" s="14"/>
      <c r="M111" s="14"/>
      <c r="N111" s="14" t="n">
        <f aca="false">ROUND((G111*I111)-K111-L111-M111,2)</f>
        <v>143.5</v>
      </c>
      <c r="O111" s="14"/>
      <c r="P111" s="14" t="n">
        <f aca="false">ROUND(IF(D111=0,IF((N111-E111-O111)&gt;0,(N111-E111-O111),0),IF((D111+N111-O111)&gt;0,(D111+N111-O111),0)),2)</f>
        <v>8399.59</v>
      </c>
      <c r="Q111" s="14" t="n">
        <f aca="false">ROUND(IF(E111=0,IF((D111+N111-O111)&lt;0,ABS(D111+N111-O111),0),IF((N111-E111-O111)&lt;0,ABS(N111-E111-O111),0)),2)</f>
        <v>0</v>
      </c>
    </row>
    <row r="112" customFormat="false" ht="15" hidden="false" customHeight="true" outlineLevel="0" collapsed="false">
      <c r="A112" s="12" t="s">
        <v>332</v>
      </c>
      <c r="B112" s="12" t="str">
        <f aca="false">жовтень!B112</f>
        <v>АДПСУ (Чорноморець В.М.)</v>
      </c>
      <c r="C112" s="12" t="s">
        <v>334</v>
      </c>
      <c r="D112" s="14" t="n">
        <f aca="false">жовтень!P112</f>
        <v>5511.22</v>
      </c>
      <c r="E112" s="14" t="n">
        <f aca="false">жовтень!Q112</f>
        <v>0</v>
      </c>
      <c r="F112" s="13" t="n">
        <f aca="false">жовтень!F112</f>
        <v>0</v>
      </c>
      <c r="G112" s="13" t="n">
        <f aca="false">жовтень!G112</f>
        <v>61.1</v>
      </c>
      <c r="H112" s="13" t="n">
        <f aca="false">жовтень!H112</f>
        <v>0</v>
      </c>
      <c r="I112" s="13" t="n">
        <f aca="false">жовтень!I112</f>
        <v>4.1</v>
      </c>
      <c r="J112" s="14" t="n">
        <f aca="false">ROUND(G112*I112,2)</f>
        <v>250.51</v>
      </c>
      <c r="K112" s="14"/>
      <c r="L112" s="14"/>
      <c r="M112" s="14"/>
      <c r="N112" s="14" t="n">
        <f aca="false">ROUND((G112*I112)-K112-L112-M112,2)</f>
        <v>250.51</v>
      </c>
      <c r="O112" s="14"/>
      <c r="P112" s="14" t="n">
        <f aca="false">ROUND(IF(D112=0,IF((N112-E112-O112)&gt;0,(N112-E112-O112),0),IF((D112+N112-O112)&gt;0,(D112+N112-O112),0)),2)</f>
        <v>5761.73</v>
      </c>
      <c r="Q112" s="14" t="n">
        <f aca="false">ROUND(IF(E112=0,IF((D112+N112-O112)&lt;0,ABS(D112+N112-O112),0),IF((N112-E112-O112)&lt;0,ABS(N112-E112-O112),0)),2)</f>
        <v>0</v>
      </c>
    </row>
    <row r="113" customFormat="false" ht="15" hidden="false" customHeight="true" outlineLevel="0" collapsed="false">
      <c r="A113" s="12" t="s">
        <v>335</v>
      </c>
      <c r="B113" s="12" t="str">
        <f aca="false">жовтень!B113</f>
        <v>Дмитренко Г.В.</v>
      </c>
      <c r="C113" s="12" t="s">
        <v>337</v>
      </c>
      <c r="D113" s="14" t="n">
        <f aca="false">жовтень!P113</f>
        <v>14146.27</v>
      </c>
      <c r="E113" s="14" t="n">
        <f aca="false">жовтень!Q113</f>
        <v>0</v>
      </c>
      <c r="F113" s="13" t="n">
        <f aca="false">жовтень!F113</f>
        <v>0</v>
      </c>
      <c r="G113" s="13" t="n">
        <f aca="false">жовтень!G113</f>
        <v>64.89</v>
      </c>
      <c r="H113" s="13" t="n">
        <f aca="false">жовтень!H113</f>
        <v>0</v>
      </c>
      <c r="I113" s="13" t="n">
        <f aca="false">жовтень!I113</f>
        <v>4.1</v>
      </c>
      <c r="J113" s="14" t="n">
        <f aca="false">ROUND(G113*I113,2)</f>
        <v>266.05</v>
      </c>
      <c r="K113" s="14"/>
      <c r="L113" s="14"/>
      <c r="M113" s="14"/>
      <c r="N113" s="14" t="n">
        <f aca="false">ROUND((G113*I113)-K113-L113-M113,2)</f>
        <v>266.05</v>
      </c>
      <c r="O113" s="14"/>
      <c r="P113" s="14" t="n">
        <f aca="false">ROUND(IF(D113=0,IF((N113-E113-O113)&gt;0,(N113-E113-O113),0),IF((D113+N113-O113)&gt;0,(D113+N113-O113),0)),2)</f>
        <v>14412.32</v>
      </c>
      <c r="Q113" s="14" t="n">
        <f aca="false">ROUND(IF(E113=0,IF((D113+N113-O113)&lt;0,ABS(D113+N113-O113),0),IF((N113-E113-O113)&lt;0,ABS(N113-E113-O113),0)),2)</f>
        <v>0</v>
      </c>
    </row>
    <row r="114" customFormat="false" ht="15" hidden="false" customHeight="true" outlineLevel="0" collapsed="false">
      <c r="A114" s="12" t="s">
        <v>338</v>
      </c>
      <c r="B114" s="12" t="str">
        <f aca="false">жовтень!B114</f>
        <v>Номерова Т.В.</v>
      </c>
      <c r="C114" s="12" t="s">
        <v>340</v>
      </c>
      <c r="D114" s="14" t="n">
        <f aca="false">жовтень!P114</f>
        <v>1843.4</v>
      </c>
      <c r="E114" s="14" t="n">
        <f aca="false">жовтень!Q114</f>
        <v>0</v>
      </c>
      <c r="F114" s="13" t="n">
        <f aca="false">жовтень!F114</f>
        <v>0</v>
      </c>
      <c r="G114" s="13" t="n">
        <f aca="false">жовтень!G114</f>
        <v>49.96</v>
      </c>
      <c r="H114" s="13" t="n">
        <f aca="false">жовтень!H114</f>
        <v>0</v>
      </c>
      <c r="I114" s="13" t="n">
        <f aca="false">жовтень!I114</f>
        <v>4.1</v>
      </c>
      <c r="J114" s="14" t="n">
        <f aca="false">ROUND(G114*I114,2)</f>
        <v>204.84</v>
      </c>
      <c r="K114" s="14"/>
      <c r="L114" s="14"/>
      <c r="M114" s="14"/>
      <c r="N114" s="14" t="n">
        <f aca="false">ROUND((G114*I114)-K114-L114-M114,2)</f>
        <v>204.84</v>
      </c>
      <c r="O114" s="14"/>
      <c r="P114" s="14" t="n">
        <f aca="false">ROUND(IF(D114=0,IF((N114-E114-O114)&gt;0,(N114-E114-O114),0),IF((D114+N114-O114)&gt;0,(D114+N114-O114),0)),2)</f>
        <v>2048.24</v>
      </c>
      <c r="Q114" s="14" t="n">
        <f aca="false">ROUND(IF(E114=0,IF((D114+N114-O114)&lt;0,ABS(D114+N114-O114),0),IF((N114-E114-O114)&lt;0,ABS(N114-E114-O114),0)),2)</f>
        <v>0</v>
      </c>
    </row>
    <row r="115" customFormat="false" ht="15" hidden="false" customHeight="true" outlineLevel="0" collapsed="false">
      <c r="A115" s="12" t="s">
        <v>341</v>
      </c>
      <c r="B115" s="12" t="str">
        <f aca="false">жовтень!B115</f>
        <v>Самойлова О.В.</v>
      </c>
      <c r="C115" s="12" t="s">
        <v>343</v>
      </c>
      <c r="D115" s="14" t="n">
        <f aca="false">жовтень!P115</f>
        <v>1414.5</v>
      </c>
      <c r="E115" s="14" t="n">
        <f aca="false">жовтень!Q115</f>
        <v>0</v>
      </c>
      <c r="F115" s="13" t="n">
        <f aca="false">жовтень!F115</f>
        <v>0</v>
      </c>
      <c r="G115" s="13" t="n">
        <f aca="false">жовтень!G115</f>
        <v>34.5</v>
      </c>
      <c r="H115" s="13" t="n">
        <f aca="false">жовтень!H115</f>
        <v>0</v>
      </c>
      <c r="I115" s="13" t="n">
        <f aca="false">жовтень!I115</f>
        <v>4.1</v>
      </c>
      <c r="J115" s="14" t="n">
        <f aca="false">ROUND(G115*I115,2)</f>
        <v>141.45</v>
      </c>
      <c r="K115" s="14"/>
      <c r="L115" s="14"/>
      <c r="M115" s="14"/>
      <c r="N115" s="14" t="n">
        <f aca="false">ROUND((G115*I115)-K115-L115-M115,2)</f>
        <v>141.45</v>
      </c>
      <c r="O115" s="14"/>
      <c r="P115" s="14" t="n">
        <f aca="false">ROUND(IF(D115=0,IF((N115-E115-O115)&gt;0,(N115-E115-O115),0),IF((D115+N115-O115)&gt;0,(D115+N115-O115),0)),2)</f>
        <v>1555.95</v>
      </c>
      <c r="Q115" s="14" t="n">
        <f aca="false">ROUND(IF(E115=0,IF((D115+N115-O115)&lt;0,ABS(D115+N115-O115),0),IF((N115-E115-O115)&lt;0,ABS(N115-E115-O115),0)),2)</f>
        <v>0</v>
      </c>
    </row>
    <row r="116" customFormat="false" ht="15" hidden="false" customHeight="true" outlineLevel="0" collapsed="false">
      <c r="A116" s="12" t="s">
        <v>344</v>
      </c>
      <c r="B116" s="12" t="str">
        <f aca="false">жовтень!B116</f>
        <v>Випенко О.І.</v>
      </c>
      <c r="C116" s="12" t="s">
        <v>346</v>
      </c>
      <c r="D116" s="14" t="n">
        <f aca="false">жовтень!P116</f>
        <v>17719.94</v>
      </c>
      <c r="E116" s="14" t="n">
        <f aca="false">жовтень!Q116</f>
        <v>0</v>
      </c>
      <c r="F116" s="13" t="n">
        <f aca="false">жовтень!F116</f>
        <v>0</v>
      </c>
      <c r="G116" s="13" t="n">
        <f aca="false">жовтень!G116</f>
        <v>62.9</v>
      </c>
      <c r="H116" s="13" t="n">
        <f aca="false">жовтень!H116</f>
        <v>0</v>
      </c>
      <c r="I116" s="13" t="n">
        <f aca="false">жовтень!I116</f>
        <v>4.1</v>
      </c>
      <c r="J116" s="14" t="n">
        <f aca="false">ROUND(G116*I116,2)</f>
        <v>257.89</v>
      </c>
      <c r="K116" s="14"/>
      <c r="L116" s="14"/>
      <c r="M116" s="14"/>
      <c r="N116" s="14" t="n">
        <f aca="false">ROUND((G116*I116)-K116-L116-M116,2)</f>
        <v>257.89</v>
      </c>
      <c r="O116" s="14"/>
      <c r="P116" s="14" t="n">
        <f aca="false">ROUND(IF(D116=0,IF((N116-E116-O116)&gt;0,(N116-E116-O116),0),IF((D116+N116-O116)&gt;0,(D116+N116-O116),0)),2)</f>
        <v>17977.83</v>
      </c>
      <c r="Q116" s="14" t="n">
        <f aca="false">ROUND(IF(E116=0,IF((D116+N116-O116)&lt;0,ABS(D116+N116-O116),0),IF((N116-E116-O116)&lt;0,ABS(N116-E116-O116),0)),2)</f>
        <v>0</v>
      </c>
    </row>
    <row r="117" customFormat="false" ht="15" hidden="false" customHeight="true" outlineLevel="0" collapsed="false">
      <c r="A117" s="12" t="s">
        <v>347</v>
      </c>
      <c r="B117" s="12" t="str">
        <f aca="false">жовтень!B117</f>
        <v>Саприкін Ю.О.</v>
      </c>
      <c r="C117" s="12" t="s">
        <v>349</v>
      </c>
      <c r="D117" s="14" t="n">
        <f aca="false">жовтень!P117</f>
        <v>4383.72</v>
      </c>
      <c r="E117" s="14" t="n">
        <f aca="false">жовтень!Q117</f>
        <v>0</v>
      </c>
      <c r="F117" s="13" t="n">
        <f aca="false">жовтень!F117</f>
        <v>0</v>
      </c>
      <c r="G117" s="13" t="n">
        <f aca="false">жовтень!G117</f>
        <v>97.2</v>
      </c>
      <c r="H117" s="13" t="n">
        <f aca="false">жовтень!H117</f>
        <v>0</v>
      </c>
      <c r="I117" s="13" t="n">
        <f aca="false">жовтень!I117</f>
        <v>4.1</v>
      </c>
      <c r="J117" s="14" t="n">
        <f aca="false">ROUND(G117*I117,2)</f>
        <v>398.52</v>
      </c>
      <c r="K117" s="14"/>
      <c r="L117" s="14"/>
      <c r="M117" s="14"/>
      <c r="N117" s="14" t="n">
        <f aca="false">ROUND((G117*I117)-K117-L117-M117,2)</f>
        <v>398.52</v>
      </c>
      <c r="O117" s="14"/>
      <c r="P117" s="14" t="n">
        <f aca="false">ROUND(IF(D117=0,IF((N117-E117-O117)&gt;0,(N117-E117-O117),0),IF((D117+N117-O117)&gt;0,(D117+N117-O117),0)),2)</f>
        <v>4782.24</v>
      </c>
      <c r="Q117" s="14" t="n">
        <f aca="false">ROUND(IF(E117=0,IF((D117+N117-O117)&lt;0,ABS(D117+N117-O117),0),IF((N117-E117-O117)&lt;0,ABS(N117-E117-O117),0)),2)</f>
        <v>0</v>
      </c>
    </row>
    <row r="118" customFormat="false" ht="15" hidden="false" customHeight="true" outlineLevel="0" collapsed="false">
      <c r="A118" s="12" t="s">
        <v>350</v>
      </c>
      <c r="B118" s="12" t="str">
        <f aca="false">жовтень!B118</f>
        <v>Мовчан В.М.</v>
      </c>
      <c r="C118" s="12" t="s">
        <v>352</v>
      </c>
      <c r="D118" s="14" t="n">
        <f aca="false">жовтень!P118</f>
        <v>1998.8</v>
      </c>
      <c r="E118" s="14" t="n">
        <f aca="false">жовтень!Q118</f>
        <v>0</v>
      </c>
      <c r="F118" s="13" t="n">
        <f aca="false">жовтень!F118</f>
        <v>0</v>
      </c>
      <c r="G118" s="13" t="n">
        <f aca="false">жовтень!G118</f>
        <v>48.75</v>
      </c>
      <c r="H118" s="13" t="n">
        <f aca="false">жовтень!H118</f>
        <v>0</v>
      </c>
      <c r="I118" s="13" t="n">
        <f aca="false">жовтень!I118</f>
        <v>4.1</v>
      </c>
      <c r="J118" s="14" t="n">
        <f aca="false">ROUND(G118*I118,2)</f>
        <v>199.88</v>
      </c>
      <c r="K118" s="14"/>
      <c r="L118" s="14"/>
      <c r="M118" s="14"/>
      <c r="N118" s="14" t="n">
        <f aca="false">ROUND((G118*I118)-K118-L118-M118,2)</f>
        <v>199.88</v>
      </c>
      <c r="O118" s="14"/>
      <c r="P118" s="14" t="n">
        <f aca="false">ROUND(IF(D118=0,IF((N118-E118-O118)&gt;0,(N118-E118-O118),0),IF((D118+N118-O118)&gt;0,(D118+N118-O118),0)),2)</f>
        <v>2198.68</v>
      </c>
      <c r="Q118" s="14" t="n">
        <f aca="false">ROUND(IF(E118=0,IF((D118+N118-O118)&lt;0,ABS(D118+N118-O118),0),IF((N118-E118-O118)&lt;0,ABS(N118-E118-O118),0)),2)</f>
        <v>0</v>
      </c>
    </row>
    <row r="119" customFormat="false" ht="15" hidden="false" customHeight="true" outlineLevel="0" collapsed="false">
      <c r="A119" s="12" t="s">
        <v>353</v>
      </c>
      <c r="B119" s="12" t="str">
        <f aca="false">жовтень!B119</f>
        <v>Величко Н.М.</v>
      </c>
      <c r="C119" s="12" t="s">
        <v>355</v>
      </c>
      <c r="D119" s="14" t="n">
        <f aca="false">жовтень!P119</f>
        <v>2796.6</v>
      </c>
      <c r="E119" s="14" t="n">
        <f aca="false">жовтень!Q119</f>
        <v>0</v>
      </c>
      <c r="F119" s="13" t="n">
        <f aca="false">жовтень!F119</f>
        <v>0</v>
      </c>
      <c r="G119" s="13" t="n">
        <f aca="false">жовтень!G119</f>
        <v>63.8</v>
      </c>
      <c r="H119" s="13" t="n">
        <f aca="false">жовтень!H119</f>
        <v>0</v>
      </c>
      <c r="I119" s="13" t="n">
        <f aca="false">жовтень!I119</f>
        <v>4.1</v>
      </c>
      <c r="J119" s="14" t="n">
        <f aca="false">ROUND(G119*I119,2)</f>
        <v>261.58</v>
      </c>
      <c r="K119" s="14"/>
      <c r="L119" s="14"/>
      <c r="M119" s="14"/>
      <c r="N119" s="14" t="n">
        <f aca="false">ROUND((G119*I119)-K119-L119-M119,2)</f>
        <v>261.58</v>
      </c>
      <c r="O119" s="14"/>
      <c r="P119" s="14" t="n">
        <f aca="false">ROUND(IF(D119=0,IF((N119-E119-O119)&gt;0,(N119-E119-O119),0),IF((D119+N119-O119)&gt;0,(D119+N119-O119),0)),2)</f>
        <v>3058.18</v>
      </c>
      <c r="Q119" s="14" t="n">
        <f aca="false">ROUND(IF(E119=0,IF((D119+N119-O119)&lt;0,ABS(D119+N119-O119),0),IF((N119-E119-O119)&lt;0,ABS(N119-E119-O119),0)),2)</f>
        <v>0</v>
      </c>
    </row>
    <row r="120" customFormat="false" ht="15" hidden="false" customHeight="true" outlineLevel="0" collapsed="false">
      <c r="A120" s="12" t="s">
        <v>356</v>
      </c>
      <c r="B120" s="12" t="str">
        <f aca="false">жовтень!B120</f>
        <v>Бухлов С.В.</v>
      </c>
      <c r="C120" s="12" t="s">
        <v>358</v>
      </c>
      <c r="D120" s="14" t="n">
        <f aca="false">жовтень!P120</f>
        <v>19800.85</v>
      </c>
      <c r="E120" s="14" t="n">
        <f aca="false">жовтень!Q120</f>
        <v>0</v>
      </c>
      <c r="F120" s="13" t="n">
        <f aca="false">жовтень!F120</f>
        <v>0</v>
      </c>
      <c r="G120" s="13" t="n">
        <f aca="false">жовтень!G120</f>
        <v>62.6</v>
      </c>
      <c r="H120" s="13" t="n">
        <f aca="false">жовтень!H120</f>
        <v>0</v>
      </c>
      <c r="I120" s="13" t="n">
        <f aca="false">жовтень!I120</f>
        <v>4.1</v>
      </c>
      <c r="J120" s="14" t="n">
        <f aca="false">ROUND(G120*I120,2)</f>
        <v>256.66</v>
      </c>
      <c r="K120" s="14"/>
      <c r="L120" s="14"/>
      <c r="M120" s="14"/>
      <c r="N120" s="14" t="n">
        <f aca="false">ROUND((G120*I120)-K120-L120-M120,2)</f>
        <v>256.66</v>
      </c>
      <c r="O120" s="14"/>
      <c r="P120" s="14" t="n">
        <f aca="false">ROUND(IF(D120=0,IF((N120-E120-O120)&gt;0,(N120-E120-O120),0),IF((D120+N120-O120)&gt;0,(D120+N120-O120),0)),2)</f>
        <v>20057.51</v>
      </c>
      <c r="Q120" s="14" t="n">
        <f aca="false">ROUND(IF(E120=0,IF((D120+N120-O120)&lt;0,ABS(D120+N120-O120),0),IF((N120-E120-O120)&lt;0,ABS(N120-E120-O120),0)),2)</f>
        <v>0</v>
      </c>
    </row>
    <row r="121" customFormat="false" ht="15" hidden="false" customHeight="true" outlineLevel="0" collapsed="false">
      <c r="A121" s="12" t="s">
        <v>359</v>
      </c>
      <c r="B121" s="12" t="str">
        <f aca="false">жовтень!B121</f>
        <v>Перепеліцина Т.Ю.</v>
      </c>
      <c r="C121" s="12" t="s">
        <v>361</v>
      </c>
      <c r="D121" s="14" t="n">
        <f aca="false">жовтень!P121</f>
        <v>3825.89</v>
      </c>
      <c r="E121" s="14" t="n">
        <f aca="false">жовтень!Q121</f>
        <v>0</v>
      </c>
      <c r="F121" s="13" t="n">
        <f aca="false">жовтень!F121</f>
        <v>0</v>
      </c>
      <c r="G121" s="13" t="n">
        <f aca="false">жовтень!G121</f>
        <v>34.7</v>
      </c>
      <c r="H121" s="13" t="n">
        <f aca="false">жовтень!H121</f>
        <v>0</v>
      </c>
      <c r="I121" s="13" t="n">
        <f aca="false">жовтень!I121</f>
        <v>4.1</v>
      </c>
      <c r="J121" s="14" t="n">
        <f aca="false">ROUND(G121*I121,2)</f>
        <v>142.27</v>
      </c>
      <c r="K121" s="14"/>
      <c r="L121" s="14"/>
      <c r="M121" s="14"/>
      <c r="N121" s="14" t="n">
        <f aca="false">ROUND((G121*I121)-K121-L121-M121,2)</f>
        <v>142.27</v>
      </c>
      <c r="O121" s="14"/>
      <c r="P121" s="14" t="n">
        <f aca="false">ROUND(IF(D121=0,IF((N121-E121-O121)&gt;0,(N121-E121-O121),0),IF((D121+N121-O121)&gt;0,(D121+N121-O121),0)),2)</f>
        <v>3968.16</v>
      </c>
      <c r="Q121" s="14" t="n">
        <f aca="false">ROUND(IF(E121=0,IF((D121+N121-O121)&lt;0,ABS(D121+N121-O121),0),IF((N121-E121-O121)&lt;0,ABS(N121-E121-O121),0)),2)</f>
        <v>0</v>
      </c>
    </row>
    <row r="122" customFormat="false" ht="15" hidden="false" customHeight="true" outlineLevel="0" collapsed="false">
      <c r="A122" s="12" t="s">
        <v>362</v>
      </c>
      <c r="B122" s="12" t="str">
        <f aca="false">жовтень!B122</f>
        <v>Свєтлова Т.Ю.</v>
      </c>
      <c r="C122" s="12" t="s">
        <v>364</v>
      </c>
      <c r="D122" s="14" t="n">
        <f aca="false">жовтень!P122</f>
        <v>5278.7</v>
      </c>
      <c r="E122" s="14" t="n">
        <f aca="false">жовтень!Q122</f>
        <v>0</v>
      </c>
      <c r="F122" s="13" t="n">
        <f aca="false">жовтень!F122</f>
        <v>0</v>
      </c>
      <c r="G122" s="13" t="n">
        <f aca="false">жовтень!G122</f>
        <v>49.72</v>
      </c>
      <c r="H122" s="13" t="n">
        <f aca="false">жовтень!H122</f>
        <v>0</v>
      </c>
      <c r="I122" s="13" t="n">
        <f aca="false">жовтень!I122</f>
        <v>4.1</v>
      </c>
      <c r="J122" s="14" t="n">
        <f aca="false">ROUND(G122*I122,2)</f>
        <v>203.85</v>
      </c>
      <c r="K122" s="14"/>
      <c r="L122" s="14"/>
      <c r="M122" s="14"/>
      <c r="N122" s="14" t="n">
        <f aca="false">ROUND((G122*I122)-K122-L122-M122,2)</f>
        <v>203.85</v>
      </c>
      <c r="O122" s="14"/>
      <c r="P122" s="14" t="n">
        <f aca="false">ROUND(IF(D122=0,IF((N122-E122-O122)&gt;0,(N122-E122-O122),0),IF((D122+N122-O122)&gt;0,(D122+N122-O122),0)),2)</f>
        <v>5482.55</v>
      </c>
      <c r="Q122" s="14" t="n">
        <f aca="false">ROUND(IF(E122=0,IF((D122+N122-O122)&lt;0,ABS(D122+N122-O122),0),IF((N122-E122-O122)&lt;0,ABS(N122-E122-O122),0)),2)</f>
        <v>0</v>
      </c>
    </row>
    <row r="123" customFormat="false" ht="15" hidden="false" customHeight="true" outlineLevel="0" collapsed="false">
      <c r="A123" s="12" t="s">
        <v>365</v>
      </c>
      <c r="B123" s="12" t="str">
        <f aca="false">жовтень!B123</f>
        <v>Маркова О.М.</v>
      </c>
      <c r="C123" s="12" t="s">
        <v>367</v>
      </c>
      <c r="D123" s="14" t="n">
        <f aca="false">жовтень!P123</f>
        <v>2720.56</v>
      </c>
      <c r="E123" s="14" t="n">
        <f aca="false">жовтень!Q123</f>
        <v>0</v>
      </c>
      <c r="F123" s="13" t="n">
        <f aca="false">жовтень!F123</f>
        <v>0</v>
      </c>
      <c r="G123" s="13" t="n">
        <f aca="false">жовтень!G123</f>
        <v>65.1</v>
      </c>
      <c r="H123" s="13" t="n">
        <f aca="false">жовтень!H123</f>
        <v>0</v>
      </c>
      <c r="I123" s="13" t="n">
        <f aca="false">жовтень!I123</f>
        <v>4.1</v>
      </c>
      <c r="J123" s="14" t="n">
        <f aca="false">ROUND(G123*I123,2)</f>
        <v>266.91</v>
      </c>
      <c r="K123" s="14"/>
      <c r="L123" s="14"/>
      <c r="M123" s="14"/>
      <c r="N123" s="14" t="n">
        <f aca="false">ROUND((G123*I123)-K123-L123-M123,2)</f>
        <v>266.91</v>
      </c>
      <c r="O123" s="14"/>
      <c r="P123" s="14" t="n">
        <f aca="false">ROUND(IF(D123=0,IF((N123-E123-O123)&gt;0,(N123-E123-O123),0),IF((D123+N123-O123)&gt;0,(D123+N123-O123),0)),2)</f>
        <v>2987.47</v>
      </c>
      <c r="Q123" s="14" t="n">
        <f aca="false">ROUND(IF(E123=0,IF((D123+N123-O123)&lt;0,ABS(D123+N123-O123),0),IF((N123-E123-O123)&lt;0,ABS(N123-E123-O123),0)),2)</f>
        <v>0</v>
      </c>
    </row>
    <row r="124" customFormat="false" ht="15" hidden="false" customHeight="true" outlineLevel="0" collapsed="false">
      <c r="A124" s="12" t="s">
        <v>368</v>
      </c>
      <c r="B124" s="12" t="str">
        <f aca="false">жовтень!B124</f>
        <v>Ракитська А.М.</v>
      </c>
      <c r="C124" s="12" t="s">
        <v>370</v>
      </c>
      <c r="D124" s="14" t="n">
        <f aca="false">жовтень!P124</f>
        <v>2542.08</v>
      </c>
      <c r="E124" s="14" t="n">
        <f aca="false">жовтень!Q124</f>
        <v>0</v>
      </c>
      <c r="F124" s="13" t="n">
        <f aca="false">жовтень!F124</f>
        <v>0</v>
      </c>
      <c r="G124" s="13" t="n">
        <f aca="false">жовтень!G124</f>
        <v>62.18</v>
      </c>
      <c r="H124" s="13" t="n">
        <f aca="false">жовтень!H124</f>
        <v>0</v>
      </c>
      <c r="I124" s="13" t="n">
        <f aca="false">жовтень!I124</f>
        <v>4.1</v>
      </c>
      <c r="J124" s="14" t="n">
        <f aca="false">ROUND(G124*I124,2)</f>
        <v>254.94</v>
      </c>
      <c r="K124" s="14"/>
      <c r="L124" s="14"/>
      <c r="M124" s="14"/>
      <c r="N124" s="14" t="n">
        <f aca="false">ROUND((G124*I124)-K124-L124-M124,2)</f>
        <v>254.94</v>
      </c>
      <c r="O124" s="14"/>
      <c r="P124" s="14" t="n">
        <f aca="false">ROUND(IF(D124=0,IF((N124-E124-O124)&gt;0,(N124-E124-O124),0),IF((D124+N124-O124)&gt;0,(D124+N124-O124),0)),2)</f>
        <v>2797.02</v>
      </c>
      <c r="Q124" s="14" t="n">
        <f aca="false">ROUND(IF(E124=0,IF((D124+N124-O124)&lt;0,ABS(D124+N124-O124),0),IF((N124-E124-O124)&lt;0,ABS(N124-E124-O124),0)),2)</f>
        <v>0</v>
      </c>
    </row>
    <row r="125" customFormat="false" ht="15" hidden="false" customHeight="true" outlineLevel="0" collapsed="false">
      <c r="A125" s="12" t="s">
        <v>371</v>
      </c>
      <c r="B125" s="12" t="str">
        <f aca="false">жовтень!B125</f>
        <v>Гусак К.С.</v>
      </c>
      <c r="C125" s="12" t="s">
        <v>373</v>
      </c>
      <c r="D125" s="14" t="n">
        <f aca="false">жовтень!P125</f>
        <v>8120.1</v>
      </c>
      <c r="E125" s="14" t="n">
        <f aca="false">жовтень!Q125</f>
        <v>0</v>
      </c>
      <c r="F125" s="13" t="n">
        <f aca="false">жовтень!F125</f>
        <v>0</v>
      </c>
      <c r="G125" s="13" t="n">
        <f aca="false">жовтень!G125</f>
        <v>35.1</v>
      </c>
      <c r="H125" s="13" t="n">
        <f aca="false">жовтень!H125</f>
        <v>0</v>
      </c>
      <c r="I125" s="13" t="n">
        <f aca="false">жовтень!I125</f>
        <v>4.1</v>
      </c>
      <c r="J125" s="14" t="n">
        <f aca="false">ROUND(G125*I125,2)</f>
        <v>143.91</v>
      </c>
      <c r="K125" s="14"/>
      <c r="L125" s="14"/>
      <c r="M125" s="14"/>
      <c r="N125" s="14" t="n">
        <f aca="false">ROUND((G125*I125)-K125-L125-M125,2)</f>
        <v>143.91</v>
      </c>
      <c r="O125" s="14"/>
      <c r="P125" s="14" t="n">
        <f aca="false">ROUND(IF(D125=0,IF((N125-E125-O125)&gt;0,(N125-E125-O125),0),IF((D125+N125-O125)&gt;0,(D125+N125-O125),0)),2)</f>
        <v>8264.01</v>
      </c>
      <c r="Q125" s="14" t="n">
        <f aca="false">ROUND(IF(E125=0,IF((D125+N125-O125)&lt;0,ABS(D125+N125-O125),0),IF((N125-E125-O125)&lt;0,ABS(N125-E125-O125),0)),2)</f>
        <v>0</v>
      </c>
    </row>
    <row r="126" customFormat="false" ht="15" hidden="false" customHeight="true" outlineLevel="0" collapsed="false">
      <c r="A126" s="12" t="s">
        <v>374</v>
      </c>
      <c r="B126" s="12" t="str">
        <f aca="false">жовтень!B126</f>
        <v>Пісоченко М.Г.</v>
      </c>
      <c r="C126" s="12" t="s">
        <v>376</v>
      </c>
      <c r="D126" s="14" t="n">
        <f aca="false">жовтень!P126</f>
        <v>2245.98</v>
      </c>
      <c r="E126" s="14" t="n">
        <f aca="false">жовтень!Q126</f>
        <v>0</v>
      </c>
      <c r="F126" s="13" t="n">
        <f aca="false">жовтень!F126</f>
        <v>0</v>
      </c>
      <c r="G126" s="13" t="n">
        <f aca="false">жовтень!G126</f>
        <v>49.8</v>
      </c>
      <c r="H126" s="13" t="n">
        <f aca="false">жовтень!H126</f>
        <v>0</v>
      </c>
      <c r="I126" s="13" t="n">
        <f aca="false">жовтень!I126</f>
        <v>4.1</v>
      </c>
      <c r="J126" s="14" t="n">
        <f aca="false">ROUND(G126*I126,2)</f>
        <v>204.18</v>
      </c>
      <c r="K126" s="14"/>
      <c r="L126" s="14"/>
      <c r="M126" s="14"/>
      <c r="N126" s="14" t="n">
        <f aca="false">ROUND((G126*I126)-K126-L126-M126,2)</f>
        <v>204.18</v>
      </c>
      <c r="O126" s="14"/>
      <c r="P126" s="14" t="n">
        <f aca="false">ROUND(IF(D126=0,IF((N126-E126-O126)&gt;0,(N126-E126-O126),0),IF((D126+N126-O126)&gt;0,(D126+N126-O126),0)),2)</f>
        <v>2450.16</v>
      </c>
      <c r="Q126" s="14" t="n">
        <f aca="false">ROUND(IF(E126=0,IF((D126+N126-O126)&lt;0,ABS(D126+N126-O126),0),IF((N126-E126-O126)&lt;0,ABS(N126-E126-O126),0)),2)</f>
        <v>0</v>
      </c>
    </row>
    <row r="127" customFormat="false" ht="15" hidden="false" customHeight="true" outlineLevel="0" collapsed="false">
      <c r="A127" s="12" t="s">
        <v>377</v>
      </c>
      <c r="B127" s="12" t="str">
        <f aca="false">жовтень!B127</f>
        <v>Столяр О.М.</v>
      </c>
      <c r="C127" s="12" t="s">
        <v>379</v>
      </c>
      <c r="D127" s="14" t="n">
        <f aca="false">жовтень!P127</f>
        <v>5622.33</v>
      </c>
      <c r="E127" s="14" t="n">
        <f aca="false">жовтень!Q127</f>
        <v>0</v>
      </c>
      <c r="F127" s="13" t="n">
        <f aca="false">жовтень!F127</f>
        <v>0</v>
      </c>
      <c r="G127" s="13" t="n">
        <f aca="false">жовтень!G127</f>
        <v>65.3</v>
      </c>
      <c r="H127" s="13" t="n">
        <f aca="false">жовтень!H127</f>
        <v>0</v>
      </c>
      <c r="I127" s="13" t="n">
        <f aca="false">жовтень!I127</f>
        <v>4.1</v>
      </c>
      <c r="J127" s="14" t="n">
        <f aca="false">ROUND(G127*I127,2)</f>
        <v>267.73</v>
      </c>
      <c r="K127" s="14"/>
      <c r="L127" s="14"/>
      <c r="M127" s="14"/>
      <c r="N127" s="14" t="n">
        <f aca="false">ROUND((G127*I127)-K127-L127-M127,2)</f>
        <v>267.73</v>
      </c>
      <c r="O127" s="14"/>
      <c r="P127" s="14" t="n">
        <f aca="false">ROUND(IF(D127=0,IF((N127-E127-O127)&gt;0,(N127-E127-O127),0),IF((D127+N127-O127)&gt;0,(D127+N127-O127),0)),2)</f>
        <v>5890.06</v>
      </c>
      <c r="Q127" s="14" t="n">
        <f aca="false">ROUND(IF(E127=0,IF((D127+N127-O127)&lt;0,ABS(D127+N127-O127),0),IF((N127-E127-O127)&lt;0,ABS(N127-E127-O127),0)),2)</f>
        <v>0</v>
      </c>
    </row>
    <row r="128" customFormat="false" ht="15" hidden="false" customHeight="true" outlineLevel="0" collapsed="false">
      <c r="A128" s="12" t="s">
        <v>380</v>
      </c>
      <c r="B128" s="12" t="str">
        <f aca="false">жовтень!B128</f>
        <v>Рєзніков В.П.</v>
      </c>
      <c r="C128" s="12" t="s">
        <v>382</v>
      </c>
      <c r="D128" s="14" t="n">
        <f aca="false">жовтень!P128</f>
        <v>2236.69</v>
      </c>
      <c r="E128" s="14" t="n">
        <f aca="false">жовтень!Q128</f>
        <v>0</v>
      </c>
      <c r="F128" s="13" t="n">
        <f aca="false">жовтень!F128</f>
        <v>0</v>
      </c>
      <c r="G128" s="13" t="n">
        <f aca="false">жовтень!G128</f>
        <v>62.44</v>
      </c>
      <c r="H128" s="13" t="n">
        <f aca="false">жовтень!H128</f>
        <v>0</v>
      </c>
      <c r="I128" s="13" t="n">
        <f aca="false">жовтень!I128</f>
        <v>4.1</v>
      </c>
      <c r="J128" s="14" t="n">
        <f aca="false">ROUND(G128*I128,2)</f>
        <v>256</v>
      </c>
      <c r="K128" s="14"/>
      <c r="L128" s="14"/>
      <c r="M128" s="14"/>
      <c r="N128" s="14" t="n">
        <f aca="false">ROUND((G128*I128)-K128-L128-M128,2)</f>
        <v>256</v>
      </c>
      <c r="O128" s="14"/>
      <c r="P128" s="14" t="n">
        <f aca="false">ROUND(IF(D128=0,IF((N128-E128-O128)&gt;0,(N128-E128-O128),0),IF((D128+N128-O128)&gt;0,(D128+N128-O128),0)),2)</f>
        <v>2492.69</v>
      </c>
      <c r="Q128" s="14" t="n">
        <f aca="false">ROUND(IF(E128=0,IF((D128+N128-O128)&lt;0,ABS(D128+N128-O128),0),IF((N128-E128-O128)&lt;0,ABS(N128-E128-O128),0)),2)</f>
        <v>0</v>
      </c>
    </row>
    <row r="129" customFormat="false" ht="15" hidden="false" customHeight="true" outlineLevel="0" collapsed="false">
      <c r="A129" s="12" t="s">
        <v>383</v>
      </c>
      <c r="B129" s="12" t="str">
        <f aca="false">жовтень!B129</f>
        <v>Золотоверха Я.І.</v>
      </c>
      <c r="C129" s="12" t="s">
        <v>385</v>
      </c>
      <c r="D129" s="14" t="n">
        <f aca="false">жовтень!P129</f>
        <v>1459.6</v>
      </c>
      <c r="E129" s="14" t="n">
        <f aca="false">жовтень!Q129</f>
        <v>0</v>
      </c>
      <c r="F129" s="13" t="n">
        <f aca="false">жовтень!F129</f>
        <v>0</v>
      </c>
      <c r="G129" s="13" t="n">
        <f aca="false">жовтень!G129</f>
        <v>35.6</v>
      </c>
      <c r="H129" s="13" t="n">
        <f aca="false">жовтень!H129</f>
        <v>0</v>
      </c>
      <c r="I129" s="13" t="n">
        <f aca="false">жовтень!I129</f>
        <v>4.1</v>
      </c>
      <c r="J129" s="14" t="n">
        <f aca="false">ROUND(G129*I129,2)</f>
        <v>145.96</v>
      </c>
      <c r="K129" s="14"/>
      <c r="L129" s="14"/>
      <c r="M129" s="14"/>
      <c r="N129" s="14" t="n">
        <f aca="false">ROUND((G129*I129)-K129-L129-M129,2)</f>
        <v>145.96</v>
      </c>
      <c r="O129" s="14"/>
      <c r="P129" s="14" t="n">
        <f aca="false">ROUND(IF(D129=0,IF((N129-E129-O129)&gt;0,(N129-E129-O129),0),IF((D129+N129-O129)&gt;0,(D129+N129-O129),0)),2)</f>
        <v>1605.56</v>
      </c>
      <c r="Q129" s="14" t="n">
        <f aca="false">ROUND(IF(E129=0,IF((D129+N129-O129)&lt;0,ABS(D129+N129-O129),0),IF((N129-E129-O129)&lt;0,ABS(N129-E129-O129),0)),2)</f>
        <v>0</v>
      </c>
    </row>
    <row r="130" customFormat="false" ht="15" hidden="false" customHeight="true" outlineLevel="0" collapsed="false">
      <c r="A130" s="12" t="s">
        <v>386</v>
      </c>
      <c r="B130" s="12" t="str">
        <f aca="false">жовтень!B130</f>
        <v>Бурлаков А.В.</v>
      </c>
      <c r="C130" s="12" t="s">
        <v>388</v>
      </c>
      <c r="D130" s="14" t="n">
        <f aca="false">жовтень!P130</f>
        <v>2241.24</v>
      </c>
      <c r="E130" s="14" t="n">
        <f aca="false">жовтень!Q130</f>
        <v>0</v>
      </c>
      <c r="F130" s="13" t="n">
        <f aca="false">жовтень!F130</f>
        <v>0</v>
      </c>
      <c r="G130" s="13" t="n">
        <f aca="false">жовтень!G130</f>
        <v>49.7</v>
      </c>
      <c r="H130" s="13" t="n">
        <f aca="false">жовтень!H130</f>
        <v>0</v>
      </c>
      <c r="I130" s="13" t="n">
        <f aca="false">жовтень!I130</f>
        <v>4.1</v>
      </c>
      <c r="J130" s="14" t="n">
        <f aca="false">ROUND(G130*I130,2)</f>
        <v>203.77</v>
      </c>
      <c r="K130" s="14"/>
      <c r="L130" s="14"/>
      <c r="M130" s="14"/>
      <c r="N130" s="14" t="n">
        <f aca="false">ROUND((G130*I130)-K130-L130-M130,2)</f>
        <v>203.77</v>
      </c>
      <c r="O130" s="14"/>
      <c r="P130" s="14" t="n">
        <f aca="false">ROUND(IF(D130=0,IF((N130-E130-O130)&gt;0,(N130-E130-O130),0),IF((D130+N130-O130)&gt;0,(D130+N130-O130),0)),2)</f>
        <v>2445.01</v>
      </c>
      <c r="Q130" s="14" t="n">
        <f aca="false">ROUND(IF(E130=0,IF((D130+N130-O130)&lt;0,ABS(D130+N130-O130),0),IF((N130-E130-O130)&lt;0,ABS(N130-E130-O130),0)),2)</f>
        <v>0</v>
      </c>
    </row>
    <row r="131" customFormat="false" ht="15" hidden="false" customHeight="true" outlineLevel="0" collapsed="false">
      <c r="A131" s="12" t="s">
        <v>389</v>
      </c>
      <c r="B131" s="12" t="str">
        <f aca="false">жовтень!B131</f>
        <v>Сикула О.Ю.</v>
      </c>
      <c r="C131" s="12" t="s">
        <v>391</v>
      </c>
      <c r="D131" s="14" t="n">
        <f aca="false">жовтень!P131</f>
        <v>6671.2</v>
      </c>
      <c r="E131" s="14" t="n">
        <f aca="false">жовтень!Q131</f>
        <v>0</v>
      </c>
      <c r="F131" s="13" t="n">
        <f aca="false">жовтень!F131</f>
        <v>0</v>
      </c>
      <c r="G131" s="13" t="n">
        <f aca="false">жовтень!G131</f>
        <v>65.15</v>
      </c>
      <c r="H131" s="13" t="n">
        <f aca="false">жовтень!H131</f>
        <v>0</v>
      </c>
      <c r="I131" s="13" t="n">
        <f aca="false">жовтень!I131</f>
        <v>4.1</v>
      </c>
      <c r="J131" s="14" t="n">
        <f aca="false">ROUND(G131*I131,2)</f>
        <v>267.12</v>
      </c>
      <c r="K131" s="14"/>
      <c r="L131" s="14"/>
      <c r="M131" s="14"/>
      <c r="N131" s="14" t="n">
        <f aca="false">ROUND((G131*I131)-K131-L131-M131,2)</f>
        <v>267.12</v>
      </c>
      <c r="O131" s="14"/>
      <c r="P131" s="14" t="n">
        <f aca="false">ROUND(IF(D131=0,IF((N131-E131-O131)&gt;0,(N131-E131-O131),0),IF((D131+N131-O131)&gt;0,(D131+N131-O131),0)),2)</f>
        <v>6938.32</v>
      </c>
      <c r="Q131" s="14" t="n">
        <f aca="false">ROUND(IF(E131=0,IF((D131+N131-O131)&lt;0,ABS(D131+N131-O131),0),IF((N131-E131-O131)&lt;0,ABS(N131-E131-O131),0)),2)</f>
        <v>0</v>
      </c>
    </row>
    <row r="132" customFormat="false" ht="15" hidden="false" customHeight="true" outlineLevel="0" collapsed="false">
      <c r="A132" s="12" t="s">
        <v>392</v>
      </c>
      <c r="B132" s="12" t="str">
        <f aca="false">жовтень!B132</f>
        <v>Арістов О.О.</v>
      </c>
      <c r="C132" s="12" t="s">
        <v>394</v>
      </c>
      <c r="D132" s="14" t="n">
        <f aca="false">жовтень!P132</f>
        <v>2841.3</v>
      </c>
      <c r="E132" s="14" t="n">
        <f aca="false">жовтень!Q132</f>
        <v>0</v>
      </c>
      <c r="F132" s="13" t="n">
        <f aca="false">жовтень!F132</f>
        <v>0</v>
      </c>
      <c r="G132" s="13" t="n">
        <f aca="false">жовтень!G132</f>
        <v>63</v>
      </c>
      <c r="H132" s="13" t="n">
        <f aca="false">жовтень!H132</f>
        <v>0</v>
      </c>
      <c r="I132" s="13" t="n">
        <f aca="false">жовтень!I132</f>
        <v>4.1</v>
      </c>
      <c r="J132" s="14" t="n">
        <f aca="false">ROUND(G132*I132,2)</f>
        <v>258.3</v>
      </c>
      <c r="K132" s="14"/>
      <c r="L132" s="14"/>
      <c r="M132" s="14"/>
      <c r="N132" s="14" t="n">
        <f aca="false">ROUND((G132*I132)-K132-L132-M132,2)</f>
        <v>258.3</v>
      </c>
      <c r="O132" s="14"/>
      <c r="P132" s="14" t="n">
        <f aca="false">ROUND(IF(D132=0,IF((N132-E132-O132)&gt;0,(N132-E132-O132),0),IF((D132+N132-O132)&gt;0,(D132+N132-O132),0)),2)</f>
        <v>3099.6</v>
      </c>
      <c r="Q132" s="14" t="n">
        <f aca="false">ROUND(IF(E132=0,IF((D132+N132-O132)&lt;0,ABS(D132+N132-O132),0),IF((N132-E132-O132)&lt;0,ABS(N132-E132-O132),0)),2)</f>
        <v>0</v>
      </c>
    </row>
    <row r="133" customFormat="false" ht="15" hidden="false" customHeight="true" outlineLevel="0" collapsed="false">
      <c r="A133" s="12" t="s">
        <v>395</v>
      </c>
      <c r="B133" s="12" t="str">
        <f aca="false">жовтень!B133</f>
        <v>Бондаренко Т.О.</v>
      </c>
      <c r="C133" s="12" t="s">
        <v>397</v>
      </c>
      <c r="D133" s="14" t="n">
        <f aca="false">жовтень!P133</f>
        <v>1422.7</v>
      </c>
      <c r="E133" s="14" t="n">
        <f aca="false">жовтень!Q133</f>
        <v>0</v>
      </c>
      <c r="F133" s="13" t="n">
        <f aca="false">жовтень!F133</f>
        <v>0</v>
      </c>
      <c r="G133" s="13" t="n">
        <f aca="false">жовтень!G133</f>
        <v>34.7</v>
      </c>
      <c r="H133" s="13" t="n">
        <f aca="false">жовтень!H133</f>
        <v>0</v>
      </c>
      <c r="I133" s="13" t="n">
        <f aca="false">жовтень!I133</f>
        <v>4.1</v>
      </c>
      <c r="J133" s="14" t="n">
        <f aca="false">ROUND(G133*I133,2)</f>
        <v>142.27</v>
      </c>
      <c r="K133" s="14"/>
      <c r="L133" s="14"/>
      <c r="M133" s="14"/>
      <c r="N133" s="14" t="n">
        <f aca="false">ROUND((G133*I133)-K133-L133-M133,2)</f>
        <v>142.27</v>
      </c>
      <c r="O133" s="14"/>
      <c r="P133" s="14" t="n">
        <f aca="false">ROUND(IF(D133=0,IF((N133-E133-O133)&gt;0,(N133-E133-O133),0),IF((D133+N133-O133)&gt;0,(D133+N133-O133),0)),2)</f>
        <v>1564.97</v>
      </c>
      <c r="Q133" s="14" t="n">
        <f aca="false">ROUND(IF(E133=0,IF((D133+N133-O133)&lt;0,ABS(D133+N133-O133),0),IF((N133-E133-O133)&lt;0,ABS(N133-E133-O133),0)),2)</f>
        <v>0</v>
      </c>
    </row>
    <row r="134" customFormat="false" ht="15" hidden="false" customHeight="true" outlineLevel="0" collapsed="false">
      <c r="A134" s="12" t="s">
        <v>398</v>
      </c>
      <c r="B134" s="12" t="str">
        <f aca="false">жовтень!B134</f>
        <v>Гайчев П.В.</v>
      </c>
      <c r="C134" s="12" t="s">
        <v>400</v>
      </c>
      <c r="D134" s="14" t="n">
        <f aca="false">жовтень!P134</f>
        <v>2218.92</v>
      </c>
      <c r="E134" s="14" t="n">
        <f aca="false">жовтень!Q134</f>
        <v>0</v>
      </c>
      <c r="F134" s="13" t="n">
        <f aca="false">жовтень!F134</f>
        <v>0</v>
      </c>
      <c r="G134" s="13" t="n">
        <f aca="false">жовтень!G134</f>
        <v>49.2</v>
      </c>
      <c r="H134" s="13" t="n">
        <f aca="false">жовтень!H134</f>
        <v>0</v>
      </c>
      <c r="I134" s="13" t="n">
        <f aca="false">жовтень!I134</f>
        <v>4.1</v>
      </c>
      <c r="J134" s="14" t="n">
        <f aca="false">ROUND(G134*I134,2)</f>
        <v>201.72</v>
      </c>
      <c r="K134" s="14"/>
      <c r="L134" s="14"/>
      <c r="M134" s="14"/>
      <c r="N134" s="14" t="n">
        <f aca="false">ROUND((G134*I134)-K134-L134-M134,2)</f>
        <v>201.72</v>
      </c>
      <c r="O134" s="14"/>
      <c r="P134" s="14" t="n">
        <f aca="false">ROUND(IF(D134=0,IF((N134-E134-O134)&gt;0,(N134-E134-O134),0),IF((D134+N134-O134)&gt;0,(D134+N134-O134),0)),2)</f>
        <v>2420.64</v>
      </c>
      <c r="Q134" s="14" t="n">
        <f aca="false">ROUND(IF(E134=0,IF((D134+N134-O134)&lt;0,ABS(D134+N134-O134),0),IF((N134-E134-O134)&lt;0,ABS(N134-E134-O134),0)),2)</f>
        <v>0</v>
      </c>
    </row>
    <row r="135" customFormat="false" ht="15" hidden="false" customHeight="true" outlineLevel="0" collapsed="false">
      <c r="A135" s="12" t="s">
        <v>401</v>
      </c>
      <c r="B135" s="12" t="str">
        <f aca="false">жовтень!B135</f>
        <v>Радченко О.С.</v>
      </c>
      <c r="C135" s="12" t="s">
        <v>403</v>
      </c>
      <c r="D135" s="14" t="n">
        <f aca="false">жовтень!P135</f>
        <v>2671.2</v>
      </c>
      <c r="E135" s="14" t="n">
        <f aca="false">жовтень!Q135</f>
        <v>0</v>
      </c>
      <c r="F135" s="13" t="n">
        <f aca="false">жовтень!F135</f>
        <v>0</v>
      </c>
      <c r="G135" s="13" t="n">
        <f aca="false">жовтень!G135</f>
        <v>65.15</v>
      </c>
      <c r="H135" s="13" t="n">
        <f aca="false">жовтень!H135</f>
        <v>0</v>
      </c>
      <c r="I135" s="13" t="n">
        <f aca="false">жовтень!I135</f>
        <v>4.1</v>
      </c>
      <c r="J135" s="14" t="n">
        <f aca="false">ROUND(G135*I135,2)</f>
        <v>267.12</v>
      </c>
      <c r="K135" s="14"/>
      <c r="L135" s="14"/>
      <c r="M135" s="14"/>
      <c r="N135" s="14" t="n">
        <f aca="false">ROUND((G135*I135)-K135-L135-M135,2)</f>
        <v>267.12</v>
      </c>
      <c r="O135" s="14"/>
      <c r="P135" s="14" t="n">
        <f aca="false">ROUND(IF(D135=0,IF((N135-E135-O135)&gt;0,(N135-E135-O135),0),IF((D135+N135-O135)&gt;0,(D135+N135-O135),0)),2)</f>
        <v>2938.32</v>
      </c>
      <c r="Q135" s="14" t="n">
        <f aca="false">ROUND(IF(E135=0,IF((D135+N135-O135)&lt;0,ABS(D135+N135-O135),0),IF((N135-E135-O135)&lt;0,ABS(N135-E135-O135),0)),2)</f>
        <v>0</v>
      </c>
    </row>
    <row r="136" customFormat="false" ht="15" hidden="false" customHeight="true" outlineLevel="0" collapsed="false">
      <c r="A136" s="12" t="s">
        <v>404</v>
      </c>
      <c r="B136" s="12" t="str">
        <f aca="false">жовтень!B136</f>
        <v>Шилін С.М.</v>
      </c>
      <c r="C136" s="12" t="s">
        <v>406</v>
      </c>
      <c r="D136" s="14" t="n">
        <f aca="false">жовтень!P136</f>
        <v>4059.61</v>
      </c>
      <c r="E136" s="14" t="n">
        <f aca="false">жовтень!Q136</f>
        <v>0</v>
      </c>
      <c r="F136" s="13" t="n">
        <f aca="false">жовтень!F136</f>
        <v>0</v>
      </c>
      <c r="G136" s="13" t="n">
        <f aca="false">жовтень!G136</f>
        <v>62.3</v>
      </c>
      <c r="H136" s="13" t="n">
        <f aca="false">жовтень!H136</f>
        <v>0</v>
      </c>
      <c r="I136" s="13" t="n">
        <f aca="false">жовтень!I136</f>
        <v>4.1</v>
      </c>
      <c r="J136" s="14" t="n">
        <f aca="false">ROUND(G136*I136,2)</f>
        <v>255.43</v>
      </c>
      <c r="K136" s="14"/>
      <c r="L136" s="14"/>
      <c r="M136" s="14"/>
      <c r="N136" s="14" t="n">
        <f aca="false">ROUND((G136*I136)-K136-L136-M136,2)</f>
        <v>255.43</v>
      </c>
      <c r="O136" s="14"/>
      <c r="P136" s="14" t="n">
        <f aca="false">ROUND(IF(D136=0,IF((N136-E136-O136)&gt;0,(N136-E136-O136),0),IF((D136+N136-O136)&gt;0,(D136+N136-O136),0)),2)</f>
        <v>4315.04</v>
      </c>
      <c r="Q136" s="14" t="n">
        <f aca="false">ROUND(IF(E136=0,IF((D136+N136-O136)&lt;0,ABS(D136+N136-O136),0),IF((N136-E136-O136)&lt;0,ABS(N136-E136-O136),0)),2)</f>
        <v>0</v>
      </c>
    </row>
    <row r="137" customFormat="false" ht="15" hidden="false" customHeight="true" outlineLevel="0" collapsed="false">
      <c r="A137" s="12" t="s">
        <v>407</v>
      </c>
      <c r="B137" s="12" t="str">
        <f aca="false">жовтень!B137</f>
        <v>Корякін Л.М.</v>
      </c>
      <c r="C137" s="12" t="s">
        <v>409</v>
      </c>
      <c r="D137" s="14" t="n">
        <f aca="false">жовтень!P137</f>
        <v>2970.84</v>
      </c>
      <c r="E137" s="14" t="n">
        <f aca="false">жовтень!Q137</f>
        <v>0</v>
      </c>
      <c r="F137" s="13" t="n">
        <f aca="false">жовтень!F137</f>
        <v>0</v>
      </c>
      <c r="G137" s="13" t="n">
        <f aca="false">жовтень!G137</f>
        <v>35.3</v>
      </c>
      <c r="H137" s="13" t="n">
        <f aca="false">жовтень!H137</f>
        <v>0</v>
      </c>
      <c r="I137" s="13" t="n">
        <f aca="false">жовтень!I137</f>
        <v>4.1</v>
      </c>
      <c r="J137" s="14" t="n">
        <f aca="false">ROUND(G137*I137,2)</f>
        <v>144.73</v>
      </c>
      <c r="K137" s="14"/>
      <c r="L137" s="14"/>
      <c r="M137" s="14"/>
      <c r="N137" s="14" t="n">
        <f aca="false">ROUND((G137*I137)-K137-L137-M137,2)</f>
        <v>144.73</v>
      </c>
      <c r="O137" s="14"/>
      <c r="P137" s="14" t="n">
        <f aca="false">ROUND(IF(D137=0,IF((N137-E137-O137)&gt;0,(N137-E137-O137),0),IF((D137+N137-O137)&gt;0,(D137+N137-O137),0)),2)</f>
        <v>3115.57</v>
      </c>
      <c r="Q137" s="14" t="n">
        <f aca="false">ROUND(IF(E137=0,IF((D137+N137-O137)&lt;0,ABS(D137+N137-O137),0),IF((N137-E137-O137)&lt;0,ABS(N137-E137-O137),0)),2)</f>
        <v>0</v>
      </c>
    </row>
    <row r="138" customFormat="false" ht="15" hidden="false" customHeight="true" outlineLevel="0" collapsed="false">
      <c r="A138" s="12" t="s">
        <v>410</v>
      </c>
      <c r="B138" s="12" t="str">
        <f aca="false">жовтень!B138</f>
        <v>Кривошеєва Л.М.</v>
      </c>
      <c r="C138" s="12" t="s">
        <v>412</v>
      </c>
      <c r="D138" s="14" t="n">
        <f aca="false">жовтень!P138</f>
        <v>4541.02</v>
      </c>
      <c r="E138" s="14" t="n">
        <f aca="false">жовтень!Q138</f>
        <v>0</v>
      </c>
      <c r="F138" s="13" t="n">
        <f aca="false">жовтень!F138</f>
        <v>0</v>
      </c>
      <c r="G138" s="13" t="n">
        <f aca="false">жовтень!G138</f>
        <v>49.78</v>
      </c>
      <c r="H138" s="13" t="n">
        <f aca="false">жовтень!H138</f>
        <v>0</v>
      </c>
      <c r="I138" s="13" t="n">
        <f aca="false">жовтень!I138</f>
        <v>4.1</v>
      </c>
      <c r="J138" s="14" t="n">
        <f aca="false">ROUND(G138*I138,2)</f>
        <v>204.1</v>
      </c>
      <c r="K138" s="14"/>
      <c r="L138" s="14"/>
      <c r="M138" s="14"/>
      <c r="N138" s="14" t="n">
        <f aca="false">ROUND((G138*I138)-K138-L138-M138,2)</f>
        <v>204.1</v>
      </c>
      <c r="O138" s="14"/>
      <c r="P138" s="14" t="n">
        <f aca="false">ROUND(IF(D138=0,IF((N138-E138-O138)&gt;0,(N138-E138-O138),0),IF((D138+N138-O138)&gt;0,(D138+N138-O138),0)),2)</f>
        <v>4745.12</v>
      </c>
      <c r="Q138" s="14" t="n">
        <f aca="false">ROUND(IF(E138=0,IF((D138+N138-O138)&lt;0,ABS(D138+N138-O138),0),IF((N138-E138-O138)&lt;0,ABS(N138-E138-O138),0)),2)</f>
        <v>0</v>
      </c>
    </row>
    <row r="139" customFormat="false" ht="15" hidden="false" customHeight="true" outlineLevel="0" collapsed="false">
      <c r="A139" s="12" t="s">
        <v>413</v>
      </c>
      <c r="B139" s="12" t="str">
        <f aca="false">жовтень!B139</f>
        <v>Харченко І.С.</v>
      </c>
      <c r="C139" s="12" t="s">
        <v>415</v>
      </c>
      <c r="D139" s="14" t="n">
        <f aca="false">жовтень!P139</f>
        <v>2426.03</v>
      </c>
      <c r="E139" s="14" t="n">
        <f aca="false">жовтень!Q139</f>
        <v>0</v>
      </c>
      <c r="F139" s="13" t="n">
        <f aca="false">жовтень!F139</f>
        <v>0</v>
      </c>
      <c r="G139" s="13" t="n">
        <f aca="false">жовтень!G139</f>
        <v>65.93</v>
      </c>
      <c r="H139" s="13" t="n">
        <f aca="false">жовтень!H139</f>
        <v>0</v>
      </c>
      <c r="I139" s="13" t="n">
        <f aca="false">жовтень!I139</f>
        <v>4.1</v>
      </c>
      <c r="J139" s="14" t="n">
        <f aca="false">ROUND(G139*I139,2)</f>
        <v>270.31</v>
      </c>
      <c r="K139" s="14"/>
      <c r="L139" s="14"/>
      <c r="M139" s="14"/>
      <c r="N139" s="14" t="n">
        <f aca="false">ROUND((G139*I139)-K139-L139-M139,2)</f>
        <v>270.31</v>
      </c>
      <c r="O139" s="14"/>
      <c r="P139" s="14" t="n">
        <f aca="false">ROUND(IF(D139=0,IF((N139-E139-O139)&gt;0,(N139-E139-O139),0),IF((D139+N139-O139)&gt;0,(D139+N139-O139),0)),2)</f>
        <v>2696.34</v>
      </c>
      <c r="Q139" s="14" t="n">
        <f aca="false">ROUND(IF(E139=0,IF((D139+N139-O139)&lt;0,ABS(D139+N139-O139),0),IF((N139-E139-O139)&lt;0,ABS(N139-E139-O139),0)),2)</f>
        <v>0</v>
      </c>
    </row>
    <row r="140" customFormat="false" ht="15" hidden="false" customHeight="true" outlineLevel="0" collapsed="false">
      <c r="A140" s="12" t="s">
        <v>416</v>
      </c>
      <c r="B140" s="12" t="str">
        <f aca="false">жовтень!B140</f>
        <v>Куриленко І.О.</v>
      </c>
      <c r="C140" s="12" t="s">
        <v>418</v>
      </c>
      <c r="D140" s="14" t="n">
        <f aca="false">жовтень!P140</f>
        <v>2301.12</v>
      </c>
      <c r="E140" s="14" t="n">
        <f aca="false">жовтень!Q140</f>
        <v>0</v>
      </c>
      <c r="F140" s="13" t="n">
        <f aca="false">жовтень!F140</f>
        <v>0</v>
      </c>
      <c r="G140" s="13" t="n">
        <f aca="false">жовтень!G140</f>
        <v>62.36</v>
      </c>
      <c r="H140" s="13" t="n">
        <f aca="false">жовтень!H140</f>
        <v>0</v>
      </c>
      <c r="I140" s="13" t="n">
        <f aca="false">жовтень!I140</f>
        <v>4.1</v>
      </c>
      <c r="J140" s="14" t="n">
        <f aca="false">ROUND(G140*I140,2)</f>
        <v>255.68</v>
      </c>
      <c r="K140" s="14"/>
      <c r="L140" s="14"/>
      <c r="M140" s="14"/>
      <c r="N140" s="14" t="n">
        <f aca="false">ROUND((G140*I140)-K140-L140-M140,2)</f>
        <v>255.68</v>
      </c>
      <c r="O140" s="14"/>
      <c r="P140" s="14" t="n">
        <f aca="false">ROUND(IF(D140=0,IF((N140-E140-O140)&gt;0,(N140-E140-O140),0),IF((D140+N140-O140)&gt;0,(D140+N140-O140),0)),2)</f>
        <v>2556.8</v>
      </c>
      <c r="Q140" s="14" t="n">
        <f aca="false">ROUND(IF(E140=0,IF((D140+N140-O140)&lt;0,ABS(D140+N140-O140),0),IF((N140-E140-O140)&lt;0,ABS(N140-E140-O140),0)),2)</f>
        <v>0</v>
      </c>
    </row>
    <row r="141" customFormat="false" ht="15" hidden="false" customHeight="true" outlineLevel="0" collapsed="false">
      <c r="A141" s="12" t="s">
        <v>419</v>
      </c>
      <c r="B141" s="12" t="str">
        <f aca="false">жовтень!B141</f>
        <v>Єлсукова В.М.</v>
      </c>
      <c r="C141" s="12" t="s">
        <v>421</v>
      </c>
      <c r="D141" s="14" t="n">
        <f aca="false">жовтень!P141</f>
        <v>8346.78</v>
      </c>
      <c r="E141" s="14" t="n">
        <f aca="false">жовтень!Q141</f>
        <v>0</v>
      </c>
      <c r="F141" s="13" t="n">
        <f aca="false">жовтень!F141</f>
        <v>0</v>
      </c>
      <c r="G141" s="13" t="n">
        <f aca="false">жовтень!G141</f>
        <v>35.1</v>
      </c>
      <c r="H141" s="13" t="n">
        <f aca="false">жовтень!H141</f>
        <v>0</v>
      </c>
      <c r="I141" s="13" t="n">
        <f aca="false">жовтень!I141</f>
        <v>4.1</v>
      </c>
      <c r="J141" s="14" t="n">
        <f aca="false">ROUND(G141*I141,2)</f>
        <v>143.91</v>
      </c>
      <c r="K141" s="14"/>
      <c r="L141" s="14"/>
      <c r="M141" s="14"/>
      <c r="N141" s="14" t="n">
        <f aca="false">ROUND((G141*I141)-K141-L141-M141,2)</f>
        <v>143.91</v>
      </c>
      <c r="O141" s="14"/>
      <c r="P141" s="14" t="n">
        <f aca="false">ROUND(IF(D141=0,IF((N141-E141-O141)&gt;0,(N141-E141-O141),0),IF((D141+N141-O141)&gt;0,(D141+N141-O141),0)),2)</f>
        <v>8490.69</v>
      </c>
      <c r="Q141" s="14" t="n">
        <f aca="false">ROUND(IF(E141=0,IF((D141+N141-O141)&lt;0,ABS(D141+N141-O141),0),IF((N141-E141-O141)&lt;0,ABS(N141-E141-O141),0)),2)</f>
        <v>0</v>
      </c>
    </row>
    <row r="142" customFormat="false" ht="15" hidden="false" customHeight="true" outlineLevel="0" collapsed="false">
      <c r="A142" s="12" t="s">
        <v>422</v>
      </c>
      <c r="B142" s="12" t="str">
        <f aca="false">жовтень!B142</f>
        <v>Пімонова М.В.</v>
      </c>
      <c r="C142" s="12" t="s">
        <v>424</v>
      </c>
      <c r="D142" s="14" t="n">
        <f aca="false">жовтень!P142</f>
        <v>10302.81</v>
      </c>
      <c r="E142" s="14" t="n">
        <f aca="false">жовтень!Q142</f>
        <v>0</v>
      </c>
      <c r="F142" s="13" t="n">
        <f aca="false">жовтень!F142</f>
        <v>0</v>
      </c>
      <c r="G142" s="13" t="n">
        <f aca="false">жовтень!G142</f>
        <v>49.47</v>
      </c>
      <c r="H142" s="13" t="n">
        <f aca="false">жовтень!H142</f>
        <v>0</v>
      </c>
      <c r="I142" s="13" t="n">
        <f aca="false">жовтень!I142</f>
        <v>4.1</v>
      </c>
      <c r="J142" s="14" t="n">
        <f aca="false">ROUND(G142*I142,2)</f>
        <v>202.83</v>
      </c>
      <c r="K142" s="14"/>
      <c r="L142" s="14"/>
      <c r="M142" s="14"/>
      <c r="N142" s="14" t="n">
        <f aca="false">ROUND((G142*I142)-K142-L142-M142,2)</f>
        <v>202.83</v>
      </c>
      <c r="O142" s="14"/>
      <c r="P142" s="14" t="n">
        <f aca="false">ROUND(IF(D142=0,IF((N142-E142-O142)&gt;0,(N142-E142-O142),0),IF((D142+N142-O142)&gt;0,(D142+N142-O142),0)),2)</f>
        <v>10505.64</v>
      </c>
      <c r="Q142" s="14" t="n">
        <f aca="false">ROUND(IF(E142=0,IF((D142+N142-O142)&lt;0,ABS(D142+N142-O142),0),IF((N142-E142-O142)&lt;0,ABS(N142-E142-O142),0)),2)</f>
        <v>0</v>
      </c>
    </row>
    <row r="143" customFormat="false" ht="15" hidden="false" customHeight="true" outlineLevel="0" collapsed="false">
      <c r="A143" s="12" t="s">
        <v>425</v>
      </c>
      <c r="B143" s="12" t="str">
        <f aca="false">жовтень!B143</f>
        <v>Осипенко В.В.</v>
      </c>
      <c r="C143" s="12" t="s">
        <v>427</v>
      </c>
      <c r="D143" s="14" t="n">
        <f aca="false">жовтень!P143</f>
        <v>13456.69</v>
      </c>
      <c r="E143" s="14" t="n">
        <f aca="false">жовтень!Q143</f>
        <v>0</v>
      </c>
      <c r="F143" s="13" t="n">
        <f aca="false">жовтень!F143</f>
        <v>0</v>
      </c>
      <c r="G143" s="13" t="n">
        <f aca="false">жовтень!G143</f>
        <v>65.65</v>
      </c>
      <c r="H143" s="13" t="n">
        <f aca="false">жовтень!H143</f>
        <v>0</v>
      </c>
      <c r="I143" s="13" t="n">
        <f aca="false">жовтень!I143</f>
        <v>4.1</v>
      </c>
      <c r="J143" s="14" t="n">
        <f aca="false">ROUND(G143*I143,2)</f>
        <v>269.17</v>
      </c>
      <c r="K143" s="14"/>
      <c r="L143" s="14"/>
      <c r="M143" s="14"/>
      <c r="N143" s="14" t="n">
        <f aca="false">ROUND((G143*I143)-K143-L143-M143,2)</f>
        <v>269.17</v>
      </c>
      <c r="O143" s="14"/>
      <c r="P143" s="14" t="n">
        <f aca="false">ROUND(IF(D143=0,IF((N143-E143-O143)&gt;0,(N143-E143-O143),0),IF((D143+N143-O143)&gt;0,(D143+N143-O143),0)),2)</f>
        <v>13725.86</v>
      </c>
      <c r="Q143" s="14" t="n">
        <f aca="false">ROUND(IF(E143=0,IF((D143+N143-O143)&lt;0,ABS(D143+N143-O143),0),IF((N143-E143-O143)&lt;0,ABS(N143-E143-O143),0)),2)</f>
        <v>0</v>
      </c>
    </row>
    <row r="144" customFormat="false" ht="15" hidden="false" customHeight="true" outlineLevel="0" collapsed="false">
      <c r="A144" s="12" t="s">
        <v>428</v>
      </c>
      <c r="B144" s="12" t="str">
        <f aca="false">жовтень!B144</f>
        <v>Друзь О.О.</v>
      </c>
      <c r="C144" s="12" t="s">
        <v>430</v>
      </c>
      <c r="D144" s="14" t="n">
        <f aca="false">жовтень!P144</f>
        <v>13493.65</v>
      </c>
      <c r="E144" s="14" t="n">
        <f aca="false">жовтень!Q144</f>
        <v>0</v>
      </c>
      <c r="F144" s="13" t="n">
        <f aca="false">жовтень!F144</f>
        <v>0</v>
      </c>
      <c r="G144" s="13" t="n">
        <f aca="false">жовтень!G144</f>
        <v>62.1</v>
      </c>
      <c r="H144" s="13" t="n">
        <f aca="false">жовтень!H144</f>
        <v>0</v>
      </c>
      <c r="I144" s="13" t="n">
        <f aca="false">жовтень!I144</f>
        <v>4.1</v>
      </c>
      <c r="J144" s="14" t="n">
        <f aca="false">ROUND(G144*I144,2)</f>
        <v>254.61</v>
      </c>
      <c r="K144" s="14"/>
      <c r="L144" s="14"/>
      <c r="M144" s="14"/>
      <c r="N144" s="14" t="n">
        <f aca="false">ROUND((G144*I144)-K144-L144-M144,2)</f>
        <v>254.61</v>
      </c>
      <c r="O144" s="14"/>
      <c r="P144" s="14" t="n">
        <f aca="false">ROUND(IF(D144=0,IF((N144-E144-O144)&gt;0,(N144-E144-O144),0),IF((D144+N144-O144)&gt;0,(D144+N144-O144),0)),2)</f>
        <v>13748.26</v>
      </c>
      <c r="Q144" s="14" t="n">
        <f aca="false">ROUND(IF(E144=0,IF((D144+N144-O144)&lt;0,ABS(D144+N144-O144),0),IF((N144-E144-O144)&lt;0,ABS(N144-E144-O144),0)),2)</f>
        <v>0</v>
      </c>
    </row>
    <row r="145" customFormat="false" ht="15" hidden="false" customHeight="true" outlineLevel="0" collapsed="false">
      <c r="A145" s="12" t="s">
        <v>431</v>
      </c>
      <c r="B145" s="12" t="str">
        <f aca="false">жовтень!B145</f>
        <v>Вовченко Р.І.</v>
      </c>
      <c r="C145" s="12" t="s">
        <v>433</v>
      </c>
      <c r="D145" s="14" t="n">
        <f aca="false">жовтень!P145</f>
        <v>4981.92</v>
      </c>
      <c r="E145" s="14" t="n">
        <f aca="false">жовтень!Q145</f>
        <v>0</v>
      </c>
      <c r="F145" s="13" t="n">
        <f aca="false">жовтень!F145</f>
        <v>0</v>
      </c>
      <c r="G145" s="13" t="n">
        <f aca="false">жовтень!G145</f>
        <v>35.2</v>
      </c>
      <c r="H145" s="13" t="n">
        <f aca="false">жовтень!H145</f>
        <v>0</v>
      </c>
      <c r="I145" s="13" t="n">
        <f aca="false">жовтень!I145</f>
        <v>4.1</v>
      </c>
      <c r="J145" s="14" t="n">
        <f aca="false">ROUND(G145*I145,2)</f>
        <v>144.32</v>
      </c>
      <c r="K145" s="14"/>
      <c r="L145" s="14"/>
      <c r="M145" s="14"/>
      <c r="N145" s="14" t="n">
        <f aca="false">ROUND((G145*I145)-K145-L145-M145,2)</f>
        <v>144.32</v>
      </c>
      <c r="O145" s="14"/>
      <c r="P145" s="14" t="n">
        <f aca="false">ROUND(IF(D145=0,IF((N145-E145-O145)&gt;0,(N145-E145-O145),0),IF((D145+N145-O145)&gt;0,(D145+N145-O145),0)),2)</f>
        <v>5126.24</v>
      </c>
      <c r="Q145" s="14" t="n">
        <f aca="false">ROUND(IF(E145=0,IF((D145+N145-O145)&lt;0,ABS(D145+N145-O145),0),IF((N145-E145-O145)&lt;0,ABS(N145-E145-O145),0)),2)</f>
        <v>0</v>
      </c>
    </row>
    <row r="146" customFormat="false" ht="15" hidden="false" customHeight="true" outlineLevel="0" collapsed="false">
      <c r="A146" s="12" t="s">
        <v>434</v>
      </c>
      <c r="B146" s="12" t="str">
        <f aca="false">жовтень!B146</f>
        <v>Плакун Д.В.</v>
      </c>
      <c r="C146" s="12" t="s">
        <v>436</v>
      </c>
      <c r="D146" s="14" t="n">
        <f aca="false">жовтень!P146</f>
        <v>2455.08</v>
      </c>
      <c r="E146" s="14" t="n">
        <f aca="false">жовтень!Q146</f>
        <v>0</v>
      </c>
      <c r="F146" s="13" t="n">
        <f aca="false">жовтень!F146</f>
        <v>0</v>
      </c>
      <c r="G146" s="13" t="n">
        <f aca="false">жовтень!G146</f>
        <v>49.9</v>
      </c>
      <c r="H146" s="13" t="n">
        <f aca="false">жовтень!H146</f>
        <v>0</v>
      </c>
      <c r="I146" s="13" t="n">
        <f aca="false">жовтень!I146</f>
        <v>4.1</v>
      </c>
      <c r="J146" s="14" t="n">
        <f aca="false">ROUND(G146*I146,2)</f>
        <v>204.59</v>
      </c>
      <c r="K146" s="14"/>
      <c r="L146" s="14"/>
      <c r="M146" s="14"/>
      <c r="N146" s="14" t="n">
        <f aca="false">ROUND((G146*I146)-K146-L146-M146,2)</f>
        <v>204.59</v>
      </c>
      <c r="O146" s="14"/>
      <c r="P146" s="14" t="n">
        <f aca="false">ROUND(IF(D146=0,IF((N146-E146-O146)&gt;0,(N146-E146-O146),0),IF((D146+N146-O146)&gt;0,(D146+N146-O146),0)),2)</f>
        <v>2659.67</v>
      </c>
      <c r="Q146" s="14" t="n">
        <f aca="false">ROUND(IF(E146=0,IF((D146+N146-O146)&lt;0,ABS(D146+N146-O146),0),IF((N146-E146-O146)&lt;0,ABS(N146-E146-O146),0)),2)</f>
        <v>0</v>
      </c>
    </row>
    <row r="147" customFormat="false" ht="15" hidden="false" customHeight="true" outlineLevel="0" collapsed="false">
      <c r="A147" s="12" t="s">
        <v>437</v>
      </c>
      <c r="B147" s="12" t="str">
        <f aca="false">жовтень!B147</f>
        <v>Гаврилова Ю.О.</v>
      </c>
      <c r="C147" s="12" t="s">
        <v>439</v>
      </c>
      <c r="D147" s="14" t="n">
        <f aca="false">жовтень!P147</f>
        <v>7333.54</v>
      </c>
      <c r="E147" s="14" t="n">
        <f aca="false">жовтень!Q147</f>
        <v>0</v>
      </c>
      <c r="F147" s="13" t="n">
        <f aca="false">жовтень!F147</f>
        <v>0</v>
      </c>
      <c r="G147" s="13" t="n">
        <f aca="false">жовтень!G147</f>
        <v>65.8</v>
      </c>
      <c r="H147" s="13" t="n">
        <f aca="false">жовтень!H147</f>
        <v>0</v>
      </c>
      <c r="I147" s="13" t="n">
        <f aca="false">жовтень!I147</f>
        <v>4.1</v>
      </c>
      <c r="J147" s="14" t="n">
        <f aca="false">ROUND(G147*I147,2)</f>
        <v>269.78</v>
      </c>
      <c r="K147" s="14"/>
      <c r="L147" s="14"/>
      <c r="M147" s="14"/>
      <c r="N147" s="14" t="n">
        <f aca="false">ROUND((G147*I147)-K147-L147-M147,2)</f>
        <v>269.78</v>
      </c>
      <c r="O147" s="14"/>
      <c r="P147" s="14" t="n">
        <f aca="false">ROUND(IF(D147=0,IF((N147-E147-O147)&gt;0,(N147-E147-O147),0),IF((D147+N147-O147)&gt;0,(D147+N147-O147),0)),2)</f>
        <v>7603.32</v>
      </c>
      <c r="Q147" s="14" t="n">
        <f aca="false">ROUND(IF(E147=0,IF((D147+N147-O147)&lt;0,ABS(D147+N147-O147),0),IF((N147-E147-O147)&lt;0,ABS(N147-E147-O147),0)),2)</f>
        <v>0</v>
      </c>
    </row>
    <row r="148" customFormat="false" ht="15" hidden="false" customHeight="true" outlineLevel="0" collapsed="false">
      <c r="A148" s="12" t="s">
        <v>440</v>
      </c>
      <c r="B148" s="12" t="str">
        <f aca="false">жовтень!B148</f>
        <v>Корзун Г.М.</v>
      </c>
      <c r="C148" s="12" t="s">
        <v>442</v>
      </c>
      <c r="D148" s="14" t="n">
        <f aca="false">жовтень!P148</f>
        <v>3848.04</v>
      </c>
      <c r="E148" s="14" t="n">
        <f aca="false">жовтень!Q148</f>
        <v>0</v>
      </c>
      <c r="F148" s="13" t="n">
        <f aca="false">жовтень!F148</f>
        <v>0</v>
      </c>
      <c r="G148" s="13" t="n">
        <f aca="false">жовтень!G148</f>
        <v>63.2</v>
      </c>
      <c r="H148" s="13" t="n">
        <f aca="false">жовтень!H148</f>
        <v>0</v>
      </c>
      <c r="I148" s="13" t="n">
        <f aca="false">жовтень!I148</f>
        <v>4.1</v>
      </c>
      <c r="J148" s="14" t="n">
        <f aca="false">ROUND(G148*I148,2)</f>
        <v>259.12</v>
      </c>
      <c r="K148" s="14"/>
      <c r="L148" s="14"/>
      <c r="M148" s="14"/>
      <c r="N148" s="14" t="n">
        <f aca="false">ROUND((G148*I148)-K148-L148-M148,2)</f>
        <v>259.12</v>
      </c>
      <c r="O148" s="14"/>
      <c r="P148" s="14" t="n">
        <f aca="false">ROUND(IF(D148=0,IF((N148-E148-O148)&gt;0,(N148-E148-O148),0),IF((D148+N148-O148)&gt;0,(D148+N148-O148),0)),2)</f>
        <v>4107.16</v>
      </c>
      <c r="Q148" s="14" t="n">
        <f aca="false">ROUND(IF(E148=0,IF((D148+N148-O148)&lt;0,ABS(D148+N148-O148),0),IF((N148-E148-O148)&lt;0,ABS(N148-E148-O148),0)),2)</f>
        <v>0</v>
      </c>
    </row>
    <row r="149" customFormat="false" ht="15" hidden="false" customHeight="true" outlineLevel="0" collapsed="false">
      <c r="A149" s="12" t="s">
        <v>443</v>
      </c>
      <c r="B149" s="12" t="str">
        <f aca="false">жовтень!B149</f>
        <v>Бондаренко Л.Л.</v>
      </c>
      <c r="C149" s="12" t="s">
        <v>445</v>
      </c>
      <c r="D149" s="14" t="n">
        <f aca="false">жовтень!P149</f>
        <v>5436.89</v>
      </c>
      <c r="E149" s="14" t="n">
        <f aca="false">жовтень!Q149</f>
        <v>0</v>
      </c>
      <c r="F149" s="13" t="n">
        <f aca="false">жовтень!F149</f>
        <v>0</v>
      </c>
      <c r="G149" s="13" t="n">
        <f aca="false">жовтень!G149</f>
        <v>34.9</v>
      </c>
      <c r="H149" s="13" t="n">
        <f aca="false">жовтень!H149</f>
        <v>0</v>
      </c>
      <c r="I149" s="13" t="n">
        <f aca="false">жовтень!I149</f>
        <v>4.1</v>
      </c>
      <c r="J149" s="14" t="n">
        <f aca="false">ROUND(G149*I149,2)</f>
        <v>143.09</v>
      </c>
      <c r="K149" s="14"/>
      <c r="L149" s="14"/>
      <c r="M149" s="14"/>
      <c r="N149" s="14" t="n">
        <f aca="false">ROUND((G149*I149)-K149-L149-M149,2)</f>
        <v>143.09</v>
      </c>
      <c r="O149" s="14"/>
      <c r="P149" s="14" t="n">
        <f aca="false">ROUND(IF(D149=0,IF((N149-E149-O149)&gt;0,(N149-E149-O149),0),IF((D149+N149-O149)&gt;0,(D149+N149-O149),0)),2)</f>
        <v>5579.98</v>
      </c>
      <c r="Q149" s="14" t="n">
        <f aca="false">ROUND(IF(E149=0,IF((D149+N149-O149)&lt;0,ABS(D149+N149-O149),0),IF((N149-E149-O149)&lt;0,ABS(N149-E149-O149),0)),2)</f>
        <v>0</v>
      </c>
    </row>
    <row r="150" customFormat="false" ht="15" hidden="false" customHeight="true" outlineLevel="0" collapsed="false">
      <c r="A150" s="12" t="s">
        <v>446</v>
      </c>
      <c r="B150" s="12" t="str">
        <f aca="false">жовтень!B150</f>
        <v>Капелюш Н.А.</v>
      </c>
      <c r="C150" s="12" t="s">
        <v>448</v>
      </c>
      <c r="D150" s="14" t="n">
        <f aca="false">жовтень!P150</f>
        <v>11571.84</v>
      </c>
      <c r="E150" s="14" t="n">
        <f aca="false">жовтень!Q150</f>
        <v>0</v>
      </c>
      <c r="F150" s="13" t="n">
        <f aca="false">жовтень!F150</f>
        <v>0</v>
      </c>
      <c r="G150" s="13" t="n">
        <f aca="false">жовтень!G150</f>
        <v>50.4</v>
      </c>
      <c r="H150" s="13" t="n">
        <f aca="false">жовтень!H150</f>
        <v>0</v>
      </c>
      <c r="I150" s="13" t="n">
        <f aca="false">жовтень!I150</f>
        <v>4.1</v>
      </c>
      <c r="J150" s="14" t="n">
        <f aca="false">ROUND(G150*I150,2)</f>
        <v>206.64</v>
      </c>
      <c r="K150" s="14"/>
      <c r="L150" s="14"/>
      <c r="M150" s="14"/>
      <c r="N150" s="14" t="n">
        <f aca="false">ROUND((G150*I150)-K150-L150-M150,2)</f>
        <v>206.64</v>
      </c>
      <c r="O150" s="14"/>
      <c r="P150" s="14" t="n">
        <f aca="false">ROUND(IF(D150=0,IF((N150-E150-O150)&gt;0,(N150-E150-O150),0),IF((D150+N150-O150)&gt;0,(D150+N150-O150),0)),2)</f>
        <v>11778.48</v>
      </c>
      <c r="Q150" s="14" t="n">
        <f aca="false">ROUND(IF(E150=0,IF((D150+N150-O150)&lt;0,ABS(D150+N150-O150),0),IF((N150-E150-O150)&lt;0,ABS(N150-E150-O150),0)),2)</f>
        <v>0</v>
      </c>
    </row>
    <row r="151" customFormat="false" ht="15" hidden="false" customHeight="true" outlineLevel="0" collapsed="false">
      <c r="A151" s="12" t="s">
        <v>449</v>
      </c>
      <c r="B151" s="12" t="str">
        <f aca="false">жовтень!B151</f>
        <v>Кістрінь Л.П.</v>
      </c>
      <c r="C151" s="12" t="s">
        <v>451</v>
      </c>
      <c r="D151" s="14" t="n">
        <f aca="false">жовтень!P151</f>
        <v>15291.97</v>
      </c>
      <c r="E151" s="14" t="n">
        <f aca="false">жовтень!Q151</f>
        <v>0</v>
      </c>
      <c r="F151" s="13" t="n">
        <f aca="false">жовтень!F151</f>
        <v>0</v>
      </c>
      <c r="G151" s="13" t="n">
        <f aca="false">жовтень!G151</f>
        <v>65.2</v>
      </c>
      <c r="H151" s="13" t="n">
        <f aca="false">жовтень!H151</f>
        <v>0</v>
      </c>
      <c r="I151" s="13" t="n">
        <f aca="false">жовтень!I151</f>
        <v>4.1</v>
      </c>
      <c r="J151" s="14" t="n">
        <f aca="false">ROUND(G151*I151,2)</f>
        <v>267.32</v>
      </c>
      <c r="K151" s="14"/>
      <c r="L151" s="14"/>
      <c r="M151" s="14"/>
      <c r="N151" s="14" t="n">
        <f aca="false">ROUND((G151*I151)-K151-L151-M151,2)</f>
        <v>267.32</v>
      </c>
      <c r="O151" s="14"/>
      <c r="P151" s="14" t="n">
        <f aca="false">ROUND(IF(D151=0,IF((N151-E151-O151)&gt;0,(N151-E151-O151),0),IF((D151+N151-O151)&gt;0,(D151+N151-O151),0)),2)</f>
        <v>15559.29</v>
      </c>
      <c r="Q151" s="14" t="n">
        <f aca="false">ROUND(IF(E151=0,IF((D151+N151-O151)&lt;0,ABS(D151+N151-O151),0),IF((N151-E151-O151)&lt;0,ABS(N151-E151-O151),0)),2)</f>
        <v>0</v>
      </c>
    </row>
    <row r="152" customFormat="false" ht="15" hidden="false" customHeight="true" outlineLevel="0" collapsed="false">
      <c r="A152" s="12" t="s">
        <v>452</v>
      </c>
      <c r="B152" s="12" t="str">
        <f aca="false">жовтень!B152</f>
        <v>Козьміна І.В.</v>
      </c>
      <c r="C152" s="12" t="s">
        <v>454</v>
      </c>
      <c r="D152" s="14" t="n">
        <f aca="false">жовтень!P152</f>
        <v>4500.58</v>
      </c>
      <c r="E152" s="14" t="n">
        <f aca="false">жовтень!Q152</f>
        <v>0</v>
      </c>
      <c r="F152" s="13" t="n">
        <f aca="false">жовтень!F152</f>
        <v>0</v>
      </c>
      <c r="G152" s="13" t="n">
        <f aca="false">жовтень!G152</f>
        <v>64.57</v>
      </c>
      <c r="H152" s="13" t="n">
        <f aca="false">жовтень!H152</f>
        <v>0</v>
      </c>
      <c r="I152" s="13" t="n">
        <f aca="false">жовтень!I152</f>
        <v>4.1</v>
      </c>
      <c r="J152" s="14" t="n">
        <f aca="false">ROUND(G152*I152,2)</f>
        <v>264.74</v>
      </c>
      <c r="K152" s="14"/>
      <c r="L152" s="14"/>
      <c r="M152" s="14"/>
      <c r="N152" s="14" t="n">
        <f aca="false">ROUND((G152*I152)-K152-L152-M152,2)</f>
        <v>264.74</v>
      </c>
      <c r="O152" s="14"/>
      <c r="P152" s="14" t="n">
        <f aca="false">ROUND(IF(D152=0,IF((N152-E152-O152)&gt;0,(N152-E152-O152),0),IF((D152+N152-O152)&gt;0,(D152+N152-O152),0)),2)</f>
        <v>4765.32</v>
      </c>
      <c r="Q152" s="14" t="n">
        <f aca="false">ROUND(IF(E152=0,IF((D152+N152-O152)&lt;0,ABS(D152+N152-O152),0),IF((N152-E152-O152)&lt;0,ABS(N152-E152-O152),0)),2)</f>
        <v>0</v>
      </c>
    </row>
    <row r="153" customFormat="false" ht="15" hidden="false" customHeight="true" outlineLevel="0" collapsed="false">
      <c r="A153" s="12" t="s">
        <v>455</v>
      </c>
      <c r="B153" s="12" t="str">
        <f aca="false">жовтень!B153</f>
        <v>Чала С.С.</v>
      </c>
      <c r="C153" s="12" t="s">
        <v>457</v>
      </c>
      <c r="D153" s="14" t="n">
        <f aca="false">жовтень!P153</f>
        <v>13036.91</v>
      </c>
      <c r="E153" s="14" t="n">
        <f aca="false">жовтень!Q153</f>
        <v>0</v>
      </c>
      <c r="F153" s="13" t="n">
        <f aca="false">жовтень!F153</f>
        <v>0</v>
      </c>
      <c r="G153" s="13" t="n">
        <f aca="false">жовтень!G153</f>
        <v>48.7</v>
      </c>
      <c r="H153" s="13" t="n">
        <f aca="false">жовтень!H153</f>
        <v>0</v>
      </c>
      <c r="I153" s="13" t="n">
        <f aca="false">жовтень!I153</f>
        <v>4.1</v>
      </c>
      <c r="J153" s="14" t="n">
        <f aca="false">ROUND(G153*I153,2)</f>
        <v>199.67</v>
      </c>
      <c r="K153" s="14"/>
      <c r="L153" s="14"/>
      <c r="M153" s="14"/>
      <c r="N153" s="14" t="n">
        <f aca="false">ROUND((G153*I153)-K153-L153-M153,2)</f>
        <v>199.67</v>
      </c>
      <c r="O153" s="14"/>
      <c r="P153" s="14" t="n">
        <f aca="false">ROUND(IF(D153=0,IF((N153-E153-O153)&gt;0,(N153-E153-O153),0),IF((D153+N153-O153)&gt;0,(D153+N153-O153),0)),2)</f>
        <v>13236.58</v>
      </c>
      <c r="Q153" s="14" t="n">
        <f aca="false">ROUND(IF(E153=0,IF((D153+N153-O153)&lt;0,ABS(D153+N153-O153),0),IF((N153-E153-O153)&lt;0,ABS(N153-E153-O153),0)),2)</f>
        <v>0</v>
      </c>
    </row>
    <row r="154" customFormat="false" ht="15" hidden="false" customHeight="true" outlineLevel="0" collapsed="false">
      <c r="A154" s="12" t="s">
        <v>458</v>
      </c>
      <c r="B154" s="12" t="str">
        <f aca="false">жовтень!B154</f>
        <v>Свєтайлова І.М.</v>
      </c>
      <c r="C154" s="12" t="s">
        <v>460</v>
      </c>
      <c r="D154" s="14" t="n">
        <f aca="false">жовтень!P154</f>
        <v>2387.87</v>
      </c>
      <c r="E154" s="14" t="n">
        <f aca="false">жовтень!Q154</f>
        <v>0</v>
      </c>
      <c r="F154" s="13" t="n">
        <f aca="false">жовтень!F154</f>
        <v>0</v>
      </c>
      <c r="G154" s="13" t="n">
        <f aca="false">жовтень!G154</f>
        <v>35.1</v>
      </c>
      <c r="H154" s="13" t="n">
        <f aca="false">жовтень!H154</f>
        <v>0</v>
      </c>
      <c r="I154" s="13" t="n">
        <f aca="false">жовтень!I154</f>
        <v>4.1</v>
      </c>
      <c r="J154" s="14" t="n">
        <f aca="false">ROUND(G154*I154,2)</f>
        <v>143.91</v>
      </c>
      <c r="K154" s="14"/>
      <c r="L154" s="14"/>
      <c r="M154" s="14"/>
      <c r="N154" s="14" t="n">
        <f aca="false">ROUND((G154*I154)-K154-L154-M154,2)</f>
        <v>143.91</v>
      </c>
      <c r="O154" s="14"/>
      <c r="P154" s="14" t="n">
        <f aca="false">ROUND(IF(D154=0,IF((N154-E154-O154)&gt;0,(N154-E154-O154),0),IF((D154+N154-O154)&gt;0,(D154+N154-O154),0)),2)</f>
        <v>2531.78</v>
      </c>
      <c r="Q154" s="14" t="n">
        <f aca="false">ROUND(IF(E154=0,IF((D154+N154-O154)&lt;0,ABS(D154+N154-O154),0),IF((N154-E154-O154)&lt;0,ABS(N154-E154-O154),0)),2)</f>
        <v>0</v>
      </c>
    </row>
    <row r="155" customFormat="false" ht="15" hidden="false" customHeight="true" outlineLevel="0" collapsed="false">
      <c r="A155" s="12" t="s">
        <v>461</v>
      </c>
      <c r="B155" s="12" t="str">
        <f aca="false">жовтень!B155</f>
        <v>Неделько Д.І.</v>
      </c>
      <c r="C155" s="12" t="s">
        <v>463</v>
      </c>
      <c r="D155" s="14" t="n">
        <f aca="false">жовтень!P155</f>
        <v>8785.6</v>
      </c>
      <c r="E155" s="14" t="n">
        <f aca="false">жовтень!Q155</f>
        <v>0</v>
      </c>
      <c r="F155" s="13" t="n">
        <f aca="false">жовтень!F155</f>
        <v>0</v>
      </c>
      <c r="G155" s="13" t="n">
        <f aca="false">жовтень!G155</f>
        <v>53.57</v>
      </c>
      <c r="H155" s="13" t="n">
        <f aca="false">жовтень!H155</f>
        <v>0</v>
      </c>
      <c r="I155" s="13" t="n">
        <f aca="false">жовтень!I155</f>
        <v>4.1</v>
      </c>
      <c r="J155" s="14" t="n">
        <f aca="false">ROUND(G155*I155,2)</f>
        <v>219.64</v>
      </c>
      <c r="K155" s="14"/>
      <c r="L155" s="14"/>
      <c r="M155" s="14"/>
      <c r="N155" s="14" t="n">
        <f aca="false">ROUND((G155*I155)-K155-L155-M155,2)</f>
        <v>219.64</v>
      </c>
      <c r="O155" s="14"/>
      <c r="P155" s="14" t="n">
        <f aca="false">ROUND(IF(D155=0,IF((N155-E155-O155)&gt;0,(N155-E155-O155),0),IF((D155+N155-O155)&gt;0,(D155+N155-O155),0)),2)</f>
        <v>9005.24</v>
      </c>
      <c r="Q155" s="14" t="n">
        <f aca="false">ROUND(IF(E155=0,IF((D155+N155-O155)&lt;0,ABS(D155+N155-O155),0),IF((N155-E155-O155)&lt;0,ABS(N155-E155-O155),0)),2)</f>
        <v>0</v>
      </c>
    </row>
    <row r="156" customFormat="false" ht="15" hidden="false" customHeight="true" outlineLevel="0" collapsed="false">
      <c r="A156" s="12" t="s">
        <v>464</v>
      </c>
      <c r="B156" s="12" t="str">
        <f aca="false">жовтень!B156</f>
        <v>Самойленко Л.К.</v>
      </c>
      <c r="C156" s="12" t="s">
        <v>466</v>
      </c>
      <c r="D156" s="14" t="n">
        <f aca="false">жовтень!P156</f>
        <v>335.32</v>
      </c>
      <c r="E156" s="14" t="n">
        <f aca="false">жовтень!Q156</f>
        <v>0</v>
      </c>
      <c r="F156" s="13" t="n">
        <f aca="false">жовтень!F156</f>
        <v>0</v>
      </c>
      <c r="G156" s="13" t="n">
        <f aca="false">жовтень!G156</f>
        <v>65.7</v>
      </c>
      <c r="H156" s="13" t="n">
        <f aca="false">жовтень!H156</f>
        <v>0</v>
      </c>
      <c r="I156" s="13" t="n">
        <f aca="false">жовтень!I156</f>
        <v>4.1</v>
      </c>
      <c r="J156" s="14" t="n">
        <f aca="false">ROUND(G156*I156,2)</f>
        <v>269.37</v>
      </c>
      <c r="K156" s="14"/>
      <c r="L156" s="14"/>
      <c r="M156" s="14"/>
      <c r="N156" s="14" t="n">
        <f aca="false">ROUND((G156*I156)-K156-L156-M156,2)</f>
        <v>269.37</v>
      </c>
      <c r="O156" s="14"/>
      <c r="P156" s="14" t="n">
        <f aca="false">ROUND(IF(D156=0,IF((N156-E156-O156)&gt;0,(N156-E156-O156),0),IF((D156+N156-O156)&gt;0,(D156+N156-O156),0)),2)</f>
        <v>604.69</v>
      </c>
      <c r="Q156" s="14" t="n">
        <f aca="false">ROUND(IF(E156=0,IF((D156+N156-O156)&lt;0,ABS(D156+N156-O156),0),IF((N156-E156-O156)&lt;0,ABS(N156-E156-O156),0)),2)</f>
        <v>0</v>
      </c>
    </row>
    <row r="157" customFormat="false" ht="15" hidden="false" customHeight="true" outlineLevel="0" collapsed="false">
      <c r="A157" s="12" t="s">
        <v>467</v>
      </c>
      <c r="B157" s="12" t="str">
        <f aca="false">жовтень!B157</f>
        <v>Павлов Ю.В.</v>
      </c>
      <c r="C157" s="12" t="s">
        <v>469</v>
      </c>
      <c r="D157" s="14" t="n">
        <f aca="false">жовтень!P157</f>
        <v>4466.38</v>
      </c>
      <c r="E157" s="14" t="n">
        <f aca="false">жовтень!Q157</f>
        <v>0</v>
      </c>
      <c r="F157" s="13" t="n">
        <f aca="false">жовтень!F157</f>
        <v>0</v>
      </c>
      <c r="G157" s="13" t="n">
        <f aca="false">жовтень!G157</f>
        <v>49.78</v>
      </c>
      <c r="H157" s="13" t="n">
        <f aca="false">жовтень!H157</f>
        <v>0</v>
      </c>
      <c r="I157" s="13" t="n">
        <f aca="false">жовтень!I157</f>
        <v>4.1</v>
      </c>
      <c r="J157" s="14" t="n">
        <f aca="false">ROUND(G157*I157,2)</f>
        <v>204.1</v>
      </c>
      <c r="K157" s="14"/>
      <c r="L157" s="14"/>
      <c r="M157" s="14"/>
      <c r="N157" s="14" t="n">
        <f aca="false">ROUND((G157*I157)-K157-L157-M157,2)</f>
        <v>204.1</v>
      </c>
      <c r="O157" s="14"/>
      <c r="P157" s="14" t="n">
        <f aca="false">ROUND(IF(D157=0,IF((N157-E157-O157)&gt;0,(N157-E157-O157),0),IF((D157+N157-O157)&gt;0,(D157+N157-O157),0)),2)</f>
        <v>4670.48</v>
      </c>
      <c r="Q157" s="14" t="n">
        <f aca="false">ROUND(IF(E157=0,IF((D157+N157-O157)&lt;0,ABS(D157+N157-O157),0),IF((N157-E157-O157)&lt;0,ABS(N157-E157-O157),0)),2)</f>
        <v>0</v>
      </c>
    </row>
    <row r="158" customFormat="false" ht="15" hidden="false" customHeight="true" outlineLevel="0" collapsed="false">
      <c r="A158" s="12" t="s">
        <v>470</v>
      </c>
      <c r="B158" s="12" t="str">
        <f aca="false">жовтень!B158</f>
        <v>Коваленко Т.М.</v>
      </c>
      <c r="C158" s="12" t="s">
        <v>472</v>
      </c>
      <c r="D158" s="14" t="n">
        <f aca="false">жовтень!P158</f>
        <v>1722</v>
      </c>
      <c r="E158" s="14" t="n">
        <f aca="false">жовтень!Q158</f>
        <v>0</v>
      </c>
      <c r="F158" s="13" t="n">
        <f aca="false">жовтень!F158</f>
        <v>0</v>
      </c>
      <c r="G158" s="13" t="n">
        <f aca="false">жовтень!G158</f>
        <v>35</v>
      </c>
      <c r="H158" s="13" t="n">
        <f aca="false">жовтень!H158</f>
        <v>0</v>
      </c>
      <c r="I158" s="13" t="n">
        <f aca="false">жовтень!I158</f>
        <v>4.1</v>
      </c>
      <c r="J158" s="14" t="n">
        <f aca="false">ROUND(G158*I158,2)</f>
        <v>143.5</v>
      </c>
      <c r="K158" s="14"/>
      <c r="L158" s="14"/>
      <c r="M158" s="14"/>
      <c r="N158" s="14" t="n">
        <f aca="false">ROUND((G158*I158)-K158-L158-M158,2)</f>
        <v>143.5</v>
      </c>
      <c r="O158" s="14"/>
      <c r="P158" s="14" t="n">
        <f aca="false">ROUND(IF(D158=0,IF((N158-E158-O158)&gt;0,(N158-E158-O158),0),IF((D158+N158-O158)&gt;0,(D158+N158-O158),0)),2)</f>
        <v>1865.5</v>
      </c>
      <c r="Q158" s="14" t="n">
        <f aca="false">ROUND(IF(E158=0,IF((D158+N158-O158)&lt;0,ABS(D158+N158-O158),0),IF((N158-E158-O158)&lt;0,ABS(N158-E158-O158),0)),2)</f>
        <v>0</v>
      </c>
    </row>
    <row r="159" customFormat="false" ht="15" hidden="false" customHeight="true" outlineLevel="0" collapsed="false">
      <c r="A159" s="12" t="s">
        <v>473</v>
      </c>
      <c r="B159" s="12" t="str">
        <f aca="false">жовтень!B159</f>
        <v>Рощенко Л.Б.</v>
      </c>
      <c r="C159" s="12" t="s">
        <v>475</v>
      </c>
      <c r="D159" s="14" t="n">
        <f aca="false">жовтень!P159</f>
        <v>12440.27</v>
      </c>
      <c r="E159" s="14" t="n">
        <f aca="false">жовтень!Q159</f>
        <v>0</v>
      </c>
      <c r="F159" s="13" t="n">
        <f aca="false">жовтень!F159</f>
        <v>0</v>
      </c>
      <c r="G159" s="13" t="n">
        <f aca="false">жовтень!G159</f>
        <v>62.08</v>
      </c>
      <c r="H159" s="13" t="n">
        <f aca="false">жовтень!H159</f>
        <v>0</v>
      </c>
      <c r="I159" s="13" t="n">
        <f aca="false">жовтень!I159</f>
        <v>4.1</v>
      </c>
      <c r="J159" s="14" t="n">
        <f aca="false">ROUND(G159*I159,2)</f>
        <v>254.53</v>
      </c>
      <c r="K159" s="14"/>
      <c r="L159" s="14"/>
      <c r="M159" s="14"/>
      <c r="N159" s="14" t="n">
        <f aca="false">ROUND((G159*I159)-K159-L159-M159,2)</f>
        <v>254.53</v>
      </c>
      <c r="O159" s="14"/>
      <c r="P159" s="14" t="n">
        <f aca="false">ROUND(IF(D159=0,IF((N159-E159-O159)&gt;0,(N159-E159-O159),0),IF((D159+N159-O159)&gt;0,(D159+N159-O159),0)),2)</f>
        <v>12694.8</v>
      </c>
      <c r="Q159" s="14" t="n">
        <f aca="false">ROUND(IF(E159=0,IF((D159+N159-O159)&lt;0,ABS(D159+N159-O159),0),IF((N159-E159-O159)&lt;0,ABS(N159-E159-O159),0)),2)</f>
        <v>0</v>
      </c>
    </row>
    <row r="160" customFormat="false" ht="15" hidden="false" customHeight="true" outlineLevel="0" collapsed="false">
      <c r="A160" s="12" t="s">
        <v>476</v>
      </c>
      <c r="B160" s="12" t="str">
        <f aca="false">жовтень!B160</f>
        <v>Галушко С.Т.</v>
      </c>
      <c r="C160" s="12" t="s">
        <v>478</v>
      </c>
      <c r="D160" s="14" t="n">
        <f aca="false">жовтень!P160</f>
        <v>2430.27</v>
      </c>
      <c r="E160" s="14" t="n">
        <f aca="false">жовтень!Q160</f>
        <v>0</v>
      </c>
      <c r="F160" s="13" t="n">
        <f aca="false">жовтень!F160</f>
        <v>0</v>
      </c>
      <c r="G160" s="13" t="n">
        <f aca="false">жовтень!G160</f>
        <v>65.86</v>
      </c>
      <c r="H160" s="13" t="n">
        <f aca="false">жовтень!H160</f>
        <v>0</v>
      </c>
      <c r="I160" s="13" t="n">
        <f aca="false">жовтень!I160</f>
        <v>4.1</v>
      </c>
      <c r="J160" s="14" t="n">
        <f aca="false">ROUND(G160*I160,2)</f>
        <v>270.03</v>
      </c>
      <c r="K160" s="14"/>
      <c r="L160" s="14"/>
      <c r="M160" s="14"/>
      <c r="N160" s="14" t="n">
        <f aca="false">ROUND((G160*I160)-K160-L160-M160,2)</f>
        <v>270.03</v>
      </c>
      <c r="O160" s="14"/>
      <c r="P160" s="14" t="n">
        <f aca="false">ROUND(IF(D160=0,IF((N160-E160-O160)&gt;0,(N160-E160-O160),0),IF((D160+N160-O160)&gt;0,(D160+N160-O160),0)),2)</f>
        <v>2700.3</v>
      </c>
      <c r="Q160" s="14" t="n">
        <f aca="false">ROUND(IF(E160=0,IF((D160+N160-O160)&lt;0,ABS(D160+N160-O160),0),IF((N160-E160-O160)&lt;0,ABS(N160-E160-O160),0)),2)</f>
        <v>0</v>
      </c>
    </row>
    <row r="161" customFormat="false" ht="15" hidden="false" customHeight="true" outlineLevel="0" collapsed="false">
      <c r="A161" s="12" t="s">
        <v>479</v>
      </c>
      <c r="B161" s="12" t="str">
        <f aca="false">жовтень!B161</f>
        <v>Наумова Л.Я.</v>
      </c>
      <c r="C161" s="12" t="s">
        <v>481</v>
      </c>
      <c r="D161" s="14" t="n">
        <f aca="false">жовтень!P161</f>
        <v>2010.4</v>
      </c>
      <c r="E161" s="14" t="n">
        <f aca="false">жовтень!Q161</f>
        <v>0</v>
      </c>
      <c r="F161" s="13" t="n">
        <f aca="false">жовтень!F161</f>
        <v>0</v>
      </c>
      <c r="G161" s="13" t="n">
        <f aca="false">жовтень!G161</f>
        <v>49.95</v>
      </c>
      <c r="H161" s="13" t="n">
        <f aca="false">жовтень!H161</f>
        <v>0</v>
      </c>
      <c r="I161" s="13" t="n">
        <f aca="false">жовтень!I161</f>
        <v>4.1</v>
      </c>
      <c r="J161" s="14" t="n">
        <f aca="false">ROUND(G161*I161,2)</f>
        <v>204.8</v>
      </c>
      <c r="K161" s="14"/>
      <c r="L161" s="14"/>
      <c r="M161" s="14"/>
      <c r="N161" s="14" t="n">
        <f aca="false">ROUND((G161*I161)-K161-L161-M161,2)</f>
        <v>204.8</v>
      </c>
      <c r="O161" s="14"/>
      <c r="P161" s="14" t="n">
        <f aca="false">ROUND(IF(D161=0,IF((N161-E161-O161)&gt;0,(N161-E161-O161),0),IF((D161+N161-O161)&gt;0,(D161+N161-O161),0)),2)</f>
        <v>2215.2</v>
      </c>
      <c r="Q161" s="14" t="n">
        <f aca="false">ROUND(IF(E161=0,IF((D161+N161-O161)&lt;0,ABS(D161+N161-O161),0),IF((N161-E161-O161)&lt;0,ABS(N161-E161-O161),0)),2)</f>
        <v>0</v>
      </c>
    </row>
    <row r="162" customFormat="false" ht="15" hidden="false" customHeight="true" outlineLevel="0" collapsed="false">
      <c r="A162" s="12" t="s">
        <v>482</v>
      </c>
      <c r="B162" s="12" t="str">
        <f aca="false">жовтень!B162</f>
        <v>Грєк В.С.</v>
      </c>
      <c r="C162" s="12" t="s">
        <v>484</v>
      </c>
      <c r="D162" s="14" t="n">
        <f aca="false">жовтень!P162</f>
        <v>0</v>
      </c>
      <c r="E162" s="14" t="n">
        <f aca="false">жовтень!Q162</f>
        <v>11</v>
      </c>
      <c r="F162" s="13" t="n">
        <f aca="false">жовтень!F162</f>
        <v>0</v>
      </c>
      <c r="G162" s="13" t="n">
        <f aca="false">жовтень!G162</f>
        <v>33.9</v>
      </c>
      <c r="H162" s="13" t="n">
        <f aca="false">жовтень!H162</f>
        <v>0</v>
      </c>
      <c r="I162" s="13" t="n">
        <f aca="false">жовтень!I162</f>
        <v>4.1</v>
      </c>
      <c r="J162" s="14" t="n">
        <f aca="false">ROUND(G162*I162,2)</f>
        <v>138.99</v>
      </c>
      <c r="K162" s="14"/>
      <c r="L162" s="14"/>
      <c r="M162" s="14"/>
      <c r="N162" s="14" t="n">
        <f aca="false">ROUND((G162*I162)-K162-L162-M162,2)</f>
        <v>138.99</v>
      </c>
      <c r="O162" s="14"/>
      <c r="P162" s="14" t="n">
        <f aca="false">ROUND(IF(D162=0,IF((N162-E162-O162)&gt;0,(N162-E162-O162),0),IF((D162+N162-O162)&gt;0,(D162+N162-O162),0)),2)</f>
        <v>127.99</v>
      </c>
      <c r="Q162" s="14" t="n">
        <f aca="false">ROUND(IF(E162=0,IF((D162+N162-O162)&lt;0,ABS(D162+N162-O162),0),IF((N162-E162-O162)&lt;0,ABS(N162-E162-O162),0)),2)</f>
        <v>0</v>
      </c>
    </row>
    <row r="163" customFormat="false" ht="15" hidden="false" customHeight="true" outlineLevel="0" collapsed="false">
      <c r="A163" s="12" t="s">
        <v>485</v>
      </c>
      <c r="B163" s="12" t="str">
        <f aca="false">жовтень!B163</f>
        <v>Пермінов О.А.</v>
      </c>
      <c r="C163" s="12" t="s">
        <v>487</v>
      </c>
      <c r="D163" s="14" t="n">
        <f aca="false">жовтень!P163</f>
        <v>3428.8</v>
      </c>
      <c r="E163" s="14" t="n">
        <f aca="false">жовтень!Q163</f>
        <v>0</v>
      </c>
      <c r="F163" s="13" t="n">
        <f aca="false">жовтень!F163</f>
        <v>0</v>
      </c>
      <c r="G163" s="13" t="n">
        <f aca="false">жовтень!G163</f>
        <v>62.43</v>
      </c>
      <c r="H163" s="13" t="n">
        <f aca="false">жовтень!H163</f>
        <v>0</v>
      </c>
      <c r="I163" s="13" t="n">
        <f aca="false">жовтень!I163</f>
        <v>4.1</v>
      </c>
      <c r="J163" s="14" t="n">
        <f aca="false">ROUND(G163*I163,2)</f>
        <v>255.96</v>
      </c>
      <c r="K163" s="14"/>
      <c r="L163" s="14"/>
      <c r="M163" s="14"/>
      <c r="N163" s="14" t="n">
        <f aca="false">ROUND((G163*I163)-K163-L163-M163,2)</f>
        <v>255.96</v>
      </c>
      <c r="O163" s="14"/>
      <c r="P163" s="14" t="n">
        <f aca="false">ROUND(IF(D163=0,IF((N163-E163-O163)&gt;0,(N163-E163-O163),0),IF((D163+N163-O163)&gt;0,(D163+N163-O163),0)),2)</f>
        <v>3684.76</v>
      </c>
      <c r="Q163" s="14" t="n">
        <f aca="false">ROUND(IF(E163=0,IF((D163+N163-O163)&lt;0,ABS(D163+N163-O163),0),IF((N163-E163-O163)&lt;0,ABS(N163-E163-O163),0)),2)</f>
        <v>0</v>
      </c>
    </row>
    <row r="164" customFormat="false" ht="15" hidden="false" customHeight="true" outlineLevel="0" collapsed="false">
      <c r="A164" s="12" t="s">
        <v>488</v>
      </c>
      <c r="B164" s="12" t="str">
        <f aca="false">жовтень!B164</f>
        <v>Рябчук Л.П.</v>
      </c>
      <c r="C164" s="12" t="s">
        <v>490</v>
      </c>
      <c r="D164" s="14" t="n">
        <f aca="false">жовтень!P164</f>
        <v>9622.48</v>
      </c>
      <c r="E164" s="14" t="n">
        <f aca="false">жовтень!Q164</f>
        <v>0</v>
      </c>
      <c r="F164" s="13" t="n">
        <f aca="false">жовтень!F164</f>
        <v>0</v>
      </c>
      <c r="G164" s="13" t="n">
        <f aca="false">жовтень!G164</f>
        <v>64.8</v>
      </c>
      <c r="H164" s="13" t="n">
        <f aca="false">жовтень!H164</f>
        <v>0</v>
      </c>
      <c r="I164" s="13" t="n">
        <f aca="false">жовтень!I164</f>
        <v>4.1</v>
      </c>
      <c r="J164" s="14" t="n">
        <f aca="false">ROUND(G164*I164,2)</f>
        <v>265.68</v>
      </c>
      <c r="K164" s="14"/>
      <c r="L164" s="14"/>
      <c r="M164" s="14"/>
      <c r="N164" s="14" t="n">
        <f aca="false">ROUND((G164*I164)-K164-L164-M164,2)</f>
        <v>265.68</v>
      </c>
      <c r="O164" s="14"/>
      <c r="P164" s="14" t="n">
        <f aca="false">ROUND(IF(D164=0,IF((N164-E164-O164)&gt;0,(N164-E164-O164),0),IF((D164+N164-O164)&gt;0,(D164+N164-O164),0)),2)</f>
        <v>9888.16</v>
      </c>
      <c r="Q164" s="14" t="n">
        <f aca="false">ROUND(IF(E164=0,IF((D164+N164-O164)&lt;0,ABS(D164+N164-O164),0),IF((N164-E164-O164)&lt;0,ABS(N164-E164-O164),0)),2)</f>
        <v>0</v>
      </c>
    </row>
    <row r="165" customFormat="false" ht="15" hidden="false" customHeight="true" outlineLevel="0" collapsed="false">
      <c r="A165" s="12" t="s">
        <v>491</v>
      </c>
      <c r="B165" s="12" t="str">
        <f aca="false">жовтень!B165</f>
        <v>Копасова Л.Б.</v>
      </c>
      <c r="C165" s="12" t="s">
        <v>493</v>
      </c>
      <c r="D165" s="14" t="n">
        <f aca="false">жовтень!P165</f>
        <v>2025.4</v>
      </c>
      <c r="E165" s="14" t="n">
        <f aca="false">жовтень!Q165</f>
        <v>0</v>
      </c>
      <c r="F165" s="13" t="n">
        <f aca="false">жовтень!F165</f>
        <v>0</v>
      </c>
      <c r="G165" s="13" t="n">
        <f aca="false">жовтень!G165</f>
        <v>49.4</v>
      </c>
      <c r="H165" s="13" t="n">
        <f aca="false">жовтень!H165</f>
        <v>0</v>
      </c>
      <c r="I165" s="13" t="n">
        <f aca="false">жовтень!I165</f>
        <v>4.1</v>
      </c>
      <c r="J165" s="14" t="n">
        <f aca="false">ROUND(G165*I165,2)</f>
        <v>202.54</v>
      </c>
      <c r="K165" s="14"/>
      <c r="L165" s="14"/>
      <c r="M165" s="14"/>
      <c r="N165" s="14" t="n">
        <f aca="false">ROUND((G165*I165)-K165-L165-M165,2)</f>
        <v>202.54</v>
      </c>
      <c r="O165" s="14"/>
      <c r="P165" s="14" t="n">
        <f aca="false">ROUND(IF(D165=0,IF((N165-E165-O165)&gt;0,(N165-E165-O165),0),IF((D165+N165-O165)&gt;0,(D165+N165-O165),0)),2)</f>
        <v>2227.94</v>
      </c>
      <c r="Q165" s="14" t="n">
        <f aca="false">ROUND(IF(E165=0,IF((D165+N165-O165)&lt;0,ABS(D165+N165-O165),0),IF((N165-E165-O165)&lt;0,ABS(N165-E165-O165),0)),2)</f>
        <v>0</v>
      </c>
    </row>
    <row r="166" customFormat="false" ht="15" hidden="false" customHeight="true" outlineLevel="0" collapsed="false">
      <c r="A166" s="12" t="s">
        <v>494</v>
      </c>
      <c r="B166" s="12" t="str">
        <f aca="false">жовтень!B166</f>
        <v>Киричинська Г.Я.</v>
      </c>
      <c r="C166" s="12" t="s">
        <v>496</v>
      </c>
      <c r="D166" s="14" t="n">
        <f aca="false">жовтень!P166</f>
        <v>5064.25</v>
      </c>
      <c r="E166" s="14" t="n">
        <f aca="false">жовтень!Q166</f>
        <v>0</v>
      </c>
      <c r="F166" s="13" t="n">
        <f aca="false">жовтень!F166</f>
        <v>0</v>
      </c>
      <c r="G166" s="13" t="n">
        <f aca="false">жовтень!G166</f>
        <v>35.1</v>
      </c>
      <c r="H166" s="13" t="n">
        <f aca="false">жовтень!H166</f>
        <v>0</v>
      </c>
      <c r="I166" s="13" t="n">
        <f aca="false">жовтень!I166</f>
        <v>4.1</v>
      </c>
      <c r="J166" s="14" t="n">
        <f aca="false">ROUND(G166*I166,2)</f>
        <v>143.91</v>
      </c>
      <c r="K166" s="14"/>
      <c r="L166" s="14"/>
      <c r="M166" s="14"/>
      <c r="N166" s="14" t="n">
        <f aca="false">ROUND((G166*I166)-K166-L166-M166,2)</f>
        <v>143.91</v>
      </c>
      <c r="O166" s="14"/>
      <c r="P166" s="14" t="n">
        <f aca="false">ROUND(IF(D166=0,IF((N166-E166-O166)&gt;0,(N166-E166-O166),0),IF((D166+N166-O166)&gt;0,(D166+N166-O166),0)),2)</f>
        <v>5208.16</v>
      </c>
      <c r="Q166" s="14" t="n">
        <f aca="false">ROUND(IF(E166=0,IF((D166+N166-O166)&lt;0,ABS(D166+N166-O166),0),IF((N166-E166-O166)&lt;0,ABS(N166-E166-O166),0)),2)</f>
        <v>0</v>
      </c>
    </row>
    <row r="167" customFormat="false" ht="15" hidden="false" customHeight="true" outlineLevel="0" collapsed="false">
      <c r="A167" s="12" t="s">
        <v>497</v>
      </c>
      <c r="B167" s="12" t="str">
        <f aca="false">жовтень!B167</f>
        <v>Бутрій К.В.</v>
      </c>
      <c r="C167" s="12" t="s">
        <v>499</v>
      </c>
      <c r="D167" s="14" t="n">
        <f aca="false">жовтень!P167</f>
        <v>3649.28</v>
      </c>
      <c r="E167" s="14" t="n">
        <f aca="false">жовтень!Q167</f>
        <v>0</v>
      </c>
      <c r="F167" s="13" t="n">
        <f aca="false">жовтень!F167</f>
        <v>0</v>
      </c>
      <c r="G167" s="13" t="n">
        <f aca="false">жовтень!G167</f>
        <v>62.4</v>
      </c>
      <c r="H167" s="13" t="n">
        <f aca="false">жовтень!H167</f>
        <v>0</v>
      </c>
      <c r="I167" s="13" t="n">
        <f aca="false">жовтень!I167</f>
        <v>4.1</v>
      </c>
      <c r="J167" s="14" t="n">
        <f aca="false">ROUND(G167*I167,2)</f>
        <v>255.84</v>
      </c>
      <c r="K167" s="14"/>
      <c r="L167" s="14"/>
      <c r="M167" s="14"/>
      <c r="N167" s="14" t="n">
        <f aca="false">ROUND((G167*I167)-K167-L167-M167,2)</f>
        <v>255.84</v>
      </c>
      <c r="O167" s="14"/>
      <c r="P167" s="14" t="n">
        <f aca="false">ROUND(IF(D167=0,IF((N167-E167-O167)&gt;0,(N167-E167-O167),0),IF((D167+N167-O167)&gt;0,(D167+N167-O167),0)),2)</f>
        <v>3905.12</v>
      </c>
      <c r="Q167" s="14" t="n">
        <f aca="false">ROUND(IF(E167=0,IF((D167+N167-O167)&lt;0,ABS(D167+N167-O167),0),IF((N167-E167-O167)&lt;0,ABS(N167-E167-O167),0)),2)</f>
        <v>0</v>
      </c>
    </row>
    <row r="168" customFormat="false" ht="15" hidden="false" customHeight="true" outlineLevel="0" collapsed="false">
      <c r="A168" s="12" t="s">
        <v>500</v>
      </c>
      <c r="B168" s="12" t="str">
        <f aca="false">жовтень!B168</f>
        <v>Кузьома Г.І.</v>
      </c>
      <c r="C168" s="12" t="s">
        <v>502</v>
      </c>
      <c r="D168" s="14" t="n">
        <f aca="false">жовтень!P168</f>
        <v>2685.5</v>
      </c>
      <c r="E168" s="14" t="n">
        <f aca="false">жовтень!Q168</f>
        <v>0</v>
      </c>
      <c r="F168" s="13" t="n">
        <f aca="false">жовтень!F168</f>
        <v>0</v>
      </c>
      <c r="G168" s="13" t="n">
        <f aca="false">жовтень!G168</f>
        <v>65.5</v>
      </c>
      <c r="H168" s="13" t="n">
        <f aca="false">жовтень!H168</f>
        <v>0</v>
      </c>
      <c r="I168" s="13" t="n">
        <f aca="false">жовтень!I168</f>
        <v>4.1</v>
      </c>
      <c r="J168" s="14" t="n">
        <f aca="false">ROUND(G168*I168,2)</f>
        <v>268.55</v>
      </c>
      <c r="K168" s="14"/>
      <c r="L168" s="14"/>
      <c r="M168" s="14"/>
      <c r="N168" s="14" t="n">
        <f aca="false">ROUND((G168*I168)-K168-L168-M168,2)</f>
        <v>268.55</v>
      </c>
      <c r="O168" s="14"/>
      <c r="P168" s="14" t="n">
        <f aca="false">ROUND(IF(D168=0,IF((N168-E168-O168)&gt;0,(N168-E168-O168),0),IF((D168+N168-O168)&gt;0,(D168+N168-O168),0)),2)</f>
        <v>2954.05</v>
      </c>
      <c r="Q168" s="14" t="n">
        <f aca="false">ROUND(IF(E168=0,IF((D168+N168-O168)&lt;0,ABS(D168+N168-O168),0),IF((N168-E168-O168)&lt;0,ABS(N168-E168-O168),0)),2)</f>
        <v>0</v>
      </c>
    </row>
    <row r="169" customFormat="false" ht="15" hidden="false" customHeight="true" outlineLevel="0" collapsed="false">
      <c r="A169" s="12" t="s">
        <v>503</v>
      </c>
      <c r="B169" s="12" t="str">
        <f aca="false">жовтень!B169</f>
        <v>Павленко В.М.</v>
      </c>
      <c r="C169" s="12" t="s">
        <v>505</v>
      </c>
      <c r="D169" s="14" t="n">
        <f aca="false">жовтень!P169</f>
        <v>2252.25</v>
      </c>
      <c r="E169" s="14" t="n">
        <f aca="false">жовтень!Q169</f>
        <v>0</v>
      </c>
      <c r="F169" s="13" t="n">
        <f aca="false">жовтень!F169</f>
        <v>0</v>
      </c>
      <c r="G169" s="13" t="n">
        <f aca="false">жовтень!G169</f>
        <v>49.94</v>
      </c>
      <c r="H169" s="13" t="n">
        <f aca="false">жовтень!H169</f>
        <v>0</v>
      </c>
      <c r="I169" s="13" t="n">
        <f aca="false">жовтень!I169</f>
        <v>4.1</v>
      </c>
      <c r="J169" s="14" t="n">
        <f aca="false">ROUND(G169*I169,2)</f>
        <v>204.75</v>
      </c>
      <c r="K169" s="14"/>
      <c r="L169" s="14"/>
      <c r="M169" s="14"/>
      <c r="N169" s="14" t="n">
        <f aca="false">ROUND((G169*I169)-K169-L169-M169,2)</f>
        <v>204.75</v>
      </c>
      <c r="O169" s="14"/>
      <c r="P169" s="14" t="n">
        <f aca="false">ROUND(IF(D169=0,IF((N169-E169-O169)&gt;0,(N169-E169-O169),0),IF((D169+N169-O169)&gt;0,(D169+N169-O169),0)),2)</f>
        <v>2457</v>
      </c>
      <c r="Q169" s="14" t="n">
        <f aca="false">ROUND(IF(E169=0,IF((D169+N169-O169)&lt;0,ABS(D169+N169-O169),0),IF((N169-E169-O169)&lt;0,ABS(N169-E169-O169),0)),2)</f>
        <v>0</v>
      </c>
    </row>
    <row r="170" customFormat="false" ht="15" hidden="false" customHeight="true" outlineLevel="0" collapsed="false">
      <c r="A170" s="12" t="s">
        <v>506</v>
      </c>
      <c r="B170" s="12" t="str">
        <f aca="false">жовтень!B170</f>
        <v>Качуровська С.А.</v>
      </c>
      <c r="C170" s="12" t="s">
        <v>508</v>
      </c>
      <c r="D170" s="14" t="n">
        <f aca="false">жовтень!P170</f>
        <v>1435</v>
      </c>
      <c r="E170" s="14" t="n">
        <f aca="false">жовтень!Q170</f>
        <v>0</v>
      </c>
      <c r="F170" s="13" t="n">
        <f aca="false">жовтень!F170</f>
        <v>0</v>
      </c>
      <c r="G170" s="13" t="n">
        <f aca="false">жовтень!G170</f>
        <v>35</v>
      </c>
      <c r="H170" s="13" t="n">
        <f aca="false">жовтень!H170</f>
        <v>0</v>
      </c>
      <c r="I170" s="13" t="n">
        <f aca="false">жовтень!I170</f>
        <v>4.1</v>
      </c>
      <c r="J170" s="14" t="n">
        <f aca="false">ROUND(G170*I170,2)</f>
        <v>143.5</v>
      </c>
      <c r="K170" s="14"/>
      <c r="L170" s="14"/>
      <c r="M170" s="14"/>
      <c r="N170" s="14" t="n">
        <f aca="false">ROUND((G170*I170)-K170-L170-M170,2)</f>
        <v>143.5</v>
      </c>
      <c r="O170" s="14"/>
      <c r="P170" s="14" t="n">
        <f aca="false">ROUND(IF(D170=0,IF((N170-E170-O170)&gt;0,(N170-E170-O170),0),IF((D170+N170-O170)&gt;0,(D170+N170-O170),0)),2)</f>
        <v>1578.5</v>
      </c>
      <c r="Q170" s="14" t="n">
        <f aca="false">ROUND(IF(E170=0,IF((D170+N170-O170)&lt;0,ABS(D170+N170-O170),0),IF((N170-E170-O170)&lt;0,ABS(N170-E170-O170),0)),2)</f>
        <v>0</v>
      </c>
    </row>
    <row r="171" customFormat="false" ht="15" hidden="false" customHeight="true" outlineLevel="0" collapsed="false">
      <c r="A171" s="12" t="s">
        <v>509</v>
      </c>
      <c r="B171" s="12" t="str">
        <f aca="false">жовтень!B171</f>
        <v>Білецький Б.Г.</v>
      </c>
      <c r="C171" s="12" t="s">
        <v>511</v>
      </c>
      <c r="D171" s="14" t="n">
        <f aca="false">жовтень!P171</f>
        <v>2556.8</v>
      </c>
      <c r="E171" s="14" t="n">
        <f aca="false">жовтень!Q171</f>
        <v>0</v>
      </c>
      <c r="F171" s="13" t="n">
        <f aca="false">жовтень!F171</f>
        <v>0</v>
      </c>
      <c r="G171" s="13" t="n">
        <f aca="false">жовтень!G171</f>
        <v>62.36</v>
      </c>
      <c r="H171" s="13" t="n">
        <f aca="false">жовтень!H171</f>
        <v>0</v>
      </c>
      <c r="I171" s="13" t="n">
        <f aca="false">жовтень!I171</f>
        <v>4.1</v>
      </c>
      <c r="J171" s="14" t="n">
        <f aca="false">ROUND(G171*I171,2)</f>
        <v>255.68</v>
      </c>
      <c r="K171" s="14"/>
      <c r="L171" s="14"/>
      <c r="M171" s="14"/>
      <c r="N171" s="14" t="n">
        <f aca="false">ROUND((G171*I171)-K171-L171-M171,2)</f>
        <v>255.68</v>
      </c>
      <c r="O171" s="14"/>
      <c r="P171" s="14" t="n">
        <f aca="false">ROUND(IF(D171=0,IF((N171-E171-O171)&gt;0,(N171-E171-O171),0),IF((D171+N171-O171)&gt;0,(D171+N171-O171),0)),2)</f>
        <v>2812.48</v>
      </c>
      <c r="Q171" s="14" t="n">
        <f aca="false">ROUND(IF(E171=0,IF((D171+N171-O171)&lt;0,ABS(D171+N171-O171),0),IF((N171-E171-O171)&lt;0,ABS(N171-E171-O171),0)),2)</f>
        <v>0</v>
      </c>
    </row>
    <row r="172" customFormat="false" ht="15" hidden="false" customHeight="true" outlineLevel="0" collapsed="false">
      <c r="A172" s="12" t="s">
        <v>512</v>
      </c>
      <c r="B172" s="12" t="str">
        <f aca="false">жовтень!B172</f>
        <v>Кузнєцова В.В.</v>
      </c>
      <c r="C172" s="12" t="s">
        <v>514</v>
      </c>
      <c r="D172" s="14" t="n">
        <f aca="false">жовтень!P172</f>
        <v>10494.2</v>
      </c>
      <c r="E172" s="14" t="n">
        <f aca="false">жовтень!Q172</f>
        <v>0</v>
      </c>
      <c r="F172" s="13" t="n">
        <f aca="false">жовтень!F172</f>
        <v>0</v>
      </c>
      <c r="G172" s="13" t="n">
        <f aca="false">жовтень!G172</f>
        <v>65.63</v>
      </c>
      <c r="H172" s="13" t="n">
        <f aca="false">жовтень!H172</f>
        <v>0</v>
      </c>
      <c r="I172" s="13" t="n">
        <f aca="false">жовтень!I172</f>
        <v>4.1</v>
      </c>
      <c r="J172" s="14" t="n">
        <f aca="false">ROUND(G172*I172,2)</f>
        <v>269.08</v>
      </c>
      <c r="K172" s="14"/>
      <c r="L172" s="14"/>
      <c r="M172" s="14"/>
      <c r="N172" s="14" t="n">
        <f aca="false">ROUND((G172*I172)-K172-L172-M172,2)</f>
        <v>269.08</v>
      </c>
      <c r="O172" s="14"/>
      <c r="P172" s="14" t="n">
        <f aca="false">ROUND(IF(D172=0,IF((N172-E172-O172)&gt;0,(N172-E172-O172),0),IF((D172+N172-O172)&gt;0,(D172+N172-O172),0)),2)</f>
        <v>10763.28</v>
      </c>
      <c r="Q172" s="14" t="n">
        <f aca="false">ROUND(IF(E172=0,IF((D172+N172-O172)&lt;0,ABS(D172+N172-O172),0),IF((N172-E172-O172)&lt;0,ABS(N172-E172-O172),0)),2)</f>
        <v>0</v>
      </c>
    </row>
    <row r="173" customFormat="false" ht="15" hidden="false" customHeight="true" outlineLevel="0" collapsed="false">
      <c r="A173" s="12" t="s">
        <v>515</v>
      </c>
      <c r="B173" s="12" t="str">
        <f aca="false">жовтень!B173</f>
        <v>Сидоренко Б.Й.</v>
      </c>
      <c r="C173" s="12" t="s">
        <v>517</v>
      </c>
      <c r="D173" s="14" t="n">
        <f aca="false">жовтень!P173</f>
        <v>18219.95</v>
      </c>
      <c r="E173" s="14" t="n">
        <f aca="false">жовтень!Q173</f>
        <v>0</v>
      </c>
      <c r="F173" s="13" t="n">
        <f aca="false">жовтень!F173</f>
        <v>0</v>
      </c>
      <c r="G173" s="13" t="n">
        <f aca="false">жовтень!G173</f>
        <v>49.8</v>
      </c>
      <c r="H173" s="13" t="n">
        <f aca="false">жовтень!H173</f>
        <v>0</v>
      </c>
      <c r="I173" s="13" t="n">
        <f aca="false">жовтень!I173</f>
        <v>4.1</v>
      </c>
      <c r="J173" s="14" t="n">
        <f aca="false">ROUND(G173*I173,2)</f>
        <v>204.18</v>
      </c>
      <c r="K173" s="14"/>
      <c r="L173" s="14"/>
      <c r="M173" s="14"/>
      <c r="N173" s="14" t="n">
        <f aca="false">ROUND((G173*I173)-K173-L173-M173,2)</f>
        <v>204.18</v>
      </c>
      <c r="O173" s="14"/>
      <c r="P173" s="14" t="n">
        <f aca="false">ROUND(IF(D173=0,IF((N173-E173-O173)&gt;0,(N173-E173-O173),0),IF((D173+N173-O173)&gt;0,(D173+N173-O173),0)),2)</f>
        <v>18424.13</v>
      </c>
      <c r="Q173" s="14" t="n">
        <f aca="false">ROUND(IF(E173=0,IF((D173+N173-O173)&lt;0,ABS(D173+N173-O173),0),IF((N173-E173-O173)&lt;0,ABS(N173-E173-O173),0)),2)</f>
        <v>0</v>
      </c>
    </row>
    <row r="174" customFormat="false" ht="15" hidden="false" customHeight="true" outlineLevel="0" collapsed="false">
      <c r="A174" s="12" t="s">
        <v>518</v>
      </c>
      <c r="B174" s="12" t="str">
        <f aca="false">жовтень!B174</f>
        <v>Кузнєцова О.А.</v>
      </c>
      <c r="C174" s="12" t="s">
        <v>520</v>
      </c>
      <c r="D174" s="14" t="n">
        <f aca="false">жовтень!P174</f>
        <v>5453</v>
      </c>
      <c r="E174" s="14" t="n">
        <f aca="false">жовтень!Q174</f>
        <v>0</v>
      </c>
      <c r="F174" s="13" t="n">
        <f aca="false">жовтень!F174</f>
        <v>0</v>
      </c>
      <c r="G174" s="13" t="n">
        <f aca="false">жовтень!G174</f>
        <v>35</v>
      </c>
      <c r="H174" s="13" t="n">
        <f aca="false">жовтень!H174</f>
        <v>0</v>
      </c>
      <c r="I174" s="13" t="n">
        <f aca="false">жовтень!I174</f>
        <v>4.1</v>
      </c>
      <c r="J174" s="14" t="n">
        <f aca="false">ROUND(G174*I174,2)</f>
        <v>143.5</v>
      </c>
      <c r="K174" s="14"/>
      <c r="L174" s="14"/>
      <c r="M174" s="14"/>
      <c r="N174" s="14" t="n">
        <f aca="false">ROUND((G174*I174)-K174-L174-M174,2)</f>
        <v>143.5</v>
      </c>
      <c r="O174" s="14"/>
      <c r="P174" s="14" t="n">
        <f aca="false">ROUND(IF(D174=0,IF((N174-E174-O174)&gt;0,(N174-E174-O174),0),IF((D174+N174-O174)&gt;0,(D174+N174-O174),0)),2)</f>
        <v>5596.5</v>
      </c>
      <c r="Q174" s="14" t="n">
        <f aca="false">ROUND(IF(E174=0,IF((D174+N174-O174)&lt;0,ABS(D174+N174-O174),0),IF((N174-E174-O174)&lt;0,ABS(N174-E174-O174),0)),2)</f>
        <v>0</v>
      </c>
    </row>
    <row r="175" customFormat="false" ht="15" hidden="false" customHeight="true" outlineLevel="0" collapsed="false">
      <c r="A175" s="12" t="s">
        <v>521</v>
      </c>
      <c r="B175" s="12" t="str">
        <f aca="false">жовтень!B175</f>
        <v>Васильєва О.Г.</v>
      </c>
      <c r="C175" s="12" t="s">
        <v>523</v>
      </c>
      <c r="D175" s="14" t="n">
        <f aca="false">жовтень!P175</f>
        <v>4631.4</v>
      </c>
      <c r="E175" s="14" t="n">
        <f aca="false">жовтень!Q175</f>
        <v>0</v>
      </c>
      <c r="F175" s="13" t="n">
        <f aca="false">жовтень!F175</f>
        <v>0</v>
      </c>
      <c r="G175" s="13" t="n">
        <f aca="false">жовтень!G175</f>
        <v>61.7</v>
      </c>
      <c r="H175" s="13" t="n">
        <f aca="false">жовтень!H175</f>
        <v>0</v>
      </c>
      <c r="I175" s="13" t="n">
        <f aca="false">жовтень!I175</f>
        <v>4.1</v>
      </c>
      <c r="J175" s="14" t="n">
        <f aca="false">ROUND(G175*I175,2)</f>
        <v>252.97</v>
      </c>
      <c r="K175" s="14"/>
      <c r="L175" s="14"/>
      <c r="M175" s="14"/>
      <c r="N175" s="14" t="n">
        <f aca="false">ROUND((G175*I175)-K175-L175-M175,2)</f>
        <v>252.97</v>
      </c>
      <c r="O175" s="14"/>
      <c r="P175" s="14" t="n">
        <f aca="false">ROUND(IF(D175=0,IF((N175-E175-O175)&gt;0,(N175-E175-O175),0),IF((D175+N175-O175)&gt;0,(D175+N175-O175),0)),2)</f>
        <v>4884.37</v>
      </c>
      <c r="Q175" s="14" t="n">
        <f aca="false">ROUND(IF(E175=0,IF((D175+N175-O175)&lt;0,ABS(D175+N175-O175),0),IF((N175-E175-O175)&lt;0,ABS(N175-E175-O175),0)),2)</f>
        <v>0</v>
      </c>
    </row>
    <row r="176" customFormat="false" ht="15" hidden="false" customHeight="true" outlineLevel="0" collapsed="false">
      <c r="A176" s="12" t="s">
        <v>524</v>
      </c>
      <c r="B176" s="12" t="str">
        <f aca="false">жовтень!B176</f>
        <v>Кудінова Л.М.</v>
      </c>
      <c r="C176" s="12" t="s">
        <v>526</v>
      </c>
      <c r="D176" s="14" t="n">
        <f aca="false">жовтень!P176</f>
        <v>2957.68</v>
      </c>
      <c r="E176" s="14" t="n">
        <f aca="false">жовтень!Q176</f>
        <v>0</v>
      </c>
      <c r="F176" s="13" t="n">
        <f aca="false">жовтень!F176</f>
        <v>0</v>
      </c>
      <c r="G176" s="13" t="n">
        <f aca="false">жовтень!G176</f>
        <v>65.58</v>
      </c>
      <c r="H176" s="13" t="n">
        <f aca="false">жовтень!H176</f>
        <v>0</v>
      </c>
      <c r="I176" s="13" t="n">
        <f aca="false">жовтень!I176</f>
        <v>4.1</v>
      </c>
      <c r="J176" s="14" t="n">
        <f aca="false">ROUND(G176*I176,2)</f>
        <v>268.88</v>
      </c>
      <c r="K176" s="14"/>
      <c r="L176" s="14"/>
      <c r="M176" s="14"/>
      <c r="N176" s="14" t="n">
        <f aca="false">ROUND((G176*I176)-K176-L176-M176,2)</f>
        <v>268.88</v>
      </c>
      <c r="O176" s="14"/>
      <c r="P176" s="14" t="n">
        <f aca="false">ROUND(IF(D176=0,IF((N176-E176-O176)&gt;0,(N176-E176-O176),0),IF((D176+N176-O176)&gt;0,(D176+N176-O176),0)),2)</f>
        <v>3226.56</v>
      </c>
      <c r="Q176" s="14" t="n">
        <f aca="false">ROUND(IF(E176=0,IF((D176+N176-O176)&lt;0,ABS(D176+N176-O176),0),IF((N176-E176-O176)&lt;0,ABS(N176-E176-O176),0)),2)</f>
        <v>0</v>
      </c>
    </row>
    <row r="177" customFormat="false" ht="15" hidden="false" customHeight="true" outlineLevel="0" collapsed="false">
      <c r="A177" s="12" t="s">
        <v>527</v>
      </c>
      <c r="B177" s="12" t="str">
        <f aca="false">жовтень!B177</f>
        <v>Спільний І.В.</v>
      </c>
      <c r="C177" s="12" t="s">
        <v>529</v>
      </c>
      <c r="D177" s="14" t="n">
        <f aca="false">жовтень!P177</f>
        <v>2029.5</v>
      </c>
      <c r="E177" s="14" t="n">
        <f aca="false">жовтень!Q177</f>
        <v>0</v>
      </c>
      <c r="F177" s="13" t="n">
        <f aca="false">жовтень!F177</f>
        <v>0</v>
      </c>
      <c r="G177" s="13" t="n">
        <f aca="false">жовтень!G177</f>
        <v>49.5</v>
      </c>
      <c r="H177" s="13" t="n">
        <f aca="false">жовтень!H177</f>
        <v>0</v>
      </c>
      <c r="I177" s="13" t="n">
        <f aca="false">жовтень!I177</f>
        <v>4.1</v>
      </c>
      <c r="J177" s="14" t="n">
        <f aca="false">ROUND(G177*I177,2)</f>
        <v>202.95</v>
      </c>
      <c r="K177" s="14"/>
      <c r="L177" s="14"/>
      <c r="M177" s="14"/>
      <c r="N177" s="14" t="n">
        <f aca="false">ROUND((G177*I177)-K177-L177-M177,2)</f>
        <v>202.95</v>
      </c>
      <c r="O177" s="14"/>
      <c r="P177" s="14" t="n">
        <f aca="false">ROUND(IF(D177=0,IF((N177-E177-O177)&gt;0,(N177-E177-O177),0),IF((D177+N177-O177)&gt;0,(D177+N177-O177),0)),2)</f>
        <v>2232.45</v>
      </c>
      <c r="Q177" s="14" t="n">
        <f aca="false">ROUND(IF(E177=0,IF((D177+N177-O177)&lt;0,ABS(D177+N177-O177),0),IF((N177-E177-O177)&lt;0,ABS(N177-E177-O177),0)),2)</f>
        <v>0</v>
      </c>
    </row>
    <row r="178" customFormat="false" ht="15" hidden="false" customHeight="true" outlineLevel="0" collapsed="false">
      <c r="A178" s="12" t="s">
        <v>530</v>
      </c>
      <c r="B178" s="12" t="str">
        <f aca="false">жовтень!B178</f>
        <v>Кружаліна Т.А.</v>
      </c>
      <c r="C178" s="12" t="s">
        <v>532</v>
      </c>
      <c r="D178" s="14" t="n">
        <f aca="false">жовтень!P178</f>
        <v>1439.1</v>
      </c>
      <c r="E178" s="14" t="n">
        <f aca="false">жовтень!Q178</f>
        <v>0</v>
      </c>
      <c r="F178" s="13" t="n">
        <f aca="false">жовтень!F178</f>
        <v>0</v>
      </c>
      <c r="G178" s="13" t="n">
        <f aca="false">жовтень!G178</f>
        <v>35.1</v>
      </c>
      <c r="H178" s="13" t="n">
        <f aca="false">жовтень!H178</f>
        <v>0</v>
      </c>
      <c r="I178" s="13" t="n">
        <f aca="false">жовтень!I178</f>
        <v>4.1</v>
      </c>
      <c r="J178" s="14" t="n">
        <f aca="false">ROUND(G178*I178,2)</f>
        <v>143.91</v>
      </c>
      <c r="K178" s="14"/>
      <c r="L178" s="14"/>
      <c r="M178" s="14"/>
      <c r="N178" s="14" t="n">
        <f aca="false">ROUND((G178*I178)-K178-L178-M178,2)</f>
        <v>143.91</v>
      </c>
      <c r="O178" s="14"/>
      <c r="P178" s="14" t="n">
        <f aca="false">ROUND(IF(D178=0,IF((N178-E178-O178)&gt;0,(N178-E178-O178),0),IF((D178+N178-O178)&gt;0,(D178+N178-O178),0)),2)</f>
        <v>1583.01</v>
      </c>
      <c r="Q178" s="14" t="n">
        <f aca="false">ROUND(IF(E178=0,IF((D178+N178-O178)&lt;0,ABS(D178+N178-O178),0),IF((N178-E178-O178)&lt;0,ABS(N178-E178-O178),0)),2)</f>
        <v>0</v>
      </c>
    </row>
    <row r="179" customFormat="false" ht="15" hidden="false" customHeight="true" outlineLevel="0" collapsed="false">
      <c r="A179" s="12" t="s">
        <v>533</v>
      </c>
      <c r="B179" s="12" t="str">
        <f aca="false">жовтень!B179</f>
        <v>Григоренко Н.Е.</v>
      </c>
      <c r="C179" s="12" t="s">
        <v>535</v>
      </c>
      <c r="D179" s="14" t="n">
        <f aca="false">жовтень!P179</f>
        <v>2579.3</v>
      </c>
      <c r="E179" s="14" t="n">
        <f aca="false">жовтень!Q179</f>
        <v>0</v>
      </c>
      <c r="F179" s="13" t="n">
        <f aca="false">жовтень!F179</f>
        <v>0</v>
      </c>
      <c r="G179" s="13" t="n">
        <f aca="false">жовтень!G179</f>
        <v>62.91</v>
      </c>
      <c r="H179" s="13" t="n">
        <f aca="false">жовтень!H179</f>
        <v>0</v>
      </c>
      <c r="I179" s="13" t="n">
        <f aca="false">жовтень!I179</f>
        <v>4.1</v>
      </c>
      <c r="J179" s="14" t="n">
        <f aca="false">ROUND(G179*I179,2)</f>
        <v>257.93</v>
      </c>
      <c r="K179" s="14"/>
      <c r="L179" s="14"/>
      <c r="M179" s="14"/>
      <c r="N179" s="14" t="n">
        <f aca="false">ROUND((G179*I179)-K179-L179-M179,2)</f>
        <v>257.93</v>
      </c>
      <c r="O179" s="14"/>
      <c r="P179" s="14" t="n">
        <f aca="false">ROUND(IF(D179=0,IF((N179-E179-O179)&gt;0,(N179-E179-O179),0),IF((D179+N179-O179)&gt;0,(D179+N179-O179),0)),2)</f>
        <v>2837.23</v>
      </c>
      <c r="Q179" s="14" t="n">
        <f aca="false">ROUND(IF(E179=0,IF((D179+N179-O179)&lt;0,ABS(D179+N179-O179),0),IF((N179-E179-O179)&lt;0,ABS(N179-E179-O179),0)),2)</f>
        <v>0</v>
      </c>
    </row>
    <row r="180" customFormat="false" ht="15" hidden="false" customHeight="true" outlineLevel="0" collapsed="false">
      <c r="A180" s="12" t="s">
        <v>536</v>
      </c>
      <c r="B180" s="12" t="str">
        <f aca="false">жовтень!B180</f>
        <v>Бондарчук В.В.</v>
      </c>
      <c r="C180" s="12" t="s">
        <v>538</v>
      </c>
      <c r="D180" s="14" t="n">
        <f aca="false">жовтень!P180</f>
        <v>2707.2</v>
      </c>
      <c r="E180" s="14" t="n">
        <f aca="false">жовтень!Q180</f>
        <v>0</v>
      </c>
      <c r="F180" s="13" t="n">
        <f aca="false">жовтень!F180</f>
        <v>0</v>
      </c>
      <c r="G180" s="13" t="n">
        <f aca="false">жовтень!G180</f>
        <v>66.03</v>
      </c>
      <c r="H180" s="13" t="n">
        <f aca="false">жовтень!H180</f>
        <v>0</v>
      </c>
      <c r="I180" s="13" t="n">
        <f aca="false">жовтень!I180</f>
        <v>4.1</v>
      </c>
      <c r="J180" s="14" t="n">
        <f aca="false">ROUND(G180*I180,2)</f>
        <v>270.72</v>
      </c>
      <c r="K180" s="14"/>
      <c r="L180" s="14"/>
      <c r="M180" s="14"/>
      <c r="N180" s="14" t="n">
        <f aca="false">ROUND((G180*I180)-K180-L180-M180,2)</f>
        <v>270.72</v>
      </c>
      <c r="O180" s="14"/>
      <c r="P180" s="14" t="n">
        <f aca="false">ROUND(IF(D180=0,IF((N180-E180-O180)&gt;0,(N180-E180-O180),0),IF((D180+N180-O180)&gt;0,(D180+N180-O180),0)),2)</f>
        <v>2977.92</v>
      </c>
      <c r="Q180" s="14" t="n">
        <f aca="false">ROUND(IF(E180=0,IF((D180+N180-O180)&lt;0,ABS(D180+N180-O180),0),IF((N180-E180-O180)&lt;0,ABS(N180-E180-O180),0)),2)</f>
        <v>0</v>
      </c>
    </row>
    <row r="181" customFormat="false" ht="15" hidden="false" customHeight="true" outlineLevel="0" collapsed="false">
      <c r="A181" s="12" t="s">
        <v>539</v>
      </c>
      <c r="B181" s="12" t="str">
        <f aca="false">жовтень!B181</f>
        <v>Рябініна Н.І.</v>
      </c>
      <c r="C181" s="12" t="s">
        <v>541</v>
      </c>
      <c r="D181" s="14" t="n">
        <f aca="false">жовтень!P181</f>
        <v>1879.86</v>
      </c>
      <c r="E181" s="14" t="n">
        <f aca="false">жовтень!Q181</f>
        <v>0</v>
      </c>
      <c r="F181" s="13" t="n">
        <f aca="false">жовтень!F181</f>
        <v>0</v>
      </c>
      <c r="G181" s="13" t="n">
        <f aca="false">жовтень!G181</f>
        <v>49.9</v>
      </c>
      <c r="H181" s="13" t="n">
        <f aca="false">жовтень!H181</f>
        <v>0</v>
      </c>
      <c r="I181" s="13" t="n">
        <f aca="false">жовтень!I181</f>
        <v>4.1</v>
      </c>
      <c r="J181" s="14" t="n">
        <f aca="false">ROUND(G181*I181,2)</f>
        <v>204.59</v>
      </c>
      <c r="K181" s="14"/>
      <c r="L181" s="14"/>
      <c r="M181" s="14"/>
      <c r="N181" s="14" t="n">
        <f aca="false">ROUND((G181*I181)-K181-L181-M181,2)</f>
        <v>204.59</v>
      </c>
      <c r="O181" s="14"/>
      <c r="P181" s="14" t="n">
        <f aca="false">ROUND(IF(D181=0,IF((N181-E181-O181)&gt;0,(N181-E181-O181),0),IF((D181+N181-O181)&gt;0,(D181+N181-O181),0)),2)</f>
        <v>2084.45</v>
      </c>
      <c r="Q181" s="14" t="n">
        <f aca="false">ROUND(IF(E181=0,IF((D181+N181-O181)&lt;0,ABS(D181+N181-O181),0),IF((N181-E181-O181)&lt;0,ABS(N181-E181-O181),0)),2)</f>
        <v>0</v>
      </c>
    </row>
    <row r="182" customFormat="false" ht="15" hidden="false" customHeight="true" outlineLevel="0" collapsed="false">
      <c r="A182" s="12" t="s">
        <v>542</v>
      </c>
      <c r="B182" s="12" t="str">
        <f aca="false">жовтень!B182</f>
        <v>Шапіро В.І.</v>
      </c>
      <c r="C182" s="12" t="s">
        <v>544</v>
      </c>
      <c r="D182" s="14" t="n">
        <f aca="false">жовтень!P182</f>
        <v>1431.7</v>
      </c>
      <c r="E182" s="14" t="n">
        <f aca="false">жовтень!Q182</f>
        <v>0</v>
      </c>
      <c r="F182" s="13" t="n">
        <f aca="false">жовтень!F182</f>
        <v>0</v>
      </c>
      <c r="G182" s="13" t="n">
        <f aca="false">жовтень!G182</f>
        <v>34.92</v>
      </c>
      <c r="H182" s="13" t="n">
        <f aca="false">жовтень!H182</f>
        <v>0</v>
      </c>
      <c r="I182" s="13" t="n">
        <f aca="false">жовтень!I182</f>
        <v>4.1</v>
      </c>
      <c r="J182" s="14" t="n">
        <f aca="false">ROUND(G182*I182,2)</f>
        <v>143.17</v>
      </c>
      <c r="K182" s="14"/>
      <c r="L182" s="14"/>
      <c r="M182" s="14"/>
      <c r="N182" s="14" t="n">
        <f aca="false">ROUND((G182*I182)-K182-L182-M182,2)</f>
        <v>143.17</v>
      </c>
      <c r="O182" s="14"/>
      <c r="P182" s="14" t="n">
        <f aca="false">ROUND(IF(D182=0,IF((N182-E182-O182)&gt;0,(N182-E182-O182),0),IF((D182+N182-O182)&gt;0,(D182+N182-O182),0)),2)</f>
        <v>1574.87</v>
      </c>
      <c r="Q182" s="14" t="n">
        <f aca="false">ROUND(IF(E182=0,IF((D182+N182-O182)&lt;0,ABS(D182+N182-O182),0),IF((N182-E182-O182)&lt;0,ABS(N182-E182-O182),0)),2)</f>
        <v>0</v>
      </c>
    </row>
    <row r="183" customFormat="false" ht="15" hidden="false" customHeight="true" outlineLevel="0" collapsed="false">
      <c r="A183" s="12" t="s">
        <v>545</v>
      </c>
      <c r="B183" s="12" t="str">
        <f aca="false">жовтень!B183</f>
        <v>Крамаренко О.О.</v>
      </c>
      <c r="C183" s="12" t="s">
        <v>547</v>
      </c>
      <c r="D183" s="14" t="n">
        <f aca="false">жовтень!P183</f>
        <v>2538.3</v>
      </c>
      <c r="E183" s="14" t="n">
        <f aca="false">жовтень!Q183</f>
        <v>0</v>
      </c>
      <c r="F183" s="13" t="n">
        <f aca="false">жовтень!F183</f>
        <v>0</v>
      </c>
      <c r="G183" s="13" t="n">
        <f aca="false">жовтень!G183</f>
        <v>61.91</v>
      </c>
      <c r="H183" s="13" t="n">
        <f aca="false">жовтень!H183</f>
        <v>0</v>
      </c>
      <c r="I183" s="13" t="n">
        <f aca="false">жовтень!I183</f>
        <v>4.1</v>
      </c>
      <c r="J183" s="14" t="n">
        <f aca="false">ROUND(G183*I183,2)</f>
        <v>253.83</v>
      </c>
      <c r="K183" s="14"/>
      <c r="L183" s="14"/>
      <c r="M183" s="14"/>
      <c r="N183" s="14" t="n">
        <f aca="false">ROUND((G183*I183)-K183-L183-M183,2)</f>
        <v>253.83</v>
      </c>
      <c r="O183" s="14"/>
      <c r="P183" s="14" t="n">
        <f aca="false">ROUND(IF(D183=0,IF((N183-E183-O183)&gt;0,(N183-E183-O183),0),IF((D183+N183-O183)&gt;0,(D183+N183-O183),0)),2)</f>
        <v>2792.13</v>
      </c>
      <c r="Q183" s="14" t="n">
        <f aca="false">ROUND(IF(E183=0,IF((D183+N183-O183)&lt;0,ABS(D183+N183-O183),0),IF((N183-E183-O183)&lt;0,ABS(N183-E183-O183),0)),2)</f>
        <v>0</v>
      </c>
    </row>
    <row r="184" customFormat="false" ht="15" hidden="false" customHeight="true" outlineLevel="0" collapsed="false">
      <c r="A184" s="12" t="s">
        <v>548</v>
      </c>
      <c r="B184" s="12" t="str">
        <f aca="false">жовтень!B184</f>
        <v>Свиридов В.Ф.</v>
      </c>
      <c r="C184" s="12" t="s">
        <v>550</v>
      </c>
      <c r="D184" s="14" t="n">
        <f aca="false">жовтень!P184</f>
        <v>14745.31</v>
      </c>
      <c r="E184" s="14" t="n">
        <f aca="false">жовтень!Q184</f>
        <v>0</v>
      </c>
      <c r="F184" s="13" t="n">
        <f aca="false">жовтень!F184</f>
        <v>0</v>
      </c>
      <c r="G184" s="13" t="n">
        <f aca="false">жовтень!G184</f>
        <v>65.15</v>
      </c>
      <c r="H184" s="13" t="n">
        <f aca="false">жовтень!H184</f>
        <v>0</v>
      </c>
      <c r="I184" s="13" t="n">
        <f aca="false">жовтень!I184</f>
        <v>4.1</v>
      </c>
      <c r="J184" s="14" t="n">
        <f aca="false">ROUND(G184*I184,2)</f>
        <v>267.12</v>
      </c>
      <c r="K184" s="14"/>
      <c r="L184" s="14"/>
      <c r="M184" s="14"/>
      <c r="N184" s="14" t="n">
        <f aca="false">ROUND((G184*I184)-K184-L184-M184,2)</f>
        <v>267.12</v>
      </c>
      <c r="O184" s="14"/>
      <c r="P184" s="14" t="n">
        <f aca="false">ROUND(IF(D184=0,IF((N184-E184-O184)&gt;0,(N184-E184-O184),0),IF((D184+N184-O184)&gt;0,(D184+N184-O184),0)),2)</f>
        <v>15012.43</v>
      </c>
      <c r="Q184" s="14" t="n">
        <f aca="false">ROUND(IF(E184=0,IF((D184+N184-O184)&lt;0,ABS(D184+N184-O184),0),IF((N184-E184-O184)&lt;0,ABS(N184-E184-O184),0)),2)</f>
        <v>0</v>
      </c>
    </row>
    <row r="185" customFormat="false" ht="15" hidden="false" customHeight="true" outlineLevel="0" collapsed="false">
      <c r="A185" s="12" t="s">
        <v>551</v>
      </c>
      <c r="B185" s="12" t="str">
        <f aca="false">жовтень!B185</f>
        <v>Домацький В.А.</v>
      </c>
      <c r="C185" s="12" t="s">
        <v>553</v>
      </c>
      <c r="D185" s="14" t="n">
        <f aca="false">жовтень!P185</f>
        <v>2050</v>
      </c>
      <c r="E185" s="14" t="n">
        <f aca="false">жовтень!Q185</f>
        <v>0</v>
      </c>
      <c r="F185" s="13" t="n">
        <f aca="false">жовтень!F185</f>
        <v>0</v>
      </c>
      <c r="G185" s="13" t="n">
        <f aca="false">жовтень!G185</f>
        <v>50</v>
      </c>
      <c r="H185" s="13" t="n">
        <f aca="false">жовтень!H185</f>
        <v>0</v>
      </c>
      <c r="I185" s="13" t="n">
        <f aca="false">жовтень!I185</f>
        <v>4.1</v>
      </c>
      <c r="J185" s="14" t="n">
        <f aca="false">ROUND(G185*I185,2)</f>
        <v>205</v>
      </c>
      <c r="K185" s="14"/>
      <c r="L185" s="14"/>
      <c r="M185" s="14"/>
      <c r="N185" s="14" t="n">
        <f aca="false">ROUND((G185*I185)-K185-L185-M185,2)</f>
        <v>205</v>
      </c>
      <c r="O185" s="14"/>
      <c r="P185" s="14" t="n">
        <f aca="false">ROUND(IF(D185=0,IF((N185-E185-O185)&gt;0,(N185-E185-O185),0),IF((D185+N185-O185)&gt;0,(D185+N185-O185),0)),2)</f>
        <v>2255</v>
      </c>
      <c r="Q185" s="14" t="n">
        <f aca="false">ROUND(IF(E185=0,IF((D185+N185-O185)&lt;0,ABS(D185+N185-O185),0),IF((N185-E185-O185)&lt;0,ABS(N185-E185-O185),0)),2)</f>
        <v>0</v>
      </c>
    </row>
    <row r="186" customFormat="false" ht="15" hidden="false" customHeight="true" outlineLevel="0" collapsed="false">
      <c r="A186" s="12" t="s">
        <v>554</v>
      </c>
      <c r="B186" s="12" t="str">
        <f aca="false">жовтень!B186</f>
        <v>Шаповалова І.А.</v>
      </c>
      <c r="C186" s="12" t="s">
        <v>556</v>
      </c>
      <c r="D186" s="14" t="n">
        <f aca="false">жовтень!P186</f>
        <v>7626.51</v>
      </c>
      <c r="E186" s="14" t="n">
        <f aca="false">жовтень!Q186</f>
        <v>0</v>
      </c>
      <c r="F186" s="13" t="n">
        <f aca="false">жовтень!F186</f>
        <v>0</v>
      </c>
      <c r="G186" s="13" t="n">
        <f aca="false">жовтень!G186</f>
        <v>35.1</v>
      </c>
      <c r="H186" s="13" t="n">
        <f aca="false">жовтень!H186</f>
        <v>0</v>
      </c>
      <c r="I186" s="13" t="n">
        <f aca="false">жовтень!I186</f>
        <v>4.1</v>
      </c>
      <c r="J186" s="14" t="n">
        <f aca="false">ROUND(G186*I186,2)</f>
        <v>143.91</v>
      </c>
      <c r="K186" s="14"/>
      <c r="L186" s="14"/>
      <c r="M186" s="14"/>
      <c r="N186" s="14" t="n">
        <f aca="false">ROUND((G186*I186)-K186-L186-M186,2)</f>
        <v>143.91</v>
      </c>
      <c r="O186" s="14"/>
      <c r="P186" s="14" t="n">
        <f aca="false">ROUND(IF(D186=0,IF((N186-E186-O186)&gt;0,(N186-E186-O186),0),IF((D186+N186-O186)&gt;0,(D186+N186-O186),0)),2)</f>
        <v>7770.42</v>
      </c>
      <c r="Q186" s="14" t="n">
        <f aca="false">ROUND(IF(E186=0,IF((D186+N186-O186)&lt;0,ABS(D186+N186-O186),0),IF((N186-E186-O186)&lt;0,ABS(N186-E186-O186),0)),2)</f>
        <v>0</v>
      </c>
    </row>
    <row r="187" customFormat="false" ht="15" hidden="false" customHeight="true" outlineLevel="0" collapsed="false">
      <c r="A187" s="12" t="s">
        <v>557</v>
      </c>
      <c r="B187" s="12" t="str">
        <f aca="false">жовтень!B187</f>
        <v>Кононенко О.В.</v>
      </c>
      <c r="C187" s="12" t="s">
        <v>559</v>
      </c>
      <c r="D187" s="14" t="n">
        <f aca="false">жовтень!P187</f>
        <v>4033.02</v>
      </c>
      <c r="E187" s="14" t="n">
        <f aca="false">жовтень!Q187</f>
        <v>0</v>
      </c>
      <c r="F187" s="13" t="n">
        <f aca="false">жовтень!F187</f>
        <v>0</v>
      </c>
      <c r="G187" s="13" t="n">
        <f aca="false">жовтень!G187</f>
        <v>61.8</v>
      </c>
      <c r="H187" s="13" t="n">
        <f aca="false">жовтень!H187</f>
        <v>0</v>
      </c>
      <c r="I187" s="13" t="n">
        <f aca="false">жовтень!I187</f>
        <v>4.1</v>
      </c>
      <c r="J187" s="14" t="n">
        <f aca="false">ROUND(G187*I187,2)</f>
        <v>253.38</v>
      </c>
      <c r="K187" s="14"/>
      <c r="L187" s="14"/>
      <c r="M187" s="14"/>
      <c r="N187" s="14" t="n">
        <f aca="false">ROUND((G187*I187)-K187-L187-M187,2)</f>
        <v>253.38</v>
      </c>
      <c r="O187" s="14"/>
      <c r="P187" s="14" t="n">
        <f aca="false">ROUND(IF(D187=0,IF((N187-E187-O187)&gt;0,(N187-E187-O187),0),IF((D187+N187-O187)&gt;0,(D187+N187-O187),0)),2)</f>
        <v>4286.4</v>
      </c>
      <c r="Q187" s="14" t="n">
        <f aca="false">ROUND(IF(E187=0,IF((D187+N187-O187)&lt;0,ABS(D187+N187-O187),0),IF((N187-E187-O187)&lt;0,ABS(N187-E187-O187),0)),2)</f>
        <v>0</v>
      </c>
    </row>
    <row r="188" customFormat="false" ht="15" hidden="false" customHeight="true" outlineLevel="0" collapsed="false">
      <c r="A188" s="12" t="s">
        <v>560</v>
      </c>
      <c r="B188" s="12" t="str">
        <f aca="false">жовтень!B188</f>
        <v>Овчаренко Т.І.</v>
      </c>
      <c r="C188" s="12" t="s">
        <v>562</v>
      </c>
      <c r="D188" s="14" t="n">
        <f aca="false">жовтень!P188</f>
        <v>2913.5</v>
      </c>
      <c r="E188" s="14" t="n">
        <f aca="false">жовтень!Q188</f>
        <v>0</v>
      </c>
      <c r="F188" s="13" t="n">
        <f aca="false">жовтень!F188</f>
        <v>0</v>
      </c>
      <c r="G188" s="13" t="n">
        <f aca="false">жовтень!G188</f>
        <v>71.06</v>
      </c>
      <c r="H188" s="13" t="n">
        <f aca="false">жовтень!H188</f>
        <v>0</v>
      </c>
      <c r="I188" s="13" t="n">
        <f aca="false">жовтень!I188</f>
        <v>4.1</v>
      </c>
      <c r="J188" s="14" t="n">
        <f aca="false">ROUND(G188*I188,2)</f>
        <v>291.35</v>
      </c>
      <c r="K188" s="14"/>
      <c r="L188" s="14"/>
      <c r="M188" s="14"/>
      <c r="N188" s="14" t="n">
        <f aca="false">ROUND((G188*I188)-K188-L188-M188,2)</f>
        <v>291.35</v>
      </c>
      <c r="O188" s="14"/>
      <c r="P188" s="14" t="n">
        <f aca="false">ROUND(IF(D188=0,IF((N188-E188-O188)&gt;0,(N188-E188-O188),0),IF((D188+N188-O188)&gt;0,(D188+N188-O188),0)),2)</f>
        <v>3204.85</v>
      </c>
      <c r="Q188" s="14" t="n">
        <f aca="false">ROUND(IF(E188=0,IF((D188+N188-O188)&lt;0,ABS(D188+N188-O188),0),IF((N188-E188-O188)&lt;0,ABS(N188-E188-O188),0)),2)</f>
        <v>0</v>
      </c>
    </row>
    <row r="189" customFormat="false" ht="15" hidden="false" customHeight="true" outlineLevel="0" collapsed="false">
      <c r="A189" s="12" t="s">
        <v>563</v>
      </c>
      <c r="B189" s="12" t="str">
        <f aca="false">жовтень!B189</f>
        <v>Попукайло О.Г.</v>
      </c>
      <c r="C189" s="12" t="s">
        <v>565</v>
      </c>
      <c r="D189" s="14" t="n">
        <f aca="false">жовтень!P189</f>
        <v>6769.92</v>
      </c>
      <c r="E189" s="14" t="n">
        <f aca="false">жовтень!Q189</f>
        <v>0</v>
      </c>
      <c r="F189" s="13" t="n">
        <f aca="false">жовтень!F189</f>
        <v>0</v>
      </c>
      <c r="G189" s="13" t="n">
        <f aca="false">жовтень!G189</f>
        <v>49.15</v>
      </c>
      <c r="H189" s="13" t="n">
        <f aca="false">жовтень!H189</f>
        <v>0</v>
      </c>
      <c r="I189" s="13" t="n">
        <f aca="false">жовтень!I189</f>
        <v>4.1</v>
      </c>
      <c r="J189" s="14" t="n">
        <f aca="false">ROUND(G189*I189,2)</f>
        <v>201.52</v>
      </c>
      <c r="K189" s="14"/>
      <c r="L189" s="14"/>
      <c r="M189" s="14"/>
      <c r="N189" s="14" t="n">
        <f aca="false">ROUND((G189*I189)-K189-L189-M189,2)</f>
        <v>201.52</v>
      </c>
      <c r="O189" s="14"/>
      <c r="P189" s="14" t="n">
        <f aca="false">ROUND(IF(D189=0,IF((N189-E189-O189)&gt;0,(N189-E189-O189),0),IF((D189+N189-O189)&gt;0,(D189+N189-O189),0)),2)</f>
        <v>6971.44</v>
      </c>
      <c r="Q189" s="14" t="n">
        <f aca="false">ROUND(IF(E189=0,IF((D189+N189-O189)&lt;0,ABS(D189+N189-O189),0),IF((N189-E189-O189)&lt;0,ABS(N189-E189-O189),0)),2)</f>
        <v>0</v>
      </c>
    </row>
    <row r="190" customFormat="false" ht="15" hidden="false" customHeight="true" outlineLevel="0" collapsed="false">
      <c r="A190" s="12" t="s">
        <v>566</v>
      </c>
      <c r="B190" s="12" t="str">
        <f aca="false">жовтень!B190</f>
        <v>Онищенко А.В.</v>
      </c>
      <c r="C190" s="12" t="s">
        <v>568</v>
      </c>
      <c r="D190" s="14" t="n">
        <f aca="false">жовтень!P190</f>
        <v>8373.78</v>
      </c>
      <c r="E190" s="14" t="n">
        <f aca="false">жовтень!Q190</f>
        <v>0</v>
      </c>
      <c r="F190" s="13" t="n">
        <f aca="false">жовтень!F190</f>
        <v>0</v>
      </c>
      <c r="G190" s="13" t="n">
        <f aca="false">жовтень!G190</f>
        <v>53.72</v>
      </c>
      <c r="H190" s="13" t="n">
        <f aca="false">жовтень!H190</f>
        <v>0</v>
      </c>
      <c r="I190" s="13" t="n">
        <f aca="false">жовтень!I190</f>
        <v>4.1</v>
      </c>
      <c r="J190" s="14" t="n">
        <f aca="false">ROUND(G190*I190,2)</f>
        <v>220.25</v>
      </c>
      <c r="K190" s="14"/>
      <c r="L190" s="14"/>
      <c r="M190" s="14"/>
      <c r="N190" s="14" t="n">
        <f aca="false">ROUND((G190*I190)-K190-L190-M190,2)</f>
        <v>220.25</v>
      </c>
      <c r="O190" s="14"/>
      <c r="P190" s="14" t="n">
        <f aca="false">ROUND(IF(D190=0,IF((N190-E190-O190)&gt;0,(N190-E190-O190),0),IF((D190+N190-O190)&gt;0,(D190+N190-O190),0)),2)</f>
        <v>8594.03</v>
      </c>
      <c r="Q190" s="14" t="n">
        <f aca="false">ROUND(IF(E190=0,IF((D190+N190-O190)&lt;0,ABS(D190+N190-O190),0),IF((N190-E190-O190)&lt;0,ABS(N190-E190-O190),0)),2)</f>
        <v>0</v>
      </c>
    </row>
    <row r="191" customFormat="false" ht="15" hidden="false" customHeight="true" outlineLevel="0" collapsed="false">
      <c r="A191" s="12" t="s">
        <v>569</v>
      </c>
      <c r="B191" s="12" t="str">
        <f aca="false">жовтень!B191</f>
        <v>Соколова О.О.</v>
      </c>
      <c r="C191" s="12" t="s">
        <v>571</v>
      </c>
      <c r="D191" s="14" t="n">
        <f aca="false">жовтень!P191</f>
        <v>3110.58</v>
      </c>
      <c r="E191" s="14" t="n">
        <f aca="false">жовтень!Q191</f>
        <v>0</v>
      </c>
      <c r="F191" s="13" t="n">
        <f aca="false">жовтень!F191</f>
        <v>0</v>
      </c>
      <c r="G191" s="13" t="n">
        <f aca="false">жовтень!G191</f>
        <v>68.97</v>
      </c>
      <c r="H191" s="13" t="n">
        <f aca="false">жовтень!H191</f>
        <v>0</v>
      </c>
      <c r="I191" s="13" t="n">
        <f aca="false">жовтень!I191</f>
        <v>4.1</v>
      </c>
      <c r="J191" s="14" t="n">
        <f aca="false">ROUND(G191*I191,2)</f>
        <v>282.78</v>
      </c>
      <c r="K191" s="14"/>
      <c r="L191" s="14"/>
      <c r="M191" s="14"/>
      <c r="N191" s="14" t="n">
        <f aca="false">ROUND((G191*I191)-K191-L191-M191,2)</f>
        <v>282.78</v>
      </c>
      <c r="O191" s="14"/>
      <c r="P191" s="14" t="n">
        <f aca="false">ROUND(IF(D191=0,IF((N191-E191-O191)&gt;0,(N191-E191-O191),0),IF((D191+N191-O191)&gt;0,(D191+N191-O191),0)),2)</f>
        <v>3393.36</v>
      </c>
      <c r="Q191" s="14" t="n">
        <f aca="false">ROUND(IF(E191=0,IF((D191+N191-O191)&lt;0,ABS(D191+N191-O191),0),IF((N191-E191-O191)&lt;0,ABS(N191-E191-O191),0)),2)</f>
        <v>0</v>
      </c>
    </row>
    <row r="192" customFormat="false" ht="15" hidden="false" customHeight="true" outlineLevel="0" collapsed="false">
      <c r="A192" s="12" t="s">
        <v>572</v>
      </c>
      <c r="B192" s="12" t="str">
        <f aca="false">жовтень!B192</f>
        <v>Ільіна В.П.</v>
      </c>
      <c r="C192" s="12" t="s">
        <v>574</v>
      </c>
      <c r="D192" s="14" t="n">
        <f aca="false">жовтень!P192</f>
        <v>10066.45</v>
      </c>
      <c r="E192" s="14" t="n">
        <f aca="false">жовтень!Q192</f>
        <v>0</v>
      </c>
      <c r="F192" s="13" t="n">
        <f aca="false">жовтень!F192</f>
        <v>0</v>
      </c>
      <c r="G192" s="13" t="n">
        <f aca="false">жовтень!G192</f>
        <v>49.86</v>
      </c>
      <c r="H192" s="13" t="n">
        <f aca="false">жовтень!H192</f>
        <v>0</v>
      </c>
      <c r="I192" s="13" t="n">
        <f aca="false">жовтень!I192</f>
        <v>4.1</v>
      </c>
      <c r="J192" s="14" t="n">
        <f aca="false">ROUND(G192*I192,2)</f>
        <v>204.43</v>
      </c>
      <c r="K192" s="14"/>
      <c r="L192" s="14"/>
      <c r="M192" s="14"/>
      <c r="N192" s="14" t="n">
        <f aca="false">ROUND((G192*I192)-K192-L192-M192,2)</f>
        <v>204.43</v>
      </c>
      <c r="O192" s="14"/>
      <c r="P192" s="14" t="n">
        <f aca="false">ROUND(IF(D192=0,IF((N192-E192-O192)&gt;0,(N192-E192-O192),0),IF((D192+N192-O192)&gt;0,(D192+N192-O192),0)),2)</f>
        <v>10270.88</v>
      </c>
      <c r="Q192" s="14" t="n">
        <f aca="false">ROUND(IF(E192=0,IF((D192+N192-O192)&lt;0,ABS(D192+N192-O192),0),IF((N192-E192-O192)&lt;0,ABS(N192-E192-O192),0)),2)</f>
        <v>0</v>
      </c>
    </row>
    <row r="193" customFormat="false" ht="15" hidden="false" customHeight="true" outlineLevel="0" collapsed="false">
      <c r="A193" s="12" t="s">
        <v>575</v>
      </c>
      <c r="B193" s="12" t="str">
        <f aca="false">жовтень!B193</f>
        <v>Чешок Г.К.</v>
      </c>
      <c r="C193" s="12" t="s">
        <v>577</v>
      </c>
      <c r="D193" s="14" t="n">
        <f aca="false">жовтень!P193</f>
        <v>14381.75</v>
      </c>
      <c r="E193" s="14" t="n">
        <f aca="false">жовтень!Q193</f>
        <v>0</v>
      </c>
      <c r="F193" s="13" t="n">
        <f aca="false">жовтень!F193</f>
        <v>0</v>
      </c>
      <c r="G193" s="13" t="n">
        <f aca="false">жовтень!G193</f>
        <v>60.86</v>
      </c>
      <c r="H193" s="13" t="n">
        <f aca="false">жовтень!H193</f>
        <v>0</v>
      </c>
      <c r="I193" s="13" t="n">
        <f aca="false">жовтень!I193</f>
        <v>4.1</v>
      </c>
      <c r="J193" s="14" t="n">
        <f aca="false">ROUND(G193*I193,2)</f>
        <v>249.53</v>
      </c>
      <c r="K193" s="14"/>
      <c r="L193" s="14"/>
      <c r="M193" s="14"/>
      <c r="N193" s="14" t="n">
        <f aca="false">ROUND((G193*I193)-K193-L193-M193,2)</f>
        <v>249.53</v>
      </c>
      <c r="O193" s="14"/>
      <c r="P193" s="14" t="n">
        <f aca="false">ROUND(IF(D193=0,IF((N193-E193-O193)&gt;0,(N193-E193-O193),0),IF((D193+N193-O193)&gt;0,(D193+N193-O193),0)),2)</f>
        <v>14631.28</v>
      </c>
      <c r="Q193" s="14" t="n">
        <f aca="false">ROUND(IF(E193=0,IF((D193+N193-O193)&lt;0,ABS(D193+N193-O193),0),IF((N193-E193-O193)&lt;0,ABS(N193-E193-O193),0)),2)</f>
        <v>0</v>
      </c>
    </row>
    <row r="194" customFormat="false" ht="15" hidden="false" customHeight="true" outlineLevel="0" collapsed="false">
      <c r="A194" s="12" t="s">
        <v>578</v>
      </c>
      <c r="B194" s="12" t="str">
        <f aca="false">жовтень!B194</f>
        <v>Бердников В.А.</v>
      </c>
      <c r="C194" s="12" t="s">
        <v>580</v>
      </c>
      <c r="D194" s="14" t="n">
        <f aca="false">жовтень!P194</f>
        <v>11108.91</v>
      </c>
      <c r="E194" s="14" t="n">
        <f aca="false">жовтень!Q194</f>
        <v>0</v>
      </c>
      <c r="F194" s="13" t="n">
        <f aca="false">жовтень!F194</f>
        <v>0</v>
      </c>
      <c r="G194" s="13" t="n">
        <f aca="false">жовтень!G194</f>
        <v>66.75</v>
      </c>
      <c r="H194" s="13" t="n">
        <f aca="false">жовтень!H194</f>
        <v>0</v>
      </c>
      <c r="I194" s="13" t="n">
        <f aca="false">жовтень!I194</f>
        <v>4.1</v>
      </c>
      <c r="J194" s="14" t="n">
        <f aca="false">ROUND(G194*I194,2)</f>
        <v>273.68</v>
      </c>
      <c r="K194" s="14"/>
      <c r="L194" s="14"/>
      <c r="M194" s="14"/>
      <c r="N194" s="14" t="n">
        <f aca="false">ROUND((G194*I194)-K194-L194-M194,2)</f>
        <v>273.68</v>
      </c>
      <c r="O194" s="14"/>
      <c r="P194" s="14" t="n">
        <f aca="false">ROUND(IF(D194=0,IF((N194-E194-O194)&gt;0,(N194-E194-O194),0),IF((D194+N194-O194)&gt;0,(D194+N194-O194),0)),2)</f>
        <v>11382.59</v>
      </c>
      <c r="Q194" s="14" t="n">
        <f aca="false">ROUND(IF(E194=0,IF((D194+N194-O194)&lt;0,ABS(D194+N194-O194),0),IF((N194-E194-O194)&lt;0,ABS(N194-E194-O194),0)),2)</f>
        <v>0</v>
      </c>
    </row>
    <row r="195" customFormat="false" ht="15" hidden="false" customHeight="true" outlineLevel="0" collapsed="false">
      <c r="A195" s="12" t="s">
        <v>581</v>
      </c>
      <c r="B195" s="12" t="str">
        <f aca="false">жовтень!B195</f>
        <v>Щербак Н.В.</v>
      </c>
      <c r="C195" s="12" t="s">
        <v>583</v>
      </c>
      <c r="D195" s="14" t="n">
        <f aca="false">жовтень!P195</f>
        <v>16049.24</v>
      </c>
      <c r="E195" s="14" t="n">
        <f aca="false">жовтень!Q195</f>
        <v>0</v>
      </c>
      <c r="F195" s="13" t="n">
        <f aca="false">жовтень!F195</f>
        <v>0</v>
      </c>
      <c r="G195" s="13" t="n">
        <f aca="false">жовтень!G195</f>
        <v>72.49</v>
      </c>
      <c r="H195" s="13" t="n">
        <f aca="false">жовтень!H195</f>
        <v>0</v>
      </c>
      <c r="I195" s="13" t="n">
        <f aca="false">жовтень!I195</f>
        <v>4.1</v>
      </c>
      <c r="J195" s="14" t="n">
        <f aca="false">ROUND(G195*I195,2)</f>
        <v>297.21</v>
      </c>
      <c r="K195" s="14"/>
      <c r="L195" s="14"/>
      <c r="M195" s="14"/>
      <c r="N195" s="14" t="n">
        <f aca="false">ROUND((G195*I195)-K195-L195-M195,2)</f>
        <v>297.21</v>
      </c>
      <c r="O195" s="14"/>
      <c r="P195" s="14" t="n">
        <f aca="false">ROUND(IF(D195=0,IF((N195-E195-O195)&gt;0,(N195-E195-O195),0),IF((D195+N195-O195)&gt;0,(D195+N195-O195),0)),2)</f>
        <v>16346.45</v>
      </c>
      <c r="Q195" s="14" t="n">
        <f aca="false">ROUND(IF(E195=0,IF((D195+N195-O195)&lt;0,ABS(D195+N195-O195),0),IF((N195-E195-O195)&lt;0,ABS(N195-E195-O195),0)),2)</f>
        <v>0</v>
      </c>
    </row>
    <row r="196" customFormat="false" ht="15" hidden="false" customHeight="true" outlineLevel="0" collapsed="false">
      <c r="A196" s="12" t="s">
        <v>584</v>
      </c>
      <c r="B196" s="12" t="str">
        <f aca="false">жовтень!B196</f>
        <v>Рожков Ю.М.</v>
      </c>
      <c r="C196" s="12" t="s">
        <v>586</v>
      </c>
      <c r="D196" s="14" t="n">
        <f aca="false">жовтень!P196</f>
        <v>1983.98</v>
      </c>
      <c r="E196" s="14" t="n">
        <f aca="false">жовтень!Q196</f>
        <v>0</v>
      </c>
      <c r="F196" s="13" t="n">
        <f aca="false">жовтень!F196</f>
        <v>0</v>
      </c>
      <c r="G196" s="13" t="n">
        <f aca="false">жовтень!G196</f>
        <v>49.8</v>
      </c>
      <c r="H196" s="13" t="n">
        <f aca="false">жовтень!H196</f>
        <v>0</v>
      </c>
      <c r="I196" s="13" t="n">
        <f aca="false">жовтень!I196</f>
        <v>4.1</v>
      </c>
      <c r="J196" s="14" t="n">
        <f aca="false">ROUND(G196*I196,2)</f>
        <v>204.18</v>
      </c>
      <c r="K196" s="14"/>
      <c r="L196" s="14"/>
      <c r="M196" s="14"/>
      <c r="N196" s="14" t="n">
        <f aca="false">ROUND((G196*I196)-K196-L196-M196,2)</f>
        <v>204.18</v>
      </c>
      <c r="O196" s="14"/>
      <c r="P196" s="14" t="n">
        <f aca="false">ROUND(IF(D196=0,IF((N196-E196-O196)&gt;0,(N196-E196-O196),0),IF((D196+N196-O196)&gt;0,(D196+N196-O196),0)),2)</f>
        <v>2188.16</v>
      </c>
      <c r="Q196" s="14" t="n">
        <f aca="false">ROUND(IF(E196=0,IF((D196+N196-O196)&lt;0,ABS(D196+N196-O196),0),IF((N196-E196-O196)&lt;0,ABS(N196-E196-O196),0)),2)</f>
        <v>0</v>
      </c>
    </row>
    <row r="197" customFormat="false" ht="15" hidden="false" customHeight="true" outlineLevel="0" collapsed="false">
      <c r="A197" s="12" t="s">
        <v>587</v>
      </c>
      <c r="B197" s="12" t="str">
        <f aca="false">жовтень!B197</f>
        <v>Кобець В.В.</v>
      </c>
      <c r="C197" s="12" t="s">
        <v>589</v>
      </c>
      <c r="D197" s="14" t="n">
        <f aca="false">жовтень!P197</f>
        <v>9796.07</v>
      </c>
      <c r="E197" s="14" t="n">
        <f aca="false">жовтень!Q197</f>
        <v>0</v>
      </c>
      <c r="F197" s="13" t="n">
        <f aca="false">жовтень!F197</f>
        <v>0</v>
      </c>
      <c r="G197" s="13" t="n">
        <f aca="false">жовтень!G197</f>
        <v>62.36</v>
      </c>
      <c r="H197" s="13" t="n">
        <f aca="false">жовтень!H197</f>
        <v>0</v>
      </c>
      <c r="I197" s="13" t="n">
        <f aca="false">жовтень!I197</f>
        <v>4.1</v>
      </c>
      <c r="J197" s="14" t="n">
        <f aca="false">ROUND(G197*I197,2)</f>
        <v>255.68</v>
      </c>
      <c r="K197" s="14"/>
      <c r="L197" s="14"/>
      <c r="M197" s="14"/>
      <c r="N197" s="14" t="n">
        <f aca="false">ROUND((G197*I197)-K197-L197-M197,2)</f>
        <v>255.68</v>
      </c>
      <c r="O197" s="14"/>
      <c r="P197" s="14" t="n">
        <f aca="false">ROUND(IF(D197=0,IF((N197-E197-O197)&gt;0,(N197-E197-O197),0),IF((D197+N197-O197)&gt;0,(D197+N197-O197),0)),2)</f>
        <v>10051.75</v>
      </c>
      <c r="Q197" s="14" t="n">
        <f aca="false">ROUND(IF(E197=0,IF((D197+N197-O197)&lt;0,ABS(D197+N197-O197),0),IF((N197-E197-O197)&lt;0,ABS(N197-E197-O197),0)),2)</f>
        <v>0</v>
      </c>
    </row>
    <row r="198" customFormat="false" ht="15" hidden="false" customHeight="true" outlineLevel="0" collapsed="false">
      <c r="A198" s="12" t="s">
        <v>590</v>
      </c>
      <c r="B198" s="12" t="str">
        <f aca="false">жовтень!B198</f>
        <v>Щерба Л.О.</v>
      </c>
      <c r="C198" s="12" t="s">
        <v>592</v>
      </c>
      <c r="D198" s="14" t="n">
        <f aca="false">жовтень!P198</f>
        <v>2808.5</v>
      </c>
      <c r="E198" s="14" t="n">
        <f aca="false">жовтень!Q198</f>
        <v>0</v>
      </c>
      <c r="F198" s="13" t="n">
        <f aca="false">жовтень!F198</f>
        <v>0</v>
      </c>
      <c r="G198" s="13" t="n">
        <f aca="false">жовтень!G198</f>
        <v>68.5</v>
      </c>
      <c r="H198" s="13" t="n">
        <f aca="false">жовтень!H198</f>
        <v>0</v>
      </c>
      <c r="I198" s="13" t="n">
        <f aca="false">жовтень!I198</f>
        <v>4.1</v>
      </c>
      <c r="J198" s="14" t="n">
        <f aca="false">ROUND(G198*I198,2)</f>
        <v>280.85</v>
      </c>
      <c r="K198" s="14"/>
      <c r="L198" s="14"/>
      <c r="M198" s="14"/>
      <c r="N198" s="14" t="n">
        <f aca="false">ROUND((G198*I198)-K198-L198-M198,2)</f>
        <v>280.85</v>
      </c>
      <c r="O198" s="14"/>
      <c r="P198" s="14" t="n">
        <f aca="false">ROUND(IF(D198=0,IF((N198-E198-O198)&gt;0,(N198-E198-O198),0),IF((D198+N198-O198)&gt;0,(D198+N198-O198),0)),2)</f>
        <v>3089.35</v>
      </c>
      <c r="Q198" s="14" t="n">
        <f aca="false">ROUND(IF(E198=0,IF((D198+N198-O198)&lt;0,ABS(D198+N198-O198),0),IF((N198-E198-O198)&lt;0,ABS(N198-E198-O198),0)),2)</f>
        <v>0</v>
      </c>
    </row>
    <row r="199" customFormat="false" ht="15" hidden="false" customHeight="true" outlineLevel="0" collapsed="false">
      <c r="A199" s="12" t="s">
        <v>593</v>
      </c>
      <c r="B199" s="12" t="str">
        <f aca="false">жовтень!B199</f>
        <v>Сапунова І.В.</v>
      </c>
      <c r="C199" s="12" t="s">
        <v>595</v>
      </c>
      <c r="D199" s="14" t="n">
        <f aca="false">жовтень!P199</f>
        <v>13899.52</v>
      </c>
      <c r="E199" s="14" t="n">
        <f aca="false">жовтень!Q199</f>
        <v>0</v>
      </c>
      <c r="F199" s="13" t="n">
        <f aca="false">жовтень!F199</f>
        <v>0</v>
      </c>
      <c r="G199" s="13" t="n">
        <f aca="false">жовтень!G199</f>
        <v>70.42</v>
      </c>
      <c r="H199" s="13" t="n">
        <f aca="false">жовтень!H199</f>
        <v>0</v>
      </c>
      <c r="I199" s="13" t="n">
        <f aca="false">жовтень!I199</f>
        <v>4.1</v>
      </c>
      <c r="J199" s="14" t="n">
        <f aca="false">ROUND(G199*I199,2)</f>
        <v>288.72</v>
      </c>
      <c r="K199" s="14"/>
      <c r="L199" s="14"/>
      <c r="M199" s="14"/>
      <c r="N199" s="14" t="n">
        <f aca="false">ROUND((G199*I199)-K199-L199-M199,2)</f>
        <v>288.72</v>
      </c>
      <c r="O199" s="14"/>
      <c r="P199" s="14" t="n">
        <f aca="false">ROUND(IF(D199=0,IF((N199-E199-O199)&gt;0,(N199-E199-O199),0),IF((D199+N199-O199)&gt;0,(D199+N199-O199),0)),2)</f>
        <v>14188.24</v>
      </c>
      <c r="Q199" s="14" t="n">
        <f aca="false">ROUND(IF(E199=0,IF((D199+N199-O199)&lt;0,ABS(D199+N199-O199),0),IF((N199-E199-O199)&lt;0,ABS(N199-E199-O199),0)),2)</f>
        <v>0</v>
      </c>
    </row>
    <row r="200" customFormat="false" ht="15" hidden="false" customHeight="true" outlineLevel="0" collapsed="false">
      <c r="A200" s="12" t="s">
        <v>596</v>
      </c>
      <c r="B200" s="12" t="str">
        <f aca="false">жовтень!B200</f>
        <v>Саввідіс В.О.</v>
      </c>
      <c r="C200" s="12" t="s">
        <v>598</v>
      </c>
      <c r="D200" s="14" t="n">
        <f aca="false">жовтень!P200</f>
        <v>12116.44</v>
      </c>
      <c r="E200" s="14" t="n">
        <f aca="false">жовтень!Q200</f>
        <v>0</v>
      </c>
      <c r="F200" s="13" t="n">
        <f aca="false">жовтень!F200</f>
        <v>0</v>
      </c>
      <c r="G200" s="13" t="n">
        <f aca="false">жовтень!G200</f>
        <v>49.7</v>
      </c>
      <c r="H200" s="13" t="n">
        <f aca="false">жовтень!H200</f>
        <v>0</v>
      </c>
      <c r="I200" s="13" t="n">
        <f aca="false">жовтень!I200</f>
        <v>4.1</v>
      </c>
      <c r="J200" s="14" t="n">
        <f aca="false">ROUND(G200*I200,2)</f>
        <v>203.77</v>
      </c>
      <c r="K200" s="14"/>
      <c r="L200" s="14"/>
      <c r="M200" s="14"/>
      <c r="N200" s="14" t="n">
        <f aca="false">ROUND((G200*I200)-K200-L200-M200,2)</f>
        <v>203.77</v>
      </c>
      <c r="O200" s="14"/>
      <c r="P200" s="14" t="n">
        <f aca="false">ROUND(IF(D200=0,IF((N200-E200-O200)&gt;0,(N200-E200-O200),0),IF((D200+N200-O200)&gt;0,(D200+N200-O200),0)),2)</f>
        <v>12320.21</v>
      </c>
      <c r="Q200" s="14" t="n">
        <f aca="false">ROUND(IF(E200=0,IF((D200+N200-O200)&lt;0,ABS(D200+N200-O200),0),IF((N200-E200-O200)&lt;0,ABS(N200-E200-O200),0)),2)</f>
        <v>0</v>
      </c>
    </row>
    <row r="201" customFormat="false" ht="15" hidden="false" customHeight="true" outlineLevel="0" collapsed="false">
      <c r="A201" s="12" t="s">
        <v>599</v>
      </c>
      <c r="B201" s="12" t="str">
        <f aca="false">жовтень!B201</f>
        <v>Кашина Г.І.</v>
      </c>
      <c r="C201" s="12" t="s">
        <v>601</v>
      </c>
      <c r="D201" s="14" t="n">
        <f aca="false">жовтень!P201</f>
        <v>14629.62</v>
      </c>
      <c r="E201" s="14" t="n">
        <f aca="false">жовтень!Q201</f>
        <v>0</v>
      </c>
      <c r="F201" s="13" t="n">
        <f aca="false">жовтень!F201</f>
        <v>0</v>
      </c>
      <c r="G201" s="13" t="n">
        <f aca="false">жовтень!G201</f>
        <v>62.6</v>
      </c>
      <c r="H201" s="13" t="n">
        <f aca="false">жовтень!H201</f>
        <v>0</v>
      </c>
      <c r="I201" s="13" t="n">
        <f aca="false">жовтень!I201</f>
        <v>4.1</v>
      </c>
      <c r="J201" s="14" t="n">
        <f aca="false">ROUND(G201*I201,2)</f>
        <v>256.66</v>
      </c>
      <c r="K201" s="14"/>
      <c r="L201" s="14"/>
      <c r="M201" s="14"/>
      <c r="N201" s="14" t="n">
        <f aca="false">ROUND((G201*I201)-K201-L201-M201,2)</f>
        <v>256.66</v>
      </c>
      <c r="O201" s="14"/>
      <c r="P201" s="14" t="n">
        <f aca="false">ROUND(IF(D201=0,IF((N201-E201-O201)&gt;0,(N201-E201-O201),0),IF((D201+N201-O201)&gt;0,(D201+N201-O201),0)),2)</f>
        <v>14886.28</v>
      </c>
      <c r="Q201" s="14" t="n">
        <f aca="false">ROUND(IF(E201=0,IF((D201+N201-O201)&lt;0,ABS(D201+N201-O201),0),IF((N201-E201-O201)&lt;0,ABS(N201-E201-O201),0)),2)</f>
        <v>0</v>
      </c>
    </row>
    <row r="202" customFormat="false" ht="15" hidden="false" customHeight="true" outlineLevel="0" collapsed="false">
      <c r="A202" s="12" t="s">
        <v>602</v>
      </c>
      <c r="B202" s="12" t="str">
        <f aca="false">жовтень!B202</f>
        <v>Фадеєва Є.А.</v>
      </c>
      <c r="C202" s="12" t="s">
        <v>604</v>
      </c>
      <c r="D202" s="14" t="n">
        <f aca="false">жовтень!P202</f>
        <v>2886.4</v>
      </c>
      <c r="E202" s="14" t="n">
        <f aca="false">жовтень!Q202</f>
        <v>0</v>
      </c>
      <c r="F202" s="13" t="n">
        <f aca="false">жовтень!F202</f>
        <v>0</v>
      </c>
      <c r="G202" s="13" t="n">
        <f aca="false">жовтень!G202</f>
        <v>70.4</v>
      </c>
      <c r="H202" s="13" t="n">
        <f aca="false">жовтень!H202</f>
        <v>0</v>
      </c>
      <c r="I202" s="13" t="n">
        <f aca="false">жовтень!I202</f>
        <v>4.1</v>
      </c>
      <c r="J202" s="14" t="n">
        <f aca="false">ROUND(G202*I202,2)</f>
        <v>288.64</v>
      </c>
      <c r="K202" s="14"/>
      <c r="L202" s="14"/>
      <c r="M202" s="14"/>
      <c r="N202" s="14" t="n">
        <f aca="false">ROUND((G202*I202)-K202-L202-M202,2)</f>
        <v>288.64</v>
      </c>
      <c r="O202" s="14"/>
      <c r="P202" s="14" t="n">
        <f aca="false">ROUND(IF(D202=0,IF((N202-E202-O202)&gt;0,(N202-E202-O202),0),IF((D202+N202-O202)&gt;0,(D202+N202-O202),0)),2)</f>
        <v>3175.04</v>
      </c>
      <c r="Q202" s="14" t="n">
        <f aca="false">ROUND(IF(E202=0,IF((D202+N202-O202)&lt;0,ABS(D202+N202-O202),0),IF((N202-E202-O202)&lt;0,ABS(N202-E202-O202),0)),2)</f>
        <v>0</v>
      </c>
    </row>
    <row r="203" customFormat="false" ht="15" hidden="false" customHeight="true" outlineLevel="0" collapsed="false">
      <c r="A203" s="12" t="s">
        <v>605</v>
      </c>
      <c r="B203" s="12" t="str">
        <f aca="false">жовтень!B203</f>
        <v>Бойко О.А.</v>
      </c>
      <c r="C203" s="12" t="s">
        <v>607</v>
      </c>
      <c r="D203" s="14" t="n">
        <f aca="false">жовтень!P203</f>
        <v>2878.2</v>
      </c>
      <c r="E203" s="14" t="n">
        <f aca="false">жовтень!Q203</f>
        <v>0</v>
      </c>
      <c r="F203" s="13" t="n">
        <f aca="false">жовтень!F203</f>
        <v>0</v>
      </c>
      <c r="G203" s="13" t="n">
        <f aca="false">жовтень!G203</f>
        <v>70.2</v>
      </c>
      <c r="H203" s="13" t="n">
        <f aca="false">жовтень!H203</f>
        <v>0</v>
      </c>
      <c r="I203" s="13" t="n">
        <f aca="false">жовтень!I203</f>
        <v>4.1</v>
      </c>
      <c r="J203" s="14" t="n">
        <f aca="false">ROUND(G203*I203,2)</f>
        <v>287.82</v>
      </c>
      <c r="K203" s="14"/>
      <c r="L203" s="14"/>
      <c r="M203" s="14"/>
      <c r="N203" s="14" t="n">
        <f aca="false">ROUND((G203*I203)-K203-L203-M203,2)</f>
        <v>287.82</v>
      </c>
      <c r="O203" s="14"/>
      <c r="P203" s="14" t="n">
        <f aca="false">ROUND(IF(D203=0,IF((N203-E203-O203)&gt;0,(N203-E203-O203),0),IF((D203+N203-O203)&gt;0,(D203+N203-O203),0)),2)</f>
        <v>3166.02</v>
      </c>
      <c r="Q203" s="14" t="n">
        <f aca="false">ROUND(IF(E203=0,IF((D203+N203-O203)&lt;0,ABS(D203+N203-O203),0),IF((N203-E203-O203)&lt;0,ABS(N203-E203-O203),0)),2)</f>
        <v>0</v>
      </c>
    </row>
    <row r="204" customFormat="false" ht="15" hidden="false" customHeight="true" outlineLevel="0" collapsed="false">
      <c r="A204" s="12" t="s">
        <v>608</v>
      </c>
      <c r="B204" s="12" t="str">
        <f aca="false">жовтень!B204</f>
        <v>Дудник І.А.</v>
      </c>
      <c r="C204" s="12" t="s">
        <v>610</v>
      </c>
      <c r="D204" s="14" t="n">
        <f aca="false">жовтень!P204</f>
        <v>11107.77</v>
      </c>
      <c r="E204" s="14" t="n">
        <f aca="false">жовтень!Q204</f>
        <v>0</v>
      </c>
      <c r="F204" s="13" t="n">
        <f aca="false">жовтень!F204</f>
        <v>0</v>
      </c>
      <c r="G204" s="13" t="n">
        <f aca="false">жовтень!G204</f>
        <v>49.94</v>
      </c>
      <c r="H204" s="13" t="n">
        <f aca="false">жовтень!H204</f>
        <v>0</v>
      </c>
      <c r="I204" s="13" t="n">
        <f aca="false">жовтень!I204</f>
        <v>4.1</v>
      </c>
      <c r="J204" s="14" t="n">
        <f aca="false">ROUND(G204*I204,2)</f>
        <v>204.75</v>
      </c>
      <c r="K204" s="14"/>
      <c r="L204" s="14"/>
      <c r="M204" s="14"/>
      <c r="N204" s="14" t="n">
        <f aca="false">ROUND((G204*I204)-K204-L204-M204,2)</f>
        <v>204.75</v>
      </c>
      <c r="O204" s="14"/>
      <c r="P204" s="14" t="n">
        <f aca="false">ROUND(IF(D204=0,IF((N204-E204-O204)&gt;0,(N204-E204-O204),0),IF((D204+N204-O204)&gt;0,(D204+N204-O204),0)),2)</f>
        <v>11312.52</v>
      </c>
      <c r="Q204" s="14" t="n">
        <f aca="false">ROUND(IF(E204=0,IF((D204+N204-O204)&lt;0,ABS(D204+N204-O204),0),IF((N204-E204-O204)&lt;0,ABS(N204-E204-O204),0)),2)</f>
        <v>0</v>
      </c>
    </row>
    <row r="205" customFormat="false" ht="15" hidden="false" customHeight="true" outlineLevel="0" collapsed="false">
      <c r="A205" s="12" t="s">
        <v>611</v>
      </c>
      <c r="B205" s="12" t="str">
        <f aca="false">жовтень!B205</f>
        <v>Лебедєва Т.В.</v>
      </c>
      <c r="C205" s="12" t="s">
        <v>613</v>
      </c>
      <c r="D205" s="14" t="n">
        <f aca="false">жовтень!P205</f>
        <v>12511.5</v>
      </c>
      <c r="E205" s="14" t="n">
        <f aca="false">жовтень!Q205</f>
        <v>0</v>
      </c>
      <c r="F205" s="13" t="n">
        <f aca="false">жовтень!F205</f>
        <v>0</v>
      </c>
      <c r="G205" s="13" t="n">
        <f aca="false">жовтень!G205</f>
        <v>62.3</v>
      </c>
      <c r="H205" s="13" t="n">
        <f aca="false">жовтень!H205</f>
        <v>0</v>
      </c>
      <c r="I205" s="13" t="n">
        <f aca="false">жовтень!I205</f>
        <v>4.1</v>
      </c>
      <c r="J205" s="14" t="n">
        <f aca="false">ROUND(G205*I205,2)</f>
        <v>255.43</v>
      </c>
      <c r="K205" s="14"/>
      <c r="L205" s="14"/>
      <c r="M205" s="14"/>
      <c r="N205" s="14" t="n">
        <f aca="false">ROUND((G205*I205)-K205-L205-M205,2)</f>
        <v>255.43</v>
      </c>
      <c r="O205" s="14"/>
      <c r="P205" s="14" t="n">
        <f aca="false">ROUND(IF(D205=0,IF((N205-E205-O205)&gt;0,(N205-E205-O205),0),IF((D205+N205-O205)&gt;0,(D205+N205-O205),0)),2)</f>
        <v>12766.93</v>
      </c>
      <c r="Q205" s="14" t="n">
        <f aca="false">ROUND(IF(E205=0,IF((D205+N205-O205)&lt;0,ABS(D205+N205-O205),0),IF((N205-E205-O205)&lt;0,ABS(N205-E205-O205),0)),2)</f>
        <v>0</v>
      </c>
    </row>
    <row r="206" customFormat="false" ht="15" hidden="false" customHeight="true" outlineLevel="0" collapsed="false">
      <c r="A206" s="12" t="s">
        <v>614</v>
      </c>
      <c r="B206" s="12" t="str">
        <f aca="false">жовтень!B206</f>
        <v>Криницький Л.С.</v>
      </c>
      <c r="C206" s="12" t="s">
        <v>616</v>
      </c>
      <c r="D206" s="14" t="n">
        <f aca="false">жовтень!P206</f>
        <v>2494.8</v>
      </c>
      <c r="E206" s="14" t="n">
        <f aca="false">жовтень!Q206</f>
        <v>0</v>
      </c>
      <c r="F206" s="13" t="n">
        <f aca="false">жовтень!F206</f>
        <v>0</v>
      </c>
      <c r="G206" s="13" t="n">
        <f aca="false">жовтень!G206</f>
        <v>67.61</v>
      </c>
      <c r="H206" s="13" t="n">
        <f aca="false">жовтень!H206</f>
        <v>0</v>
      </c>
      <c r="I206" s="13" t="n">
        <f aca="false">жовтень!I206</f>
        <v>4.1</v>
      </c>
      <c r="J206" s="14" t="n">
        <f aca="false">ROUND(G206*I206,2)</f>
        <v>277.2</v>
      </c>
      <c r="K206" s="14"/>
      <c r="L206" s="14"/>
      <c r="M206" s="14"/>
      <c r="N206" s="14" t="n">
        <f aca="false">ROUND((G206*I206)-K206-L206-M206,2)</f>
        <v>277.2</v>
      </c>
      <c r="O206" s="14"/>
      <c r="P206" s="14" t="n">
        <f aca="false">ROUND(IF(D206=0,IF((N206-E206-O206)&gt;0,(N206-E206-O206),0),IF((D206+N206-O206)&gt;0,(D206+N206-O206),0)),2)</f>
        <v>2772</v>
      </c>
      <c r="Q206" s="14" t="n">
        <f aca="false">ROUND(IF(E206=0,IF((D206+N206-O206)&lt;0,ABS(D206+N206-O206),0),IF((N206-E206-O206)&lt;0,ABS(N206-E206-O206),0)),2)</f>
        <v>0</v>
      </c>
    </row>
    <row r="207" customFormat="false" ht="15" hidden="false" customHeight="true" outlineLevel="0" collapsed="false">
      <c r="A207" s="12" t="s">
        <v>617</v>
      </c>
      <c r="B207" s="12" t="str">
        <f aca="false">жовтень!B207</f>
        <v>Сафонов В.В.</v>
      </c>
      <c r="C207" s="12" t="s">
        <v>619</v>
      </c>
      <c r="D207" s="14" t="n">
        <f aca="false">жовтень!P207</f>
        <v>15191.5</v>
      </c>
      <c r="E207" s="14" t="n">
        <f aca="false">жовтень!Q207</f>
        <v>0</v>
      </c>
      <c r="F207" s="13" t="n">
        <f aca="false">жовтень!F207</f>
        <v>0</v>
      </c>
      <c r="G207" s="13" t="n">
        <f aca="false">жовтень!G207</f>
        <v>70.38</v>
      </c>
      <c r="H207" s="13" t="n">
        <f aca="false">жовтень!H207</f>
        <v>0</v>
      </c>
      <c r="I207" s="13" t="n">
        <f aca="false">жовтень!I207</f>
        <v>4.1</v>
      </c>
      <c r="J207" s="14" t="n">
        <f aca="false">ROUND(G207*I207,2)</f>
        <v>288.56</v>
      </c>
      <c r="K207" s="14"/>
      <c r="L207" s="14"/>
      <c r="M207" s="14"/>
      <c r="N207" s="14" t="n">
        <f aca="false">ROUND((G207*I207)-K207-L207-M207,2)</f>
        <v>288.56</v>
      </c>
      <c r="O207" s="14"/>
      <c r="P207" s="14" t="n">
        <f aca="false">ROUND(IF(D207=0,IF((N207-E207-O207)&gt;0,(N207-E207-O207),0),IF((D207+N207-O207)&gt;0,(D207+N207-O207),0)),2)</f>
        <v>15480.06</v>
      </c>
      <c r="Q207" s="14" t="n">
        <f aca="false">ROUND(IF(E207=0,IF((D207+N207-O207)&lt;0,ABS(D207+N207-O207),0),IF((N207-E207-O207)&lt;0,ABS(N207-E207-O207),0)),2)</f>
        <v>0</v>
      </c>
    </row>
    <row r="208" customFormat="false" ht="15" hidden="false" customHeight="true" outlineLevel="0" collapsed="false">
      <c r="A208" s="12" t="s">
        <v>620</v>
      </c>
      <c r="B208" s="12" t="str">
        <f aca="false">жовтень!B208</f>
        <v>Мільковська Р.Г.</v>
      </c>
      <c r="C208" s="12" t="s">
        <v>622</v>
      </c>
      <c r="D208" s="14" t="n">
        <f aca="false">жовтень!P208</f>
        <v>10877</v>
      </c>
      <c r="E208" s="14" t="n">
        <f aca="false">жовтень!Q208</f>
        <v>0</v>
      </c>
      <c r="F208" s="13" t="n">
        <f aca="false">жовтень!F208</f>
        <v>0</v>
      </c>
      <c r="G208" s="13" t="n">
        <f aca="false">жовтень!G208</f>
        <v>49.88</v>
      </c>
      <c r="H208" s="13" t="n">
        <f aca="false">жовтень!H208</f>
        <v>0</v>
      </c>
      <c r="I208" s="13" t="n">
        <f aca="false">жовтень!I208</f>
        <v>4.1</v>
      </c>
      <c r="J208" s="14" t="n">
        <f aca="false">ROUND(G208*I208,2)</f>
        <v>204.51</v>
      </c>
      <c r="K208" s="14"/>
      <c r="L208" s="14"/>
      <c r="M208" s="14"/>
      <c r="N208" s="14" t="n">
        <f aca="false">ROUND((G208*I208)-K208-L208-M208,2)</f>
        <v>204.51</v>
      </c>
      <c r="O208" s="14"/>
      <c r="P208" s="14" t="n">
        <f aca="false">ROUND(IF(D208=0,IF((N208-E208-O208)&gt;0,(N208-E208-O208),0),IF((D208+N208-O208)&gt;0,(D208+N208-O208),0)),2)</f>
        <v>11081.51</v>
      </c>
      <c r="Q208" s="14" t="n">
        <f aca="false">ROUND(IF(E208=0,IF((D208+N208-O208)&lt;0,ABS(D208+N208-O208),0),IF((N208-E208-O208)&lt;0,ABS(N208-E208-O208),0)),2)</f>
        <v>0</v>
      </c>
    </row>
    <row r="209" customFormat="false" ht="15" hidden="false" customHeight="true" outlineLevel="0" collapsed="false">
      <c r="A209" s="12" t="s">
        <v>623</v>
      </c>
      <c r="B209" s="12" t="str">
        <f aca="false">жовтень!B209</f>
        <v>Заранкін С.М.</v>
      </c>
      <c r="C209" s="12" t="s">
        <v>625</v>
      </c>
      <c r="D209" s="14" t="n">
        <f aca="false">жовтень!P209</f>
        <v>12666.12</v>
      </c>
      <c r="E209" s="14" t="n">
        <f aca="false">жовтень!Q209</f>
        <v>0</v>
      </c>
      <c r="F209" s="13" t="n">
        <f aca="false">жовтень!F209</f>
        <v>0</v>
      </c>
      <c r="G209" s="13" t="n">
        <f aca="false">жовтень!G209</f>
        <v>62.02</v>
      </c>
      <c r="H209" s="13" t="n">
        <f aca="false">жовтень!H209</f>
        <v>0</v>
      </c>
      <c r="I209" s="13" t="n">
        <f aca="false">жовтень!I209</f>
        <v>4.1</v>
      </c>
      <c r="J209" s="14" t="n">
        <f aca="false">ROUND(G209*I209,2)</f>
        <v>254.28</v>
      </c>
      <c r="K209" s="14"/>
      <c r="L209" s="14"/>
      <c r="M209" s="14"/>
      <c r="N209" s="14" t="n">
        <f aca="false">ROUND((G209*I209)-K209-L209-M209,2)</f>
        <v>254.28</v>
      </c>
      <c r="O209" s="14"/>
      <c r="P209" s="14" t="n">
        <f aca="false">ROUND(IF(D209=0,IF((N209-E209-O209)&gt;0,(N209-E209-O209),0),IF((D209+N209-O209)&gt;0,(D209+N209-O209),0)),2)</f>
        <v>12920.4</v>
      </c>
      <c r="Q209" s="14" t="n">
        <f aca="false">ROUND(IF(E209=0,IF((D209+N209-O209)&lt;0,ABS(D209+N209-O209),0),IF((N209-E209-O209)&lt;0,ABS(N209-E209-O209),0)),2)</f>
        <v>0</v>
      </c>
    </row>
    <row r="210" customFormat="false" ht="15" hidden="false" customHeight="true" outlineLevel="0" collapsed="false">
      <c r="A210" s="12" t="s">
        <v>626</v>
      </c>
      <c r="B210" s="12" t="str">
        <f aca="false">жовтень!B210</f>
        <v>Сіянко О.М.</v>
      </c>
      <c r="C210" s="12" t="s">
        <v>628</v>
      </c>
      <c r="D210" s="14" t="n">
        <f aca="false">жовтень!P210</f>
        <v>5897.52</v>
      </c>
      <c r="E210" s="14" t="n">
        <f aca="false">жовтень!Q210</f>
        <v>0</v>
      </c>
      <c r="F210" s="13" t="n">
        <f aca="false">жовтень!F210</f>
        <v>0</v>
      </c>
      <c r="G210" s="13" t="n">
        <f aca="false">жовтень!G210</f>
        <v>67.6</v>
      </c>
      <c r="H210" s="13" t="n">
        <f aca="false">жовтень!H210</f>
        <v>0</v>
      </c>
      <c r="I210" s="13" t="n">
        <f aca="false">жовтень!I210</f>
        <v>4.1</v>
      </c>
      <c r="J210" s="14" t="n">
        <f aca="false">ROUND(G210*I210,2)</f>
        <v>277.16</v>
      </c>
      <c r="K210" s="14"/>
      <c r="L210" s="14"/>
      <c r="M210" s="14"/>
      <c r="N210" s="14" t="n">
        <f aca="false">ROUND((G210*I210)-K210-L210-M210,2)</f>
        <v>277.16</v>
      </c>
      <c r="O210" s="14"/>
      <c r="P210" s="14" t="n">
        <f aca="false">ROUND(IF(D210=0,IF((N210-E210-O210)&gt;0,(N210-E210-O210),0),IF((D210+N210-O210)&gt;0,(D210+N210-O210),0)),2)</f>
        <v>6174.68</v>
      </c>
      <c r="Q210" s="14" t="n">
        <f aca="false">ROUND(IF(E210=0,IF((D210+N210-O210)&lt;0,ABS(D210+N210-O210),0),IF((N210-E210-O210)&lt;0,ABS(N210-E210-O210),0)),2)</f>
        <v>0</v>
      </c>
    </row>
    <row r="211" customFormat="false" ht="15" hidden="false" customHeight="true" outlineLevel="0" collapsed="false">
      <c r="A211" s="12" t="s">
        <v>629</v>
      </c>
      <c r="B211" s="12" t="str">
        <f aca="false">жовтень!B211</f>
        <v>Осипов В.В.</v>
      </c>
      <c r="C211" s="12" t="s">
        <v>631</v>
      </c>
      <c r="D211" s="14" t="n">
        <f aca="false">жовтень!P211</f>
        <v>12745.76</v>
      </c>
      <c r="E211" s="14" t="n">
        <f aca="false">жовтень!Q211</f>
        <v>0</v>
      </c>
      <c r="F211" s="13" t="n">
        <f aca="false">жовтень!F211</f>
        <v>0</v>
      </c>
      <c r="G211" s="13" t="n">
        <f aca="false">жовтень!G211</f>
        <v>70.42</v>
      </c>
      <c r="H211" s="13" t="n">
        <f aca="false">жовтень!H211</f>
        <v>0</v>
      </c>
      <c r="I211" s="13" t="n">
        <f aca="false">жовтень!I211</f>
        <v>4.1</v>
      </c>
      <c r="J211" s="14" t="n">
        <f aca="false">ROUND(G211*I211,2)</f>
        <v>288.72</v>
      </c>
      <c r="K211" s="14"/>
      <c r="L211" s="14"/>
      <c r="M211" s="14"/>
      <c r="N211" s="14" t="n">
        <f aca="false">ROUND((G211*I211)-K211-L211-M211,2)</f>
        <v>288.72</v>
      </c>
      <c r="O211" s="14"/>
      <c r="P211" s="14" t="n">
        <f aca="false">ROUND(IF(D211=0,IF((N211-E211-O211)&gt;0,(N211-E211-O211),0),IF((D211+N211-O211)&gt;0,(D211+N211-O211),0)),2)</f>
        <v>13034.48</v>
      </c>
      <c r="Q211" s="14" t="n">
        <f aca="false">ROUND(IF(E211=0,IF((D211+N211-O211)&lt;0,ABS(D211+N211-O211),0),IF((N211-E211-O211)&lt;0,ABS(N211-E211-O211),0)),2)</f>
        <v>0</v>
      </c>
    </row>
    <row r="212" customFormat="false" ht="15" hidden="false" customHeight="true" outlineLevel="0" collapsed="false">
      <c r="A212" s="12" t="s">
        <v>632</v>
      </c>
      <c r="B212" s="12" t="str">
        <f aca="false">жовтень!B212</f>
        <v>Перепьолкін А.Л.</v>
      </c>
      <c r="C212" s="12" t="s">
        <v>634</v>
      </c>
      <c r="D212" s="14" t="n">
        <f aca="false">жовтень!P212</f>
        <v>2041.8</v>
      </c>
      <c r="E212" s="14" t="n">
        <f aca="false">жовтень!Q212</f>
        <v>0</v>
      </c>
      <c r="F212" s="13" t="n">
        <f aca="false">жовтень!F212</f>
        <v>0</v>
      </c>
      <c r="G212" s="13" t="n">
        <f aca="false">жовтень!G212</f>
        <v>49.8</v>
      </c>
      <c r="H212" s="13" t="n">
        <f aca="false">жовтень!H212</f>
        <v>0</v>
      </c>
      <c r="I212" s="13" t="n">
        <f aca="false">жовтень!I212</f>
        <v>4.1</v>
      </c>
      <c r="J212" s="14" t="n">
        <f aca="false">ROUND(G212*I212,2)</f>
        <v>204.18</v>
      </c>
      <c r="K212" s="14"/>
      <c r="L212" s="14"/>
      <c r="M212" s="14"/>
      <c r="N212" s="14" t="n">
        <f aca="false">ROUND((G212*I212)-K212-L212-M212,2)</f>
        <v>204.18</v>
      </c>
      <c r="O212" s="14"/>
      <c r="P212" s="14" t="n">
        <f aca="false">ROUND(IF(D212=0,IF((N212-E212-O212)&gt;0,(N212-E212-O212),0),IF((D212+N212-O212)&gt;0,(D212+N212-O212),0)),2)</f>
        <v>2245.98</v>
      </c>
      <c r="Q212" s="14" t="n">
        <f aca="false">ROUND(IF(E212=0,IF((D212+N212-O212)&lt;0,ABS(D212+N212-O212),0),IF((N212-E212-O212)&lt;0,ABS(N212-E212-O212),0)),2)</f>
        <v>0</v>
      </c>
    </row>
    <row r="213" customFormat="false" ht="15" hidden="false" customHeight="true" outlineLevel="0" collapsed="false">
      <c r="A213" s="12" t="s">
        <v>635</v>
      </c>
      <c r="B213" s="12" t="str">
        <f aca="false">жовтень!B213</f>
        <v>Синегрибова В.В.</v>
      </c>
      <c r="C213" s="12" t="s">
        <v>637</v>
      </c>
      <c r="D213" s="14" t="n">
        <f aca="false">жовтень!P213</f>
        <v>3800.82</v>
      </c>
      <c r="E213" s="14" t="n">
        <f aca="false">жовтень!Q213</f>
        <v>0</v>
      </c>
      <c r="F213" s="13" t="n">
        <f aca="false">жовтень!F213</f>
        <v>0</v>
      </c>
      <c r="G213" s="13" t="n">
        <f aca="false">жовтень!G213</f>
        <v>62.7</v>
      </c>
      <c r="H213" s="13" t="n">
        <f aca="false">жовтень!H213</f>
        <v>0</v>
      </c>
      <c r="I213" s="13" t="n">
        <f aca="false">жовтень!I213</f>
        <v>4.1</v>
      </c>
      <c r="J213" s="14" t="n">
        <f aca="false">ROUND(G213*I213,2)</f>
        <v>257.07</v>
      </c>
      <c r="K213" s="14"/>
      <c r="L213" s="14"/>
      <c r="M213" s="14"/>
      <c r="N213" s="14" t="n">
        <f aca="false">ROUND((G213*I213)-K213-L213-M213,2)</f>
        <v>257.07</v>
      </c>
      <c r="O213" s="14"/>
      <c r="P213" s="14" t="n">
        <f aca="false">ROUND(IF(D213=0,IF((N213-E213-O213)&gt;0,(N213-E213-O213),0),IF((D213+N213-O213)&gt;0,(D213+N213-O213),0)),2)</f>
        <v>4057.89</v>
      </c>
      <c r="Q213" s="14" t="n">
        <f aca="false">ROUND(IF(E213=0,IF((D213+N213-O213)&lt;0,ABS(D213+N213-O213),0),IF((N213-E213-O213)&lt;0,ABS(N213-E213-O213),0)),2)</f>
        <v>0</v>
      </c>
    </row>
    <row r="214" customFormat="false" ht="15" hidden="false" customHeight="true" outlineLevel="0" collapsed="false">
      <c r="A214" s="12" t="s">
        <v>638</v>
      </c>
      <c r="B214" s="12" t="str">
        <f aca="false">жовтень!B214</f>
        <v>Юдін М.В.</v>
      </c>
      <c r="C214" s="12" t="s">
        <v>640</v>
      </c>
      <c r="D214" s="14" t="n">
        <f aca="false">жовтень!P214</f>
        <v>2788</v>
      </c>
      <c r="E214" s="14" t="n">
        <f aca="false">жовтень!Q214</f>
        <v>0</v>
      </c>
      <c r="F214" s="13" t="n">
        <f aca="false">жовтень!F214</f>
        <v>0</v>
      </c>
      <c r="G214" s="13" t="n">
        <f aca="false">жовтень!G214</f>
        <v>68</v>
      </c>
      <c r="H214" s="13" t="n">
        <f aca="false">жовтень!H214</f>
        <v>0</v>
      </c>
      <c r="I214" s="13" t="n">
        <f aca="false">жовтень!I214</f>
        <v>4.1</v>
      </c>
      <c r="J214" s="14" t="n">
        <f aca="false">ROUND(G214*I214,2)</f>
        <v>278.8</v>
      </c>
      <c r="K214" s="14"/>
      <c r="L214" s="14"/>
      <c r="M214" s="14"/>
      <c r="N214" s="14" t="n">
        <f aca="false">ROUND((G214*I214)-K214-L214-M214,2)</f>
        <v>278.8</v>
      </c>
      <c r="O214" s="14"/>
      <c r="P214" s="14" t="n">
        <f aca="false">ROUND(IF(D214=0,IF((N214-E214-O214)&gt;0,(N214-E214-O214),0),IF((D214+N214-O214)&gt;0,(D214+N214-O214),0)),2)</f>
        <v>3066.8</v>
      </c>
      <c r="Q214" s="14" t="n">
        <f aca="false">ROUND(IF(E214=0,IF((D214+N214-O214)&lt;0,ABS(D214+N214-O214),0),IF((N214-E214-O214)&lt;0,ABS(N214-E214-O214),0)),2)</f>
        <v>0</v>
      </c>
    </row>
    <row r="215" customFormat="false" ht="15" hidden="false" customHeight="true" outlineLevel="0" collapsed="false">
      <c r="A215" s="12" t="s">
        <v>641</v>
      </c>
      <c r="B215" s="12" t="str">
        <f aca="false">жовтень!B215</f>
        <v>Сергєєва Н.О.</v>
      </c>
      <c r="C215" s="12" t="s">
        <v>643</v>
      </c>
      <c r="D215" s="14" t="n">
        <f aca="false">жовтень!P215</f>
        <v>2941.92</v>
      </c>
      <c r="E215" s="14" t="n">
        <f aca="false">жовтень!Q215</f>
        <v>0</v>
      </c>
      <c r="F215" s="13" t="n">
        <f aca="false">жовтень!F215</f>
        <v>0</v>
      </c>
      <c r="G215" s="13" t="n">
        <f aca="false">жовтень!G215</f>
        <v>72.1</v>
      </c>
      <c r="H215" s="13" t="n">
        <f aca="false">жовтень!H215</f>
        <v>0</v>
      </c>
      <c r="I215" s="13" t="n">
        <f aca="false">жовтень!I215</f>
        <v>4.1</v>
      </c>
      <c r="J215" s="14" t="n">
        <f aca="false">ROUND(G215*I215,2)</f>
        <v>295.61</v>
      </c>
      <c r="K215" s="14"/>
      <c r="L215" s="14"/>
      <c r="M215" s="14"/>
      <c r="N215" s="14" t="n">
        <f aca="false">ROUND((G215*I215)-K215-L215-M215,2)</f>
        <v>295.61</v>
      </c>
      <c r="O215" s="14"/>
      <c r="P215" s="14" t="n">
        <f aca="false">ROUND(IF(D215=0,IF((N215-E215-O215)&gt;0,(N215-E215-O215),0),IF((D215+N215-O215)&gt;0,(D215+N215-O215),0)),2)</f>
        <v>3237.53</v>
      </c>
      <c r="Q215" s="14" t="n">
        <f aca="false">ROUND(IF(E215=0,IF((D215+N215-O215)&lt;0,ABS(D215+N215-O215),0),IF((N215-E215-O215)&lt;0,ABS(N215-E215-O215),0)),2)</f>
        <v>0</v>
      </c>
    </row>
    <row r="216" customFormat="false" ht="15" hidden="false" customHeight="true" outlineLevel="0" collapsed="false">
      <c r="A216" s="12" t="s">
        <v>644</v>
      </c>
      <c r="B216" s="12" t="str">
        <f aca="false">жовтень!B216</f>
        <v>Рева І.П.</v>
      </c>
      <c r="C216" s="12" t="s">
        <v>646</v>
      </c>
      <c r="D216" s="14" t="n">
        <f aca="false">жовтень!P216</f>
        <v>2038.5</v>
      </c>
      <c r="E216" s="14" t="n">
        <f aca="false">жовтень!Q216</f>
        <v>0</v>
      </c>
      <c r="F216" s="13" t="n">
        <f aca="false">жовтень!F216</f>
        <v>0</v>
      </c>
      <c r="G216" s="13" t="n">
        <f aca="false">жовтень!G216</f>
        <v>49.72</v>
      </c>
      <c r="H216" s="13" t="n">
        <f aca="false">жовтень!H216</f>
        <v>0</v>
      </c>
      <c r="I216" s="13" t="n">
        <f aca="false">жовтень!I216</f>
        <v>4.1</v>
      </c>
      <c r="J216" s="14" t="n">
        <f aca="false">ROUND(G216*I216,2)</f>
        <v>203.85</v>
      </c>
      <c r="K216" s="14"/>
      <c r="L216" s="14"/>
      <c r="M216" s="14"/>
      <c r="N216" s="14" t="n">
        <f aca="false">ROUND((G216*I216)-K216-L216-M216,2)</f>
        <v>203.85</v>
      </c>
      <c r="O216" s="14"/>
      <c r="P216" s="14" t="n">
        <f aca="false">ROUND(IF(D216=0,IF((N216-E216-O216)&gt;0,(N216-E216-O216),0),IF((D216+N216-O216)&gt;0,(D216+N216-O216),0)),2)</f>
        <v>2242.35</v>
      </c>
      <c r="Q216" s="14" t="n">
        <f aca="false">ROUND(IF(E216=0,IF((D216+N216-O216)&lt;0,ABS(D216+N216-O216),0),IF((N216-E216-O216)&lt;0,ABS(N216-E216-O216),0)),2)</f>
        <v>0</v>
      </c>
    </row>
    <row r="217" customFormat="false" ht="15" hidden="false" customHeight="true" outlineLevel="0" collapsed="false">
      <c r="A217" s="12" t="s">
        <v>647</v>
      </c>
      <c r="B217" s="12" t="str">
        <f aca="false">жовтень!B217</f>
        <v>Почапський Ю.Т.</v>
      </c>
      <c r="C217" s="12" t="s">
        <v>649</v>
      </c>
      <c r="D217" s="14" t="n">
        <f aca="false">жовтень!P217</f>
        <v>2017.05</v>
      </c>
      <c r="E217" s="14" t="n">
        <f aca="false">жовтень!Q217</f>
        <v>0</v>
      </c>
      <c r="F217" s="13" t="n">
        <f aca="false">жовтень!F217</f>
        <v>0</v>
      </c>
      <c r="G217" s="13" t="n">
        <f aca="false">жовтень!G217</f>
        <v>62.39</v>
      </c>
      <c r="H217" s="13" t="n">
        <f aca="false">жовтень!H217</f>
        <v>0</v>
      </c>
      <c r="I217" s="13" t="n">
        <f aca="false">жовтень!I217</f>
        <v>4.1</v>
      </c>
      <c r="J217" s="14" t="n">
        <f aca="false">ROUND(G217*I217,2)</f>
        <v>255.8</v>
      </c>
      <c r="K217" s="14"/>
      <c r="L217" s="14"/>
      <c r="M217" s="14"/>
      <c r="N217" s="14" t="n">
        <f aca="false">ROUND((G217*I217)-K217-L217-M217,2)</f>
        <v>255.8</v>
      </c>
      <c r="O217" s="14"/>
      <c r="P217" s="14" t="n">
        <f aca="false">ROUND(IF(D217=0,IF((N217-E217-O217)&gt;0,(N217-E217-O217),0),IF((D217+N217-O217)&gt;0,(D217+N217-O217),0)),2)</f>
        <v>2272.85</v>
      </c>
      <c r="Q217" s="14" t="n">
        <f aca="false">ROUND(IF(E217=0,IF((D217+N217-O217)&lt;0,ABS(D217+N217-O217),0),IF((N217-E217-O217)&lt;0,ABS(N217-E217-O217),0)),2)</f>
        <v>0</v>
      </c>
    </row>
    <row r="218" customFormat="false" ht="15" hidden="false" customHeight="true" outlineLevel="0" collapsed="false">
      <c r="A218" s="12" t="s">
        <v>650</v>
      </c>
      <c r="B218" s="12" t="str">
        <f aca="false">жовтень!B218</f>
        <v>Васильченко М.П.</v>
      </c>
      <c r="C218" s="12" t="s">
        <v>652</v>
      </c>
      <c r="D218" s="14" t="n">
        <f aca="false">жовтень!P218</f>
        <v>15272.43</v>
      </c>
      <c r="E218" s="14" t="n">
        <f aca="false">жовтень!Q218</f>
        <v>0</v>
      </c>
      <c r="F218" s="13" t="n">
        <f aca="false">жовтень!F218</f>
        <v>0</v>
      </c>
      <c r="G218" s="13" t="n">
        <f aca="false">жовтень!G218</f>
        <v>67.47</v>
      </c>
      <c r="H218" s="13" t="n">
        <f aca="false">жовтень!H218</f>
        <v>0</v>
      </c>
      <c r="I218" s="13" t="n">
        <f aca="false">жовтень!I218</f>
        <v>4.1</v>
      </c>
      <c r="J218" s="14" t="n">
        <f aca="false">ROUND(G218*I218,2)</f>
        <v>276.63</v>
      </c>
      <c r="K218" s="14"/>
      <c r="L218" s="14"/>
      <c r="M218" s="14"/>
      <c r="N218" s="14" t="n">
        <f aca="false">ROUND((G218*I218)-K218-L218-M218,2)</f>
        <v>276.63</v>
      </c>
      <c r="O218" s="14"/>
      <c r="P218" s="14" t="n">
        <f aca="false">ROUND(IF(D218=0,IF((N218-E218-O218)&gt;0,(N218-E218-O218),0),IF((D218+N218-O218)&gt;0,(D218+N218-O218),0)),2)</f>
        <v>15549.06</v>
      </c>
      <c r="Q218" s="14" t="n">
        <f aca="false">ROUND(IF(E218=0,IF((D218+N218-O218)&lt;0,ABS(D218+N218-O218),0),IF((N218-E218-O218)&lt;0,ABS(N218-E218-O218),0)),2)</f>
        <v>0</v>
      </c>
    </row>
    <row r="219" customFormat="false" ht="15" hidden="false" customHeight="true" outlineLevel="0" collapsed="false">
      <c r="A219" s="12" t="s">
        <v>653</v>
      </c>
      <c r="B219" s="12" t="str">
        <f aca="false">жовтень!B219</f>
        <v>Черненко Т.А.</v>
      </c>
      <c r="C219" s="12" t="s">
        <v>655</v>
      </c>
      <c r="D219" s="14" t="n">
        <f aca="false">жовтень!P219</f>
        <v>2886.8</v>
      </c>
      <c r="E219" s="14" t="n">
        <f aca="false">жовтень!Q219</f>
        <v>0</v>
      </c>
      <c r="F219" s="13" t="n">
        <f aca="false">жовтень!F219</f>
        <v>0</v>
      </c>
      <c r="G219" s="13" t="n">
        <f aca="false">жовтень!G219</f>
        <v>70.41</v>
      </c>
      <c r="H219" s="13" t="n">
        <f aca="false">жовтень!H219</f>
        <v>0</v>
      </c>
      <c r="I219" s="13" t="n">
        <f aca="false">жовтень!I219</f>
        <v>4.1</v>
      </c>
      <c r="J219" s="14" t="n">
        <f aca="false">ROUND(G219*I219,2)</f>
        <v>288.68</v>
      </c>
      <c r="K219" s="14"/>
      <c r="L219" s="14"/>
      <c r="M219" s="14"/>
      <c r="N219" s="14" t="n">
        <f aca="false">ROUND((G219*I219)-K219-L219-M219,2)</f>
        <v>288.68</v>
      </c>
      <c r="O219" s="14"/>
      <c r="P219" s="14" t="n">
        <f aca="false">ROUND(IF(D219=0,IF((N219-E219-O219)&gt;0,(N219-E219-O219),0),IF((D219+N219-O219)&gt;0,(D219+N219-O219),0)),2)</f>
        <v>3175.48</v>
      </c>
      <c r="Q219" s="14" t="n">
        <f aca="false">ROUND(IF(E219=0,IF((D219+N219-O219)&lt;0,ABS(D219+N219-O219),0),IF((N219-E219-O219)&lt;0,ABS(N219-E219-O219),0)),2)</f>
        <v>0</v>
      </c>
    </row>
    <row r="220" customFormat="false" ht="15" hidden="false" customHeight="true" outlineLevel="0" collapsed="false">
      <c r="A220" s="12" t="s">
        <v>656</v>
      </c>
      <c r="B220" s="12" t="str">
        <f aca="false">жовтень!B220</f>
        <v>Сиротенко Я.О.</v>
      </c>
      <c r="C220" s="12" t="s">
        <v>658</v>
      </c>
      <c r="D220" s="14" t="n">
        <f aca="false">жовтень!P220</f>
        <v>6083.36</v>
      </c>
      <c r="E220" s="14" t="n">
        <f aca="false">жовтень!Q220</f>
        <v>0</v>
      </c>
      <c r="F220" s="13" t="n">
        <f aca="false">жовтень!F220</f>
        <v>0</v>
      </c>
      <c r="G220" s="13" t="n">
        <f aca="false">жовтень!G220</f>
        <v>49.73</v>
      </c>
      <c r="H220" s="13" t="n">
        <f aca="false">жовтень!H220</f>
        <v>0</v>
      </c>
      <c r="I220" s="13" t="n">
        <f aca="false">жовтень!I220</f>
        <v>4.1</v>
      </c>
      <c r="J220" s="14" t="n">
        <f aca="false">ROUND(G220*I220,2)</f>
        <v>203.89</v>
      </c>
      <c r="K220" s="14"/>
      <c r="L220" s="14"/>
      <c r="M220" s="14"/>
      <c r="N220" s="14" t="n">
        <f aca="false">ROUND((G220*I220)-K220-L220-M220,2)</f>
        <v>203.89</v>
      </c>
      <c r="O220" s="14"/>
      <c r="P220" s="14" t="n">
        <f aca="false">ROUND(IF(D220=0,IF((N220-E220-O220)&gt;0,(N220-E220-O220),0),IF((D220+N220-O220)&gt;0,(D220+N220-O220),0)),2)</f>
        <v>6287.25</v>
      </c>
      <c r="Q220" s="14" t="n">
        <f aca="false">ROUND(IF(E220=0,IF((D220+N220-O220)&lt;0,ABS(D220+N220-O220),0),IF((N220-E220-O220)&lt;0,ABS(N220-E220-O220),0)),2)</f>
        <v>0</v>
      </c>
    </row>
    <row r="221" customFormat="false" ht="15.75" hidden="false" customHeight="true" outlineLevel="0" collapsed="false">
      <c r="A221" s="12" t="s">
        <v>659</v>
      </c>
      <c r="B221" s="12" t="str">
        <f aca="false">жовтень!B221</f>
        <v>Корнюшенко О.О.</v>
      </c>
      <c r="C221" s="12" t="s">
        <v>661</v>
      </c>
      <c r="D221" s="14" t="n">
        <f aca="false">жовтень!P221</f>
        <v>10066.8</v>
      </c>
      <c r="E221" s="14" t="n">
        <f aca="false">жовтень!Q221</f>
        <v>0</v>
      </c>
      <c r="F221" s="13" t="n">
        <f aca="false">жовтень!F221</f>
        <v>0</v>
      </c>
      <c r="G221" s="13" t="n">
        <f aca="false">жовтень!G221</f>
        <v>62</v>
      </c>
      <c r="H221" s="13" t="n">
        <f aca="false">жовтень!H221</f>
        <v>0</v>
      </c>
      <c r="I221" s="13" t="n">
        <f aca="false">жовтень!I221</f>
        <v>4.1</v>
      </c>
      <c r="J221" s="14" t="n">
        <f aca="false">ROUND(G221*I221,2)</f>
        <v>254.2</v>
      </c>
      <c r="K221" s="14"/>
      <c r="L221" s="14"/>
      <c r="M221" s="14"/>
      <c r="N221" s="14" t="n">
        <f aca="false">ROUND((G221*I221)-K221-L221-M221,2)</f>
        <v>254.2</v>
      </c>
      <c r="O221" s="14"/>
      <c r="P221" s="14" t="n">
        <f aca="false">ROUND(IF(D221=0,IF((N221-E221-O221)&gt;0,(N221-E221-O221),0),IF((D221+N221-O221)&gt;0,(D221+N221-O221),0)),2)</f>
        <v>10321</v>
      </c>
      <c r="Q221" s="14" t="n">
        <f aca="false">ROUND(IF(E221=0,IF((D221+N221-O221)&lt;0,ABS(D221+N221-O221),0),IF((N221-E221-O221)&lt;0,ABS(N221-E221-O221),0)),2)</f>
        <v>0</v>
      </c>
    </row>
    <row r="222" customFormat="false" ht="15" hidden="false" customHeight="true" outlineLevel="0" collapsed="false">
      <c r="A222" s="15"/>
      <c r="B222" s="15"/>
      <c r="C222" s="15"/>
      <c r="D222" s="16" t="n">
        <f aca="false">SUM(D7:D221)</f>
        <v>1236990.79</v>
      </c>
      <c r="E222" s="16" t="n">
        <f aca="false">SUM(E7:E221)</f>
        <v>11</v>
      </c>
      <c r="F222" s="16"/>
      <c r="G222" s="20" t="n">
        <f aca="false">SUM(G7:G221)</f>
        <v>11652.42</v>
      </c>
      <c r="H222" s="16" t="n">
        <f aca="false">SUM(H7:H221)</f>
        <v>0</v>
      </c>
      <c r="I222" s="16"/>
      <c r="J222" s="16" t="n">
        <f aca="false">SUM(J7:J221)</f>
        <v>47774.99</v>
      </c>
      <c r="K222" s="16" t="n">
        <f aca="false">SUM(K7:K221)</f>
        <v>0</v>
      </c>
      <c r="L222" s="16" t="n">
        <f aca="false">SUM(L7:L221)</f>
        <v>0</v>
      </c>
      <c r="M222" s="16" t="n">
        <f aca="false">SUM(M7:M221)</f>
        <v>0</v>
      </c>
      <c r="N222" s="16" t="n">
        <f aca="false">SUM(N7:N221)</f>
        <v>47774.99</v>
      </c>
      <c r="O222" s="16" t="n">
        <f aca="false">SUM(O7:O221)</f>
        <v>0</v>
      </c>
      <c r="P222" s="16" t="n">
        <f aca="false">SUM(P7:P221)</f>
        <v>1284754.78</v>
      </c>
      <c r="Q222" s="16" t="n">
        <f aca="false">SUM(Q7:Q221)</f>
        <v>0</v>
      </c>
    </row>
    <row r="223" customFormat="false" ht="15.75" hidden="false" customHeight="true" outlineLevel="0" collapsed="false">
      <c r="A223" s="15"/>
      <c r="B223" s="15"/>
      <c r="C223" s="15"/>
      <c r="D223" s="16" t="n">
        <f aca="false">D222-E222</f>
        <v>1236979.79</v>
      </c>
      <c r="E223" s="16"/>
      <c r="F223" s="16"/>
      <c r="G223" s="20"/>
      <c r="H223" s="16"/>
      <c r="I223" s="16"/>
      <c r="J223" s="16"/>
      <c r="K223" s="16"/>
      <c r="L223" s="16"/>
      <c r="M223" s="16"/>
      <c r="N223" s="16"/>
      <c r="O223" s="16"/>
      <c r="P223" s="16" t="n">
        <f aca="false">P222-Q222</f>
        <v>1284754.78</v>
      </c>
      <c r="Q223" s="16"/>
    </row>
    <row r="226" customFormat="false" ht="15" hidden="false" customHeight="false" outlineLevel="0" collapsed="false">
      <c r="U226" s="17" t="n">
        <v>33927.89</v>
      </c>
    </row>
    <row r="227" customFormat="false" ht="15" hidden="false" customHeight="false" outlineLevel="0" collapsed="false">
      <c r="U227" s="17" t="n">
        <f aca="false">O222-U226</f>
        <v>-33927.89</v>
      </c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printOptions headings="false" gridLines="false" gridLinesSet="true" horizontalCentered="true" verticalCentered="false"/>
  <pageMargins left="0" right="0" top="0.354166666666667" bottom="0.196527777777778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7"/>
  <sheetViews>
    <sheetView showFormulas="false" showGridLines="true" showRowColHeaders="true" showZeros="false" rightToLeft="false" tabSelected="false" showOutlineSymbols="true" defaultGridColor="true" view="normal" topLeftCell="A205" colorId="64" zoomScale="90" zoomScaleNormal="90" zoomScalePageLayoutView="100" workbookViewId="0">
      <selection pane="topLeft" activeCell="O222" activeCellId="0" sqref="O22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76"/>
    <col collapsed="false" customWidth="true" hidden="false" outlineLevel="0" max="2" min="2" style="1" width="23.25"/>
    <col collapsed="false" customWidth="true" hidden="false" outlineLevel="0" max="3" min="3" style="1" width="7"/>
    <col collapsed="false" customWidth="true" hidden="false" outlineLevel="0" max="4" min="4" style="1" width="10.37"/>
    <col collapsed="false" customWidth="true" hidden="false" outlineLevel="0" max="6" min="6" style="1" width="5.37"/>
    <col collapsed="false" customWidth="true" hidden="false" outlineLevel="0" max="7" min="7" style="1" width="9.26"/>
    <col collapsed="false" customWidth="true" hidden="false" outlineLevel="0" max="8" min="8" style="1" width="5.63"/>
    <col collapsed="false" customWidth="true" hidden="false" outlineLevel="0" max="9" min="9" style="1" width="6.25"/>
    <col collapsed="false" customWidth="true" hidden="false" outlineLevel="0" max="10" min="10" style="1" width="9.12"/>
    <col collapsed="false" customWidth="true" hidden="false" outlineLevel="0" max="11" min="11" style="1" width="6.63"/>
    <col collapsed="false" customWidth="true" hidden="false" outlineLevel="0" max="12" min="12" style="1" width="7.25"/>
    <col collapsed="false" customWidth="true" hidden="false" outlineLevel="0" max="13" min="13" style="1" width="5.63"/>
    <col collapsed="false" customWidth="true" hidden="false" outlineLevel="0" max="14" min="14" style="1" width="9.12"/>
    <col collapsed="false" customWidth="true" hidden="false" outlineLevel="0" max="15" min="15" style="1" width="9.63"/>
    <col collapsed="false" customWidth="true" hidden="false" outlineLevel="0" max="16" min="16" style="1" width="9.26"/>
    <col collapsed="false" customWidth="true" hidden="false" outlineLevel="0" max="17" min="17" style="1" width="9.12"/>
    <col collapsed="false" customWidth="true" hidden="false" outlineLevel="0" max="21" min="21" style="1" width="11.87"/>
  </cols>
  <sheetData>
    <row r="1" customFormat="false" ht="15" hidden="false" customHeight="true" outlineLevel="0" collapsed="false">
      <c r="A1" s="23" t="s">
        <v>0</v>
      </c>
      <c r="B1" s="23"/>
      <c r="C1" s="23"/>
      <c r="D1" s="24"/>
      <c r="E1" s="24"/>
      <c r="F1" s="24"/>
      <c r="G1" s="24"/>
      <c r="H1" s="24"/>
      <c r="I1" s="24"/>
      <c r="J1" s="24"/>
      <c r="K1" s="24"/>
      <c r="L1" s="24"/>
      <c r="M1" s="24"/>
      <c r="N1" s="23" t="s">
        <v>1</v>
      </c>
      <c r="O1" s="23"/>
      <c r="P1" s="23"/>
      <c r="Q1" s="23"/>
    </row>
    <row r="2" customFormat="false" ht="18" hidden="false" customHeight="true" outlineLevel="0" collapsed="false">
      <c r="A2" s="24"/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8.75" hidden="false" customHeight="true" outlineLevel="0" collapsed="false">
      <c r="A3" s="24"/>
      <c r="B3" s="4" t="s">
        <v>672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true" outlineLevel="0" collapsed="false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customFormat="false" ht="9.75" hidden="false" customHeight="true" outlineLevel="0" collapsed="false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customFormat="false" ht="60" hidden="false" customHeight="true" outlineLevel="0" collapsed="false">
      <c r="A6" s="26" t="s">
        <v>4</v>
      </c>
      <c r="B6" s="26" t="s">
        <v>5</v>
      </c>
      <c r="C6" s="26" t="s">
        <v>6</v>
      </c>
      <c r="D6" s="26" t="s">
        <v>7</v>
      </c>
      <c r="E6" s="26" t="s">
        <v>8</v>
      </c>
      <c r="F6" s="26" t="s">
        <v>9</v>
      </c>
      <c r="G6" s="26" t="s">
        <v>10</v>
      </c>
      <c r="H6" s="26" t="s">
        <v>11</v>
      </c>
      <c r="I6" s="26" t="s">
        <v>12</v>
      </c>
      <c r="J6" s="26" t="s">
        <v>13</v>
      </c>
      <c r="K6" s="26" t="s">
        <v>14</v>
      </c>
      <c r="L6" s="26" t="s">
        <v>15</v>
      </c>
      <c r="M6" s="26" t="s">
        <v>16</v>
      </c>
      <c r="N6" s="26" t="s">
        <v>17</v>
      </c>
      <c r="O6" s="26" t="s">
        <v>18</v>
      </c>
      <c r="P6" s="26" t="s">
        <v>7</v>
      </c>
      <c r="Q6" s="26" t="s">
        <v>8</v>
      </c>
    </row>
    <row r="7" customFormat="false" ht="15" hidden="false" customHeight="true" outlineLevel="0" collapsed="false">
      <c r="A7" s="8" t="s">
        <v>19</v>
      </c>
      <c r="B7" s="8" t="str">
        <f aca="false">листопад!B7</f>
        <v>Бережний В.М.</v>
      </c>
      <c r="C7" s="8" t="s">
        <v>21</v>
      </c>
      <c r="D7" s="27" t="n">
        <f aca="false">листопад!P7</f>
        <v>3721.32</v>
      </c>
      <c r="E7" s="27" t="n">
        <f aca="false">листопад!Q7</f>
        <v>0</v>
      </c>
      <c r="F7" s="27" t="n">
        <f aca="false">листопад!F7</f>
        <v>0</v>
      </c>
      <c r="G7" s="27" t="n">
        <f aca="false">листопад!G7</f>
        <v>64.26</v>
      </c>
      <c r="H7" s="27" t="n">
        <f aca="false">листопад!H7</f>
        <v>0</v>
      </c>
      <c r="I7" s="28" t="n">
        <f aca="false">листопад!I7</f>
        <v>4.1</v>
      </c>
      <c r="J7" s="27" t="n">
        <f aca="false">ROUND(G7*I7,2)</f>
        <v>263.47</v>
      </c>
      <c r="K7" s="27"/>
      <c r="L7" s="27"/>
      <c r="M7" s="27"/>
      <c r="N7" s="27" t="n">
        <f aca="false">ROUND((G7*I7)-K7-L7-M7,2)</f>
        <v>263.47</v>
      </c>
      <c r="O7" s="27"/>
      <c r="P7" s="27" t="n">
        <f aca="false">ROUND(IF(D7=0,IF((N7-E7-O7)&gt;0,(N7-E7-O7),0),IF((D7+N7-O7)&gt;0,(D7+N7-O7),0)),2)</f>
        <v>3984.79</v>
      </c>
      <c r="Q7" s="27" t="n">
        <f aca="false">ROUND(IF(E7=0,IF((D7+N7-O7)&lt;0,ABS(D7+N7-O7),0),IF((N7-E7-O7)&lt;0,ABS(N7-E7-O7),0)),2)</f>
        <v>0</v>
      </c>
      <c r="R7" s="17"/>
      <c r="S7" s="17"/>
    </row>
    <row r="8" customFormat="false" ht="15" hidden="false" customHeight="true" outlineLevel="0" collapsed="false">
      <c r="A8" s="8" t="s">
        <v>22</v>
      </c>
      <c r="B8" s="8" t="str">
        <f aca="false">листопад!B8</f>
        <v>Старикова Т.О.</v>
      </c>
      <c r="C8" s="8" t="s">
        <v>24</v>
      </c>
      <c r="D8" s="27" t="n">
        <f aca="false">листопад!P8</f>
        <v>2196.81</v>
      </c>
      <c r="E8" s="27" t="n">
        <f aca="false">листопад!Q8</f>
        <v>0</v>
      </c>
      <c r="F8" s="27" t="n">
        <f aca="false">листопад!F8</f>
        <v>0</v>
      </c>
      <c r="G8" s="27" t="n">
        <f aca="false">листопад!G8</f>
        <v>48.71</v>
      </c>
      <c r="H8" s="27" t="n">
        <f aca="false">листопад!H8</f>
        <v>0</v>
      </c>
      <c r="I8" s="28" t="n">
        <f aca="false">листопад!I8</f>
        <v>4.1</v>
      </c>
      <c r="J8" s="27" t="n">
        <f aca="false">ROUND(G8*I8,2)</f>
        <v>199.71</v>
      </c>
      <c r="K8" s="27"/>
      <c r="L8" s="27"/>
      <c r="M8" s="27"/>
      <c r="N8" s="27" t="n">
        <f aca="false">ROUND((G8*I8)-K8-L8-M8,2)</f>
        <v>199.71</v>
      </c>
      <c r="O8" s="27"/>
      <c r="P8" s="27" t="n">
        <f aca="false">ROUND(IF(D8=0,IF((N8-E8-O8)&gt;0,(N8-E8-O8),0),IF((D8+N8-O8)&gt;0,(D8+N8-O8),0)),2)</f>
        <v>2396.52</v>
      </c>
      <c r="Q8" s="27" t="n">
        <f aca="false">ROUND(IF(E8=0,IF((D8+N8-O8)&lt;0,ABS(D8+N8-O8),0),IF((N8-E8-O8)&lt;0,ABS(N8-E8-O8),0)),2)</f>
        <v>0</v>
      </c>
      <c r="R8" s="17"/>
      <c r="S8" s="17"/>
    </row>
    <row r="9" customFormat="false" ht="15" hidden="false" customHeight="true" outlineLevel="0" collapsed="false">
      <c r="A9" s="8" t="s">
        <v>25</v>
      </c>
      <c r="B9" s="8" t="str">
        <f aca="false">листопад!B9</f>
        <v>Мазур Т.В.</v>
      </c>
      <c r="C9" s="8" t="s">
        <v>27</v>
      </c>
      <c r="D9" s="27" t="n">
        <f aca="false">листопад!P9</f>
        <v>1722</v>
      </c>
      <c r="E9" s="27" t="n">
        <f aca="false">листопад!Q9</f>
        <v>0</v>
      </c>
      <c r="F9" s="27" t="n">
        <f aca="false">листопад!F9</f>
        <v>0</v>
      </c>
      <c r="G9" s="27" t="n">
        <f aca="false">листопад!G9</f>
        <v>35</v>
      </c>
      <c r="H9" s="27" t="n">
        <f aca="false">листопад!H9</f>
        <v>0</v>
      </c>
      <c r="I9" s="28" t="n">
        <f aca="false">листопад!I9</f>
        <v>4.1</v>
      </c>
      <c r="J9" s="27" t="n">
        <f aca="false">ROUND(G9*I9,2)</f>
        <v>143.5</v>
      </c>
      <c r="K9" s="27"/>
      <c r="L9" s="27"/>
      <c r="M9" s="27"/>
      <c r="N9" s="27" t="n">
        <f aca="false">ROUND((G9*I9)-K9-L9-M9,2)</f>
        <v>143.5</v>
      </c>
      <c r="O9" s="27"/>
      <c r="P9" s="27" t="n">
        <f aca="false">ROUND(IF(D9=0,IF((N9-E9-O9)&gt;0,(N9-E9-O9),0),IF((D9+N9-O9)&gt;0,(D9+N9-O9),0)),2)</f>
        <v>1865.5</v>
      </c>
      <c r="Q9" s="27" t="n">
        <f aca="false">ROUND(IF(E9=0,IF((D9+N9-O9)&lt;0,ABS(D9+N9-O9),0),IF((N9-E9-O9)&lt;0,ABS(N9-E9-O9),0)),2)</f>
        <v>0</v>
      </c>
      <c r="R9" s="17"/>
      <c r="S9" s="17"/>
    </row>
    <row r="10" customFormat="false" ht="15" hidden="false" customHeight="true" outlineLevel="0" collapsed="false">
      <c r="A10" s="8" t="s">
        <v>28</v>
      </c>
      <c r="B10" s="8" t="str">
        <f aca="false">листопад!B10</f>
        <v>Сокол О.В.</v>
      </c>
      <c r="C10" s="8" t="s">
        <v>30</v>
      </c>
      <c r="D10" s="27" t="n">
        <f aca="false">листопад!P10</f>
        <v>2525.6</v>
      </c>
      <c r="E10" s="27" t="n">
        <f aca="false">листопад!Q10</f>
        <v>0</v>
      </c>
      <c r="F10" s="27" t="n">
        <f aca="false">листопад!F10</f>
        <v>0</v>
      </c>
      <c r="G10" s="27" t="n">
        <f aca="false">листопад!G10</f>
        <v>61.6</v>
      </c>
      <c r="H10" s="27" t="n">
        <f aca="false">листопад!H10</f>
        <v>0</v>
      </c>
      <c r="I10" s="28" t="n">
        <f aca="false">листопад!I10</f>
        <v>4.1</v>
      </c>
      <c r="J10" s="27" t="n">
        <f aca="false">ROUND(G10*I10,2)</f>
        <v>252.56</v>
      </c>
      <c r="K10" s="27"/>
      <c r="L10" s="27"/>
      <c r="M10" s="27"/>
      <c r="N10" s="27" t="n">
        <f aca="false">ROUND((G10*I10)-K10-L10-M10,2)</f>
        <v>252.56</v>
      </c>
      <c r="O10" s="27"/>
      <c r="P10" s="27" t="n">
        <f aca="false">ROUND(IF(D10=0,IF((N10-E10-O10)&gt;0,(N10-E10-O10),0),IF((D10+N10-O10)&gt;0,(D10+N10-O10),0)),2)</f>
        <v>2778.16</v>
      </c>
      <c r="Q10" s="27" t="n">
        <f aca="false">ROUND(IF(E10=0,IF((D10+N10-O10)&lt;0,ABS(D10+N10-O10),0),IF((N10-E10-O10)&lt;0,ABS(N10-E10-O10),0)),2)</f>
        <v>0</v>
      </c>
      <c r="R10" s="17"/>
      <c r="S10" s="17"/>
    </row>
    <row r="11" customFormat="false" ht="15" hidden="false" customHeight="true" outlineLevel="0" collapsed="false">
      <c r="A11" s="8" t="s">
        <v>31</v>
      </c>
      <c r="B11" s="8" t="str">
        <f aca="false">листопад!B11</f>
        <v>Семко Л.І.</v>
      </c>
      <c r="C11" s="8" t="s">
        <v>33</v>
      </c>
      <c r="D11" s="27" t="n">
        <f aca="false">листопад!P11</f>
        <v>3921.96</v>
      </c>
      <c r="E11" s="27" t="n">
        <f aca="false">листопад!Q11</f>
        <v>0</v>
      </c>
      <c r="F11" s="27" t="n">
        <f aca="false">листопад!F11</f>
        <v>0</v>
      </c>
      <c r="G11" s="27" t="n">
        <f aca="false">листопад!G11</f>
        <v>28.34</v>
      </c>
      <c r="H11" s="27" t="n">
        <f aca="false">листопад!H11</f>
        <v>0</v>
      </c>
      <c r="I11" s="28" t="n">
        <f aca="false">листопад!I11</f>
        <v>4.1</v>
      </c>
      <c r="J11" s="27" t="n">
        <f aca="false">ROUND(G11*I11,2)</f>
        <v>116.19</v>
      </c>
      <c r="K11" s="27"/>
      <c r="L11" s="27"/>
      <c r="M11" s="27"/>
      <c r="N11" s="27" t="n">
        <f aca="false">ROUND((G11*I11)-K11-L11-M11,2)</f>
        <v>116.19</v>
      </c>
      <c r="O11" s="27"/>
      <c r="P11" s="27" t="n">
        <f aca="false">ROUND(IF(D11=0,IF((N11-E11-O11)&gt;0,(N11-E11-O11),0),IF((D11+N11-O11)&gt;0,(D11+N11-O11),0)),2)</f>
        <v>4038.15</v>
      </c>
      <c r="Q11" s="27" t="n">
        <f aca="false">ROUND(IF(E11=0,IF((D11+N11-O11)&lt;0,ABS(D11+N11-O11),0),IF((N11-E11-O11)&lt;0,ABS(N11-E11-O11),0)),2)</f>
        <v>0</v>
      </c>
      <c r="R11" s="17"/>
      <c r="S11" s="17"/>
    </row>
    <row r="12" customFormat="false" ht="15" hidden="false" customHeight="true" outlineLevel="0" collapsed="false">
      <c r="A12" s="8" t="s">
        <v>31</v>
      </c>
      <c r="B12" s="8" t="str">
        <f aca="false">листопад!B12</f>
        <v>Гаркуша Н.І.</v>
      </c>
      <c r="C12" s="8" t="s">
        <v>35</v>
      </c>
      <c r="D12" s="27" t="n">
        <f aca="false">листопад!P12</f>
        <v>2462.67</v>
      </c>
      <c r="E12" s="27" t="n">
        <f aca="false">листопад!Q12</f>
        <v>0</v>
      </c>
      <c r="F12" s="27" t="n">
        <f aca="false">листопад!F12</f>
        <v>0</v>
      </c>
      <c r="G12" s="27" t="n">
        <f aca="false">листопад!G12</f>
        <v>36.66</v>
      </c>
      <c r="H12" s="27" t="n">
        <f aca="false">листопад!H12</f>
        <v>0</v>
      </c>
      <c r="I12" s="28" t="n">
        <f aca="false">листопад!I12</f>
        <v>4.1</v>
      </c>
      <c r="J12" s="27" t="n">
        <f aca="false">ROUND(G12*I12,2)</f>
        <v>150.31</v>
      </c>
      <c r="K12" s="27"/>
      <c r="L12" s="27"/>
      <c r="M12" s="27"/>
      <c r="N12" s="27" t="n">
        <f aca="false">ROUND((G12*I12)-K12-L12-M12,2)</f>
        <v>150.31</v>
      </c>
      <c r="O12" s="27"/>
      <c r="P12" s="27" t="n">
        <f aca="false">ROUND(IF(D12=0,IF((N12-E12-O12)&gt;0,(N12-E12-O12),0),IF((D12+N12-O12)&gt;0,(D12+N12-O12),0)),2)</f>
        <v>2612.98</v>
      </c>
      <c r="Q12" s="27" t="n">
        <f aca="false">ROUND(IF(E12=0,IF((D12+N12-O12)&lt;0,ABS(D12+N12-O12),0),IF((N12-E12-O12)&lt;0,ABS(N12-E12-O12),0)),2)</f>
        <v>0</v>
      </c>
      <c r="R12" s="17"/>
      <c r="S12" s="17"/>
    </row>
    <row r="13" customFormat="false" ht="15" hidden="false" customHeight="true" outlineLevel="0" collapsed="false">
      <c r="A13" s="8" t="s">
        <v>36</v>
      </c>
      <c r="B13" s="8" t="str">
        <f aca="false">листопад!B13</f>
        <v>Андріяшев В.М</v>
      </c>
      <c r="C13" s="8" t="s">
        <v>38</v>
      </c>
      <c r="D13" s="27" t="n">
        <f aca="false">листопад!P13</f>
        <v>2380.54</v>
      </c>
      <c r="E13" s="27" t="n">
        <f aca="false">листопад!Q13</f>
        <v>0</v>
      </c>
      <c r="F13" s="27" t="n">
        <f aca="false">листопад!F13</f>
        <v>0</v>
      </c>
      <c r="G13" s="27" t="n">
        <f aca="false">листопад!G13</f>
        <v>49.8</v>
      </c>
      <c r="H13" s="27" t="n">
        <f aca="false">листопад!H13</f>
        <v>0</v>
      </c>
      <c r="I13" s="28" t="n">
        <f aca="false">листопад!I13</f>
        <v>4.1</v>
      </c>
      <c r="J13" s="27" t="n">
        <f aca="false">ROUND(G13*I13,2)</f>
        <v>204.18</v>
      </c>
      <c r="K13" s="27"/>
      <c r="L13" s="27"/>
      <c r="M13" s="27"/>
      <c r="N13" s="27" t="n">
        <f aca="false">ROUND((G13*I13)-K13-L13-M13,2)</f>
        <v>204.18</v>
      </c>
      <c r="O13" s="27"/>
      <c r="P13" s="27" t="n">
        <f aca="false">ROUND(IF(D13=0,IF((N13-E13-O13)&gt;0,(N13-E13-O13),0),IF((D13+N13-O13)&gt;0,(D13+N13-O13),0)),2)</f>
        <v>2584.72</v>
      </c>
      <c r="Q13" s="27" t="n">
        <f aca="false">ROUND(IF(E13=0,IF((D13+N13-O13)&lt;0,ABS(D13+N13-O13),0),IF((N13-E13-O13)&lt;0,ABS(N13-E13-O13),0)),2)</f>
        <v>0</v>
      </c>
      <c r="R13" s="17"/>
      <c r="S13" s="17"/>
    </row>
    <row r="14" customFormat="false" ht="15" hidden="false" customHeight="true" outlineLevel="0" collapsed="false">
      <c r="A14" s="8" t="s">
        <v>39</v>
      </c>
      <c r="B14" s="8" t="str">
        <f aca="false">листопад!B14</f>
        <v>Старчикова О.М.</v>
      </c>
      <c r="C14" s="8" t="s">
        <v>41</v>
      </c>
      <c r="D14" s="27" t="n">
        <f aca="false">листопад!P14</f>
        <v>1704.84</v>
      </c>
      <c r="E14" s="27" t="n">
        <f aca="false">листопад!Q14</f>
        <v>0</v>
      </c>
      <c r="F14" s="27" t="n">
        <f aca="false">листопад!F14</f>
        <v>0</v>
      </c>
      <c r="G14" s="27" t="n">
        <f aca="false">листопад!G14</f>
        <v>34.65</v>
      </c>
      <c r="H14" s="27" t="n">
        <f aca="false">листопад!H14</f>
        <v>0</v>
      </c>
      <c r="I14" s="28" t="n">
        <f aca="false">листопад!I14</f>
        <v>4.1</v>
      </c>
      <c r="J14" s="27" t="n">
        <f aca="false">ROUND(G14*I14,2)</f>
        <v>142.07</v>
      </c>
      <c r="K14" s="27"/>
      <c r="L14" s="27"/>
      <c r="M14" s="27"/>
      <c r="N14" s="27" t="n">
        <f aca="false">ROUND((G14*I14)-K14-L14-M14,2)</f>
        <v>142.07</v>
      </c>
      <c r="O14" s="27"/>
      <c r="P14" s="27" t="n">
        <f aca="false">ROUND(IF(D14=0,IF((N14-E14-O14)&gt;0,(N14-E14-O14),0),IF((D14+N14-O14)&gt;0,(D14+N14-O14),0)),2)</f>
        <v>1846.91</v>
      </c>
      <c r="Q14" s="27" t="n">
        <f aca="false">ROUND(IF(E14=0,IF((D14+N14-O14)&lt;0,ABS(D14+N14-O14),0),IF((N14-E14-O14)&lt;0,ABS(N14-E14-O14),0)),2)</f>
        <v>0</v>
      </c>
      <c r="R14" s="17"/>
      <c r="S14" s="17"/>
    </row>
    <row r="15" customFormat="false" ht="15" hidden="false" customHeight="true" outlineLevel="0" collapsed="false">
      <c r="A15" s="8" t="s">
        <v>42</v>
      </c>
      <c r="B15" s="8" t="str">
        <f aca="false">листопад!B15</f>
        <v>Безер Т.М</v>
      </c>
      <c r="C15" s="8" t="s">
        <v>44</v>
      </c>
      <c r="D15" s="27" t="n">
        <f aca="false">листопад!P15</f>
        <v>2795.44</v>
      </c>
      <c r="E15" s="27" t="n">
        <f aca="false">листопад!Q15</f>
        <v>0</v>
      </c>
      <c r="F15" s="27" t="n">
        <f aca="false">листопад!F15</f>
        <v>0</v>
      </c>
      <c r="G15" s="27" t="n">
        <f aca="false">листопад!G15</f>
        <v>62.14</v>
      </c>
      <c r="H15" s="27" t="n">
        <f aca="false">листопад!H15</f>
        <v>0</v>
      </c>
      <c r="I15" s="28" t="n">
        <f aca="false">листопад!I15</f>
        <v>4.1</v>
      </c>
      <c r="J15" s="27" t="n">
        <f aca="false">ROUND(G15*I15,2)</f>
        <v>254.77</v>
      </c>
      <c r="K15" s="27"/>
      <c r="L15" s="27"/>
      <c r="M15" s="27"/>
      <c r="N15" s="27" t="n">
        <f aca="false">ROUND((G15*I15)-K15-L15-M15,2)</f>
        <v>254.77</v>
      </c>
      <c r="O15" s="27"/>
      <c r="P15" s="27" t="n">
        <f aca="false">ROUND(IF(D15=0,IF((N15-E15-O15)&gt;0,(N15-E15-O15),0),IF((D15+N15-O15)&gt;0,(D15+N15-O15),0)),2)</f>
        <v>3050.21</v>
      </c>
      <c r="Q15" s="27" t="n">
        <f aca="false">ROUND(IF(E15=0,IF((D15+N15-O15)&lt;0,ABS(D15+N15-O15),0),IF((N15-E15-O15)&lt;0,ABS(N15-E15-O15),0)),2)</f>
        <v>0</v>
      </c>
      <c r="R15" s="17"/>
      <c r="S15" s="17"/>
    </row>
    <row r="16" customFormat="false" ht="15" hidden="false" customHeight="true" outlineLevel="0" collapsed="false">
      <c r="A16" s="8" t="s">
        <v>45</v>
      </c>
      <c r="B16" s="8" t="str">
        <f aca="false">листопад!B16</f>
        <v>Решетило М.М</v>
      </c>
      <c r="C16" s="8" t="s">
        <v>47</v>
      </c>
      <c r="D16" s="27" t="n">
        <f aca="false">листопад!P16</f>
        <v>3740.48</v>
      </c>
      <c r="E16" s="27" t="n">
        <f aca="false">листопад!Q16</f>
        <v>0</v>
      </c>
      <c r="F16" s="27" t="n">
        <f aca="false">листопад!F16</f>
        <v>0</v>
      </c>
      <c r="G16" s="27" t="n">
        <f aca="false">листопад!G16</f>
        <v>65.16</v>
      </c>
      <c r="H16" s="27" t="n">
        <f aca="false">листопад!H16</f>
        <v>0</v>
      </c>
      <c r="I16" s="28" t="n">
        <f aca="false">листопад!I16</f>
        <v>4.1</v>
      </c>
      <c r="J16" s="27" t="n">
        <f aca="false">ROUND(G16*I16,2)</f>
        <v>267.16</v>
      </c>
      <c r="K16" s="27"/>
      <c r="L16" s="27"/>
      <c r="M16" s="27"/>
      <c r="N16" s="27" t="n">
        <f aca="false">ROUND((G16*I16)-K16-L16-M16,2)</f>
        <v>267.16</v>
      </c>
      <c r="O16" s="27"/>
      <c r="P16" s="27" t="n">
        <f aca="false">ROUND(IF(D16=0,IF((N16-E16-O16)&gt;0,(N16-E16-O16),0),IF((D16+N16-O16)&gt;0,(D16+N16-O16),0)),2)</f>
        <v>4007.64</v>
      </c>
      <c r="Q16" s="27" t="n">
        <f aca="false">ROUND(IF(E16=0,IF((D16+N16-O16)&lt;0,ABS(D16+N16-O16),0),IF((N16-E16-O16)&lt;0,ABS(N16-E16-O16),0)),2)</f>
        <v>0</v>
      </c>
      <c r="R16" s="17"/>
      <c r="S16" s="17"/>
    </row>
    <row r="17" customFormat="false" ht="15" hidden="false" customHeight="true" outlineLevel="0" collapsed="false">
      <c r="A17" s="8" t="s">
        <v>48</v>
      </c>
      <c r="B17" s="8" t="str">
        <f aca="false">листопад!B17</f>
        <v>Фесенко О.В.</v>
      </c>
      <c r="C17" s="8" t="s">
        <v>50</v>
      </c>
      <c r="D17" s="27" t="n">
        <f aca="false">листопад!P17</f>
        <v>7136.2</v>
      </c>
      <c r="E17" s="27" t="n">
        <f aca="false">листопад!Q17</f>
        <v>0</v>
      </c>
      <c r="F17" s="27" t="n">
        <f aca="false">листопад!F17</f>
        <v>0</v>
      </c>
      <c r="G17" s="27" t="n">
        <f aca="false">листопад!G17</f>
        <v>50.1</v>
      </c>
      <c r="H17" s="27" t="n">
        <f aca="false">листопад!H17</f>
        <v>0</v>
      </c>
      <c r="I17" s="28" t="n">
        <f aca="false">листопад!I17</f>
        <v>4.1</v>
      </c>
      <c r="J17" s="27" t="n">
        <f aca="false">ROUND(G17*I17,2)</f>
        <v>205.41</v>
      </c>
      <c r="K17" s="27"/>
      <c r="L17" s="27"/>
      <c r="M17" s="27"/>
      <c r="N17" s="27" t="n">
        <f aca="false">ROUND((G17*I17)-K17-L17-M17,2)</f>
        <v>205.41</v>
      </c>
      <c r="O17" s="27"/>
      <c r="P17" s="27" t="n">
        <f aca="false">ROUND(IF(D17=0,IF((N17-E17-O17)&gt;0,(N17-E17-O17),0),IF((D17+N17-O17)&gt;0,(D17+N17-O17),0)),2)</f>
        <v>7341.61</v>
      </c>
      <c r="Q17" s="27" t="n">
        <f aca="false">ROUND(IF(E17=0,IF((D17+N17-O17)&lt;0,ABS(D17+N17-O17),0),IF((N17-E17-O17)&lt;0,ABS(N17-E17-O17),0)),2)</f>
        <v>0</v>
      </c>
      <c r="R17" s="17"/>
      <c r="S17" s="17"/>
    </row>
    <row r="18" customFormat="false" ht="15" hidden="false" customHeight="true" outlineLevel="0" collapsed="false">
      <c r="A18" s="8" t="s">
        <v>51</v>
      </c>
      <c r="B18" s="8" t="str">
        <f aca="false">листопад!B18</f>
        <v>Петренко О.М.</v>
      </c>
      <c r="C18" s="8" t="s">
        <v>53</v>
      </c>
      <c r="D18" s="27" t="n">
        <f aca="false">листопад!P18</f>
        <v>3135.72</v>
      </c>
      <c r="E18" s="27" t="n">
        <f aca="false">листопад!Q18</f>
        <v>0</v>
      </c>
      <c r="F18" s="27" t="n">
        <f aca="false">листопад!F18</f>
        <v>0</v>
      </c>
      <c r="G18" s="27" t="n">
        <f aca="false">листопад!G18</f>
        <v>35.2</v>
      </c>
      <c r="H18" s="27" t="n">
        <f aca="false">листопад!H18</f>
        <v>0</v>
      </c>
      <c r="I18" s="28" t="n">
        <f aca="false">листопад!I18</f>
        <v>4.1</v>
      </c>
      <c r="J18" s="27" t="n">
        <f aca="false">ROUND(G18*I18,2)</f>
        <v>144.32</v>
      </c>
      <c r="K18" s="27"/>
      <c r="L18" s="27"/>
      <c r="M18" s="27"/>
      <c r="N18" s="27" t="n">
        <f aca="false">ROUND((G18*I18)-K18-L18-M18,2)</f>
        <v>144.32</v>
      </c>
      <c r="O18" s="27"/>
      <c r="P18" s="27" t="n">
        <f aca="false">ROUND(IF(D18=0,IF((N18-E18-O18)&gt;0,(N18-E18-O18),0),IF((D18+N18-O18)&gt;0,(D18+N18-O18),0)),2)</f>
        <v>3280.04</v>
      </c>
      <c r="Q18" s="27" t="n">
        <f aca="false">ROUND(IF(E18=0,IF((D18+N18-O18)&lt;0,ABS(D18+N18-O18),0),IF((N18-E18-O18)&lt;0,ABS(N18-E18-O18),0)),2)</f>
        <v>0</v>
      </c>
      <c r="R18" s="17"/>
      <c r="S18" s="17"/>
    </row>
    <row r="19" customFormat="false" ht="15" hidden="false" customHeight="true" outlineLevel="0" collapsed="false">
      <c r="A19" s="8" t="s">
        <v>54</v>
      </c>
      <c r="B19" s="8" t="str">
        <f aca="false">листопад!B19</f>
        <v>Зеленюк А.Д</v>
      </c>
      <c r="C19" s="8" t="s">
        <v>56</v>
      </c>
      <c r="D19" s="27" t="n">
        <f aca="false">листопад!P19</f>
        <v>15011.01</v>
      </c>
      <c r="E19" s="27" t="n">
        <f aca="false">листопад!Q19</f>
        <v>0</v>
      </c>
      <c r="F19" s="27" t="n">
        <f aca="false">листопад!F19</f>
        <v>0</v>
      </c>
      <c r="G19" s="27" t="n">
        <f aca="false">листопад!G19</f>
        <v>62.78</v>
      </c>
      <c r="H19" s="27" t="n">
        <f aca="false">листопад!H19</f>
        <v>0</v>
      </c>
      <c r="I19" s="28" t="n">
        <f aca="false">листопад!I19</f>
        <v>4.1</v>
      </c>
      <c r="J19" s="27" t="n">
        <f aca="false">ROUND(G19*I19,2)</f>
        <v>257.4</v>
      </c>
      <c r="K19" s="27"/>
      <c r="L19" s="27"/>
      <c r="M19" s="27"/>
      <c r="N19" s="27" t="n">
        <f aca="false">ROUND((G19*I19)-K19-L19-M19,2)</f>
        <v>257.4</v>
      </c>
      <c r="O19" s="27"/>
      <c r="P19" s="27" t="n">
        <f aca="false">ROUND(IF(D19=0,IF((N19-E19-O19)&gt;0,(N19-E19-O19),0),IF((D19+N19-O19)&gt;0,(D19+N19-O19),0)),2)</f>
        <v>15268.41</v>
      </c>
      <c r="Q19" s="27" t="n">
        <f aca="false">ROUND(IF(E19=0,IF((D19+N19-O19)&lt;0,ABS(D19+N19-O19),0),IF((N19-E19-O19)&lt;0,ABS(N19-E19-O19),0)),2)</f>
        <v>0</v>
      </c>
      <c r="R19" s="17"/>
      <c r="S19" s="17"/>
    </row>
    <row r="20" customFormat="false" ht="15" hidden="false" customHeight="true" outlineLevel="0" collapsed="false">
      <c r="A20" s="8" t="s">
        <v>57</v>
      </c>
      <c r="B20" s="8" t="str">
        <f aca="false">листопад!B20</f>
        <v>Вовк І.В</v>
      </c>
      <c r="C20" s="8" t="s">
        <v>59</v>
      </c>
      <c r="D20" s="27" t="n">
        <f aca="false">листопад!P20</f>
        <v>6472.2</v>
      </c>
      <c r="E20" s="27" t="n">
        <f aca="false">листопад!Q20</f>
        <v>0</v>
      </c>
      <c r="F20" s="27" t="n">
        <f aca="false">листопад!F20</f>
        <v>0</v>
      </c>
      <c r="G20" s="27" t="n">
        <f aca="false">листопад!G20</f>
        <v>28.23</v>
      </c>
      <c r="H20" s="27" t="n">
        <f aca="false">листопад!H20</f>
        <v>0</v>
      </c>
      <c r="I20" s="28" t="n">
        <f aca="false">листопад!I20</f>
        <v>4.1</v>
      </c>
      <c r="J20" s="27" t="n">
        <f aca="false">ROUND(G20*I20,2)</f>
        <v>115.74</v>
      </c>
      <c r="K20" s="27"/>
      <c r="L20" s="27"/>
      <c r="M20" s="27"/>
      <c r="N20" s="27" t="n">
        <f aca="false">ROUND((G20*I20)-K20-L20-M20,2)</f>
        <v>115.74</v>
      </c>
      <c r="O20" s="27"/>
      <c r="P20" s="27" t="n">
        <f aca="false">ROUND(IF(D20=0,IF((N20-E20-O20)&gt;0,(N20-E20-O20),0),IF((D20+N20-O20)&gt;0,(D20+N20-O20),0)),2)</f>
        <v>6587.94</v>
      </c>
      <c r="Q20" s="27" t="n">
        <f aca="false">ROUND(IF(E20=0,IF((D20+N20-O20)&lt;0,ABS(D20+N20-O20),0),IF((N20-E20-O20)&lt;0,ABS(N20-E20-O20),0)),2)</f>
        <v>0</v>
      </c>
      <c r="R20" s="17"/>
      <c r="S20" s="17"/>
    </row>
    <row r="21" customFormat="false" ht="15" hidden="false" customHeight="true" outlineLevel="0" collapsed="false">
      <c r="A21" s="8" t="s">
        <v>57</v>
      </c>
      <c r="B21" s="8" t="str">
        <f aca="false">листопад!B21</f>
        <v>Романовський В.М</v>
      </c>
      <c r="C21" s="8" t="s">
        <v>61</v>
      </c>
      <c r="D21" s="27" t="n">
        <f aca="false">листопад!P21</f>
        <v>7158.22</v>
      </c>
      <c r="E21" s="27" t="n">
        <f aca="false">листопад!Q21</f>
        <v>0</v>
      </c>
      <c r="F21" s="27" t="n">
        <f aca="false">листопад!F21</f>
        <v>0</v>
      </c>
      <c r="G21" s="27" t="n">
        <f aca="false">листопад!G21</f>
        <v>37.84</v>
      </c>
      <c r="H21" s="27" t="n">
        <f aca="false">листопад!H21</f>
        <v>0</v>
      </c>
      <c r="I21" s="28" t="n">
        <f aca="false">листопад!I21</f>
        <v>4.1</v>
      </c>
      <c r="J21" s="27" t="n">
        <f aca="false">ROUND(G21*I21,2)</f>
        <v>155.14</v>
      </c>
      <c r="K21" s="27"/>
      <c r="L21" s="27"/>
      <c r="M21" s="27"/>
      <c r="N21" s="27" t="n">
        <f aca="false">ROUND((G21*I21)-K21-L21-M21,2)</f>
        <v>155.14</v>
      </c>
      <c r="O21" s="27"/>
      <c r="P21" s="27" t="n">
        <f aca="false">ROUND(IF(D21=0,IF((N21-E21-O21)&gt;0,(N21-E21-O21),0),IF((D21+N21-O21)&gt;0,(D21+N21-O21),0)),2)</f>
        <v>7313.36</v>
      </c>
      <c r="Q21" s="27" t="n">
        <f aca="false">ROUND(IF(E21=0,IF((D21+N21-O21)&lt;0,ABS(D21+N21-O21),0),IF((N21-E21-O21)&lt;0,ABS(N21-E21-O21),0)),2)</f>
        <v>0</v>
      </c>
      <c r="R21" s="17"/>
      <c r="S21" s="17"/>
    </row>
    <row r="22" customFormat="false" ht="15" hidden="false" customHeight="true" outlineLevel="0" collapsed="false">
      <c r="A22" s="8" t="s">
        <v>62</v>
      </c>
      <c r="B22" s="8" t="str">
        <f aca="false">листопад!B22</f>
        <v>Ряба Л.І</v>
      </c>
      <c r="C22" s="8" t="s">
        <v>64</v>
      </c>
      <c r="D22" s="27" t="n">
        <f aca="false">листопад!P22</f>
        <v>2287.24</v>
      </c>
      <c r="E22" s="27" t="n">
        <f aca="false">листопад!Q22</f>
        <v>0</v>
      </c>
      <c r="F22" s="27" t="n">
        <f aca="false">листопад!F22</f>
        <v>0</v>
      </c>
      <c r="G22" s="27" t="n">
        <f aca="false">листопад!G22</f>
        <v>49.24</v>
      </c>
      <c r="H22" s="27" t="n">
        <f aca="false">листопад!H22</f>
        <v>0</v>
      </c>
      <c r="I22" s="28" t="n">
        <f aca="false">листопад!I22</f>
        <v>4.1</v>
      </c>
      <c r="J22" s="27" t="n">
        <f aca="false">ROUND(G22*I22,2)</f>
        <v>201.88</v>
      </c>
      <c r="K22" s="27"/>
      <c r="L22" s="27"/>
      <c r="M22" s="27"/>
      <c r="N22" s="27" t="n">
        <f aca="false">ROUND((G22*I22)-K22-L22-M22,2)</f>
        <v>201.88</v>
      </c>
      <c r="O22" s="27"/>
      <c r="P22" s="27" t="n">
        <f aca="false">ROUND(IF(D22=0,IF((N22-E22-O22)&gt;0,(N22-E22-O22),0),IF((D22+N22-O22)&gt;0,(D22+N22-O22),0)),2)</f>
        <v>2489.12</v>
      </c>
      <c r="Q22" s="27" t="n">
        <f aca="false">ROUND(IF(E22=0,IF((D22+N22-O22)&lt;0,ABS(D22+N22-O22),0),IF((N22-E22-O22)&lt;0,ABS(N22-E22-O22),0)),2)</f>
        <v>0</v>
      </c>
      <c r="R22" s="17"/>
      <c r="S22" s="17"/>
    </row>
    <row r="23" customFormat="false" ht="15" hidden="false" customHeight="true" outlineLevel="0" collapsed="false">
      <c r="A23" s="8" t="s">
        <v>65</v>
      </c>
      <c r="B23" s="8" t="str">
        <f aca="false">листопад!B23</f>
        <v>Кас'янова О.А.</v>
      </c>
      <c r="C23" s="8" t="s">
        <v>67</v>
      </c>
      <c r="D23" s="27" t="n">
        <f aca="false">листопад!P23</f>
        <v>2018.81</v>
      </c>
      <c r="E23" s="27" t="n">
        <f aca="false">листопад!Q23</f>
        <v>0</v>
      </c>
      <c r="F23" s="27" t="n">
        <f aca="false">листопад!F23</f>
        <v>0</v>
      </c>
      <c r="G23" s="27" t="n">
        <f aca="false">листопад!G23</f>
        <v>35.1</v>
      </c>
      <c r="H23" s="27" t="n">
        <f aca="false">листопад!H23</f>
        <v>0</v>
      </c>
      <c r="I23" s="28" t="n">
        <f aca="false">листопад!I23</f>
        <v>4.1</v>
      </c>
      <c r="J23" s="27" t="n">
        <f aca="false">ROUND(G23*I23,2)</f>
        <v>143.91</v>
      </c>
      <c r="K23" s="27"/>
      <c r="L23" s="27"/>
      <c r="M23" s="27"/>
      <c r="N23" s="27" t="n">
        <f aca="false">ROUND((G23*I23)-K23-L23-M23,2)</f>
        <v>143.91</v>
      </c>
      <c r="O23" s="27"/>
      <c r="P23" s="27" t="n">
        <f aca="false">ROUND(IF(D23=0,IF((N23-E23-O23)&gt;0,(N23-E23-O23),0),IF((D23+N23-O23)&gt;0,(D23+N23-O23),0)),2)</f>
        <v>2162.72</v>
      </c>
      <c r="Q23" s="27" t="n">
        <f aca="false">ROUND(IF(E23=0,IF((D23+N23-O23)&lt;0,ABS(D23+N23-O23),0),IF((N23-E23-O23)&lt;0,ABS(N23-E23-O23),0)),2)</f>
        <v>0</v>
      </c>
      <c r="R23" s="17"/>
      <c r="S23" s="17"/>
    </row>
    <row r="24" customFormat="false" ht="15" hidden="false" customHeight="true" outlineLevel="0" collapsed="false">
      <c r="A24" s="8" t="s">
        <v>68</v>
      </c>
      <c r="B24" s="8" t="str">
        <f aca="false">листопад!B24</f>
        <v>Корякіна М.В.</v>
      </c>
      <c r="C24" s="8" t="s">
        <v>70</v>
      </c>
      <c r="D24" s="27" t="n">
        <f aca="false">листопад!P24</f>
        <v>7491.69</v>
      </c>
      <c r="E24" s="27" t="n">
        <f aca="false">листопад!Q24</f>
        <v>0</v>
      </c>
      <c r="F24" s="27" t="n">
        <f aca="false">листопад!F24</f>
        <v>0</v>
      </c>
      <c r="G24" s="27" t="n">
        <f aca="false">листопад!G24</f>
        <v>61.9</v>
      </c>
      <c r="H24" s="27" t="n">
        <f aca="false">листопад!H24</f>
        <v>0</v>
      </c>
      <c r="I24" s="28" t="n">
        <f aca="false">листопад!I24</f>
        <v>4.1</v>
      </c>
      <c r="J24" s="27" t="n">
        <f aca="false">ROUND(G24*I24,2)</f>
        <v>253.79</v>
      </c>
      <c r="K24" s="27"/>
      <c r="L24" s="27"/>
      <c r="M24" s="27"/>
      <c r="N24" s="27" t="n">
        <f aca="false">ROUND((G24*I24)-K24-L24-M24,2)</f>
        <v>253.79</v>
      </c>
      <c r="O24" s="27"/>
      <c r="P24" s="27" t="n">
        <f aca="false">ROUND(IF(D24=0,IF((N24-E24-O24)&gt;0,(N24-E24-O24),0),IF((D24+N24-O24)&gt;0,(D24+N24-O24),0)),2)</f>
        <v>7745.48</v>
      </c>
      <c r="Q24" s="27" t="n">
        <f aca="false">ROUND(IF(E24=0,IF((D24+N24-O24)&lt;0,ABS(D24+N24-O24),0),IF((N24-E24-O24)&lt;0,ABS(N24-E24-O24),0)),2)</f>
        <v>0</v>
      </c>
      <c r="R24" s="17"/>
      <c r="S24" s="17"/>
    </row>
    <row r="25" customFormat="false" ht="15" hidden="false" customHeight="true" outlineLevel="0" collapsed="false">
      <c r="A25" s="8" t="s">
        <v>71</v>
      </c>
      <c r="B25" s="8" t="str">
        <f aca="false">листопад!B25</f>
        <v>Сокерчак А.В.</v>
      </c>
      <c r="C25" s="8" t="s">
        <v>73</v>
      </c>
      <c r="D25" s="27" t="n">
        <f aca="false">листопад!P25</f>
        <v>3261.96</v>
      </c>
      <c r="E25" s="27" t="n">
        <f aca="false">листопад!Q25</f>
        <v>0</v>
      </c>
      <c r="F25" s="27" t="n">
        <f aca="false">листопад!F25</f>
        <v>0</v>
      </c>
      <c r="G25" s="27" t="n">
        <f aca="false">листопад!G25</f>
        <v>66.3</v>
      </c>
      <c r="H25" s="27" t="n">
        <f aca="false">листопад!H25</f>
        <v>0</v>
      </c>
      <c r="I25" s="28" t="n">
        <f aca="false">листопад!I25</f>
        <v>4.1</v>
      </c>
      <c r="J25" s="27" t="n">
        <f aca="false">ROUND(G25*I25,2)</f>
        <v>271.83</v>
      </c>
      <c r="K25" s="27"/>
      <c r="L25" s="27"/>
      <c r="M25" s="27"/>
      <c r="N25" s="27" t="n">
        <f aca="false">ROUND((G25*I25)-K25-L25-M25,2)</f>
        <v>271.83</v>
      </c>
      <c r="O25" s="27"/>
      <c r="P25" s="27" t="n">
        <f aca="false">ROUND(IF(D25=0,IF((N25-E25-O25)&gt;0,(N25-E25-O25),0),IF((D25+N25-O25)&gt;0,(D25+N25-O25),0)),2)</f>
        <v>3533.79</v>
      </c>
      <c r="Q25" s="27" t="n">
        <f aca="false">ROUND(IF(E25=0,IF((D25+N25-O25)&lt;0,ABS(D25+N25-O25),0),IF((N25-E25-O25)&lt;0,ABS(N25-E25-O25),0)),2)</f>
        <v>0</v>
      </c>
      <c r="R25" s="17"/>
      <c r="S25" s="17"/>
    </row>
    <row r="26" customFormat="false" ht="15" hidden="false" customHeight="true" outlineLevel="0" collapsed="false">
      <c r="A26" s="8" t="s">
        <v>74</v>
      </c>
      <c r="B26" s="8" t="str">
        <f aca="false">листопад!B26</f>
        <v>Кравченко В.А</v>
      </c>
      <c r="C26" s="8" t="s">
        <v>76</v>
      </c>
      <c r="D26" s="27" t="n">
        <f aca="false">листопад!P26</f>
        <v>2321.77</v>
      </c>
      <c r="E26" s="27" t="n">
        <f aca="false">листопад!Q26</f>
        <v>0</v>
      </c>
      <c r="F26" s="27" t="n">
        <f aca="false">листопад!F26</f>
        <v>0</v>
      </c>
      <c r="G26" s="27" t="n">
        <f aca="false">листопад!G26</f>
        <v>51.48</v>
      </c>
      <c r="H26" s="27" t="n">
        <f aca="false">листопад!H26</f>
        <v>0</v>
      </c>
      <c r="I26" s="28" t="n">
        <f aca="false">листопад!I26</f>
        <v>4.1</v>
      </c>
      <c r="J26" s="27" t="n">
        <f aca="false">ROUND(G26*I26,2)</f>
        <v>211.07</v>
      </c>
      <c r="K26" s="27"/>
      <c r="L26" s="27"/>
      <c r="M26" s="27"/>
      <c r="N26" s="27" t="n">
        <f aca="false">ROUND((G26*I26)-K26-L26-M26,2)</f>
        <v>211.07</v>
      </c>
      <c r="O26" s="27"/>
      <c r="P26" s="27" t="n">
        <f aca="false">ROUND(IF(D26=0,IF((N26-E26-O26)&gt;0,(N26-E26-O26),0),IF((D26+N26-O26)&gt;0,(D26+N26-O26),0)),2)</f>
        <v>2532.84</v>
      </c>
      <c r="Q26" s="27" t="n">
        <f aca="false">ROUND(IF(E26=0,IF((D26+N26-O26)&lt;0,ABS(D26+N26-O26),0),IF((N26-E26-O26)&lt;0,ABS(N26-E26-O26),0)),2)</f>
        <v>0</v>
      </c>
      <c r="R26" s="17"/>
      <c r="S26" s="17"/>
    </row>
    <row r="27" customFormat="false" ht="15" hidden="false" customHeight="true" outlineLevel="0" collapsed="false">
      <c r="A27" s="8" t="s">
        <v>77</v>
      </c>
      <c r="B27" s="8" t="str">
        <f aca="false">листопад!B27</f>
        <v>Чичикало А.С</v>
      </c>
      <c r="C27" s="8" t="s">
        <v>79</v>
      </c>
      <c r="D27" s="27" t="n">
        <f aca="false">листопад!P27</f>
        <v>1012.15</v>
      </c>
      <c r="E27" s="27" t="n">
        <f aca="false">листопад!Q27</f>
        <v>0</v>
      </c>
      <c r="F27" s="27" t="n">
        <f aca="false">листопад!F27</f>
        <v>0</v>
      </c>
      <c r="G27" s="27" t="n">
        <f aca="false">листопад!G27</f>
        <v>35.1</v>
      </c>
      <c r="H27" s="27" t="n">
        <f aca="false">листопад!H27</f>
        <v>0</v>
      </c>
      <c r="I27" s="28" t="n">
        <f aca="false">листопад!I27</f>
        <v>4.1</v>
      </c>
      <c r="J27" s="27" t="n">
        <f aca="false">ROUND(G27*I27,2)</f>
        <v>143.91</v>
      </c>
      <c r="K27" s="27"/>
      <c r="L27" s="27"/>
      <c r="M27" s="27"/>
      <c r="N27" s="27" t="n">
        <f aca="false">ROUND((G27*I27)-K27-L27-M27,2)</f>
        <v>143.91</v>
      </c>
      <c r="O27" s="27"/>
      <c r="P27" s="27" t="n">
        <f aca="false">ROUND(IF(D27=0,IF((N27-E27-O27)&gt;0,(N27-E27-O27),0),IF((D27+N27-O27)&gt;0,(D27+N27-O27),0)),2)</f>
        <v>1156.06</v>
      </c>
      <c r="Q27" s="27" t="n">
        <f aca="false">ROUND(IF(E27=0,IF((D27+N27-O27)&lt;0,ABS(D27+N27-O27),0),IF((N27-E27-O27)&lt;0,ABS(N27-E27-O27),0)),2)</f>
        <v>0</v>
      </c>
      <c r="R27" s="17"/>
      <c r="S27" s="17"/>
    </row>
    <row r="28" customFormat="false" ht="15" hidden="false" customHeight="true" outlineLevel="0" collapsed="false">
      <c r="A28" s="8" t="s">
        <v>80</v>
      </c>
      <c r="B28" s="8" t="str">
        <f aca="false">листопад!B28</f>
        <v>Сільващук А.А</v>
      </c>
      <c r="C28" s="8" t="s">
        <v>82</v>
      </c>
      <c r="D28" s="27" t="n">
        <f aca="false">листопад!P28</f>
        <v>2827.77</v>
      </c>
      <c r="E28" s="27" t="n">
        <f aca="false">листопад!Q28</f>
        <v>0</v>
      </c>
      <c r="F28" s="27" t="n">
        <f aca="false">листопад!F28</f>
        <v>0</v>
      </c>
      <c r="G28" s="27" t="n">
        <f aca="false">листопад!G28</f>
        <v>62.7</v>
      </c>
      <c r="H28" s="27" t="n">
        <f aca="false">листопад!H28</f>
        <v>0</v>
      </c>
      <c r="I28" s="28" t="n">
        <f aca="false">листопад!I28</f>
        <v>4.1</v>
      </c>
      <c r="J28" s="27" t="n">
        <f aca="false">ROUND(G28*I28,2)</f>
        <v>257.07</v>
      </c>
      <c r="K28" s="27"/>
      <c r="L28" s="27"/>
      <c r="M28" s="27"/>
      <c r="N28" s="27" t="n">
        <f aca="false">ROUND((G28*I28)-K28-L28-M28,2)</f>
        <v>257.07</v>
      </c>
      <c r="O28" s="27"/>
      <c r="P28" s="27" t="n">
        <f aca="false">ROUND(IF(D28=0,IF((N28-E28-O28)&gt;0,(N28-E28-O28),0),IF((D28+N28-O28)&gt;0,(D28+N28-O28),0)),2)</f>
        <v>3084.84</v>
      </c>
      <c r="Q28" s="27" t="n">
        <f aca="false">ROUND(IF(E28=0,IF((D28+N28-O28)&lt;0,ABS(D28+N28-O28),0),IF((N28-E28-O28)&lt;0,ABS(N28-E28-O28),0)),2)</f>
        <v>0</v>
      </c>
      <c r="R28" s="17"/>
      <c r="S28" s="17"/>
    </row>
    <row r="29" customFormat="false" ht="15" hidden="false" customHeight="true" outlineLevel="0" collapsed="false">
      <c r="A29" s="8" t="s">
        <v>83</v>
      </c>
      <c r="B29" s="8" t="str">
        <f aca="false">листопад!B29</f>
        <v>Стеценко Г.М</v>
      </c>
      <c r="C29" s="8" t="s">
        <v>85</v>
      </c>
      <c r="D29" s="27" t="n">
        <f aca="false">листопад!P29</f>
        <v>3213.72</v>
      </c>
      <c r="E29" s="27" t="n">
        <f aca="false">листопад!Q29</f>
        <v>0</v>
      </c>
      <c r="F29" s="27" t="n">
        <f aca="false">листопад!F29</f>
        <v>0</v>
      </c>
      <c r="G29" s="27" t="n">
        <f aca="false">листопад!G29</f>
        <v>65.32</v>
      </c>
      <c r="H29" s="27" t="n">
        <f aca="false">листопад!H29</f>
        <v>0</v>
      </c>
      <c r="I29" s="28" t="n">
        <f aca="false">листопад!I29</f>
        <v>4.1</v>
      </c>
      <c r="J29" s="27" t="n">
        <f aca="false">ROUND(G29*I29,2)</f>
        <v>267.81</v>
      </c>
      <c r="K29" s="27"/>
      <c r="L29" s="27"/>
      <c r="M29" s="27"/>
      <c r="N29" s="27" t="n">
        <f aca="false">ROUND((G29*I29)-K29-L29-M29,2)</f>
        <v>267.81</v>
      </c>
      <c r="O29" s="27"/>
      <c r="P29" s="27" t="n">
        <f aca="false">ROUND(IF(D29=0,IF((N29-E29-O29)&gt;0,(N29-E29-O29),0),IF((D29+N29-O29)&gt;0,(D29+N29-O29),0)),2)</f>
        <v>3481.53</v>
      </c>
      <c r="Q29" s="27" t="n">
        <f aca="false">ROUND(IF(E29=0,IF((D29+N29-O29)&lt;0,ABS(D29+N29-O29),0),IF((N29-E29-O29)&lt;0,ABS(N29-E29-O29),0)),2)</f>
        <v>0</v>
      </c>
      <c r="R29" s="17"/>
      <c r="S29" s="17"/>
    </row>
    <row r="30" customFormat="false" ht="15" hidden="false" customHeight="true" outlineLevel="0" collapsed="false">
      <c r="A30" s="8" t="s">
        <v>86</v>
      </c>
      <c r="B30" s="8" t="str">
        <f aca="false">листопад!B30</f>
        <v>Кирдячкіна П.А</v>
      </c>
      <c r="C30" s="8" t="s">
        <v>88</v>
      </c>
      <c r="D30" s="27" t="n">
        <f aca="false">листопад!P30</f>
        <v>2190.95</v>
      </c>
      <c r="E30" s="27" t="n">
        <f aca="false">листопад!Q30</f>
        <v>0</v>
      </c>
      <c r="F30" s="27" t="n">
        <f aca="false">листопад!F30</f>
        <v>0</v>
      </c>
      <c r="G30" s="27" t="n">
        <f aca="false">листопад!G30</f>
        <v>49.7</v>
      </c>
      <c r="H30" s="27" t="n">
        <f aca="false">листопад!H30</f>
        <v>0</v>
      </c>
      <c r="I30" s="28" t="n">
        <f aca="false">листопад!I30</f>
        <v>4.1</v>
      </c>
      <c r="J30" s="27" t="n">
        <f aca="false">ROUND(G30*I30,2)</f>
        <v>203.77</v>
      </c>
      <c r="K30" s="27"/>
      <c r="L30" s="27"/>
      <c r="M30" s="27"/>
      <c r="N30" s="27" t="n">
        <f aca="false">ROUND((G30*I30)-K30-L30-M30,2)</f>
        <v>203.77</v>
      </c>
      <c r="O30" s="27"/>
      <c r="P30" s="27" t="n">
        <f aca="false">ROUND(IF(D30=0,IF((N30-E30-O30)&gt;0,(N30-E30-O30),0),IF((D30+N30-O30)&gt;0,(D30+N30-O30),0)),2)</f>
        <v>2394.72</v>
      </c>
      <c r="Q30" s="27" t="n">
        <f aca="false">ROUND(IF(E30=0,IF((D30+N30-O30)&lt;0,ABS(D30+N30-O30),0),IF((N30-E30-O30)&lt;0,ABS(N30-E30-O30),0)),2)</f>
        <v>0</v>
      </c>
      <c r="R30" s="17"/>
      <c r="S30" s="17"/>
    </row>
    <row r="31" customFormat="false" ht="15" hidden="false" customHeight="true" outlineLevel="0" collapsed="false">
      <c r="A31" s="8" t="s">
        <v>89</v>
      </c>
      <c r="B31" s="8" t="str">
        <f aca="false">листопад!B31</f>
        <v>Фоміченко Л.А</v>
      </c>
      <c r="C31" s="8" t="s">
        <v>91</v>
      </c>
      <c r="D31" s="27" t="n">
        <f aca="false">листопад!P31</f>
        <v>5263.77</v>
      </c>
      <c r="E31" s="27" t="n">
        <f aca="false">листопад!Q31</f>
        <v>0</v>
      </c>
      <c r="F31" s="27" t="n">
        <f aca="false">листопад!F31</f>
        <v>0</v>
      </c>
      <c r="G31" s="27" t="n">
        <f aca="false">листопад!G31</f>
        <v>35.1</v>
      </c>
      <c r="H31" s="27" t="n">
        <f aca="false">листопад!H31</f>
        <v>0</v>
      </c>
      <c r="I31" s="28" t="n">
        <f aca="false">листопад!I31</f>
        <v>4.1</v>
      </c>
      <c r="J31" s="27" t="n">
        <f aca="false">ROUND(G31*I31,2)</f>
        <v>143.91</v>
      </c>
      <c r="K31" s="27"/>
      <c r="L31" s="27"/>
      <c r="M31" s="27"/>
      <c r="N31" s="27" t="n">
        <f aca="false">ROUND((G31*I31)-K31-L31-M31,2)</f>
        <v>143.91</v>
      </c>
      <c r="O31" s="27"/>
      <c r="P31" s="27" t="n">
        <f aca="false">ROUND(IF(D31=0,IF((N31-E31-O31)&gt;0,(N31-E31-O31),0),IF((D31+N31-O31)&gt;0,(D31+N31-O31),0)),2)</f>
        <v>5407.68</v>
      </c>
      <c r="Q31" s="27" t="n">
        <f aca="false">ROUND(IF(E31=0,IF((D31+N31-O31)&lt;0,ABS(D31+N31-O31),0),IF((N31-E31-O31)&lt;0,ABS(N31-E31-O31),0)),2)</f>
        <v>0</v>
      </c>
      <c r="R31" s="17"/>
      <c r="S31" s="17"/>
    </row>
    <row r="32" customFormat="false" ht="15" hidden="false" customHeight="true" outlineLevel="0" collapsed="false">
      <c r="A32" s="8" t="s">
        <v>92</v>
      </c>
      <c r="B32" s="8" t="str">
        <f aca="false">листопад!B32</f>
        <v>Сердюк А.Г</v>
      </c>
      <c r="C32" s="8" t="s">
        <v>94</v>
      </c>
      <c r="D32" s="27" t="n">
        <f aca="false">листопад!P32</f>
        <v>3065.59</v>
      </c>
      <c r="E32" s="27" t="n">
        <f aca="false">листопад!Q32</f>
        <v>0</v>
      </c>
      <c r="F32" s="27" t="n">
        <f aca="false">листопад!F32</f>
        <v>0</v>
      </c>
      <c r="G32" s="27" t="n">
        <f aca="false">листопад!G32</f>
        <v>62.31</v>
      </c>
      <c r="H32" s="27" t="n">
        <f aca="false">листопад!H32</f>
        <v>0</v>
      </c>
      <c r="I32" s="28" t="n">
        <f aca="false">листопад!I32</f>
        <v>4.1</v>
      </c>
      <c r="J32" s="27" t="n">
        <f aca="false">ROUND(G32*I32,2)</f>
        <v>255.47</v>
      </c>
      <c r="K32" s="27"/>
      <c r="L32" s="27"/>
      <c r="M32" s="27"/>
      <c r="N32" s="27" t="n">
        <f aca="false">ROUND((G32*I32)-K32-L32-M32,2)</f>
        <v>255.47</v>
      </c>
      <c r="O32" s="27"/>
      <c r="P32" s="27" t="n">
        <f aca="false">ROUND(IF(D32=0,IF((N32-E32-O32)&gt;0,(N32-E32-O32),0),IF((D32+N32-O32)&gt;0,(D32+N32-O32),0)),2)</f>
        <v>3321.06</v>
      </c>
      <c r="Q32" s="27" t="n">
        <f aca="false">ROUND(IF(E32=0,IF((D32+N32-O32)&lt;0,ABS(D32+N32-O32),0),IF((N32-E32-O32)&lt;0,ABS(N32-E32-O32),0)),2)</f>
        <v>0</v>
      </c>
      <c r="R32" s="17"/>
      <c r="S32" s="17"/>
    </row>
    <row r="33" customFormat="false" ht="15" hidden="false" customHeight="true" outlineLevel="0" collapsed="false">
      <c r="A33" s="8" t="s">
        <v>95</v>
      </c>
      <c r="B33" s="8" t="str">
        <f aca="false">листопад!B33</f>
        <v>Михальченко Г.М</v>
      </c>
      <c r="C33" s="8" t="s">
        <v>97</v>
      </c>
      <c r="D33" s="27" t="n">
        <f aca="false">листопад!P33</f>
        <v>15320.5</v>
      </c>
      <c r="E33" s="27" t="n">
        <f aca="false">листопад!Q33</f>
        <v>0</v>
      </c>
      <c r="F33" s="27" t="n">
        <f aca="false">листопад!F33</f>
        <v>0</v>
      </c>
      <c r="G33" s="27" t="n">
        <f aca="false">листопад!G33</f>
        <v>65.04</v>
      </c>
      <c r="H33" s="27" t="n">
        <f aca="false">листопад!H33</f>
        <v>0</v>
      </c>
      <c r="I33" s="28" t="n">
        <f aca="false">листопад!I33</f>
        <v>4.1</v>
      </c>
      <c r="J33" s="27" t="n">
        <f aca="false">ROUND(G33*I33,2)</f>
        <v>266.66</v>
      </c>
      <c r="K33" s="27"/>
      <c r="L33" s="27"/>
      <c r="M33" s="27"/>
      <c r="N33" s="27" t="n">
        <f aca="false">ROUND((G33*I33)-K33-L33-M33,2)</f>
        <v>266.66</v>
      </c>
      <c r="O33" s="27"/>
      <c r="P33" s="27" t="n">
        <f aca="false">ROUND(IF(D33=0,IF((N33-E33-O33)&gt;0,(N33-E33-O33),0),IF((D33+N33-O33)&gt;0,(D33+N33-O33),0)),2)</f>
        <v>15587.16</v>
      </c>
      <c r="Q33" s="27" t="n">
        <f aca="false">ROUND(IF(E33=0,IF((D33+N33-O33)&lt;0,ABS(D33+N33-O33),0),IF((N33-E33-O33)&lt;0,ABS(N33-E33-O33),0)),2)</f>
        <v>0</v>
      </c>
      <c r="R33" s="17"/>
      <c r="S33" s="17"/>
    </row>
    <row r="34" customFormat="false" ht="15" hidden="false" customHeight="true" outlineLevel="0" collapsed="false">
      <c r="A34" s="8" t="s">
        <v>98</v>
      </c>
      <c r="B34" s="8" t="str">
        <f aca="false">листопад!B34</f>
        <v>Замуховська Я.С</v>
      </c>
      <c r="C34" s="8" t="s">
        <v>100</v>
      </c>
      <c r="D34" s="27" t="n">
        <f aca="false">листопад!P34</f>
        <v>2654.34</v>
      </c>
      <c r="E34" s="27" t="n">
        <f aca="false">листопад!Q34</f>
        <v>0</v>
      </c>
      <c r="F34" s="27" t="n">
        <f aca="false">листопад!F34</f>
        <v>0</v>
      </c>
      <c r="G34" s="27" t="n">
        <f aca="false">листопад!G34</f>
        <v>49.8</v>
      </c>
      <c r="H34" s="27" t="n">
        <f aca="false">листопад!H34</f>
        <v>0</v>
      </c>
      <c r="I34" s="28" t="n">
        <f aca="false">листопад!I34</f>
        <v>4.1</v>
      </c>
      <c r="J34" s="27" t="n">
        <f aca="false">ROUND(G34*I34,2)</f>
        <v>204.18</v>
      </c>
      <c r="K34" s="27"/>
      <c r="L34" s="27"/>
      <c r="M34" s="27"/>
      <c r="N34" s="27" t="n">
        <f aca="false">ROUND((G34*I34)-K34-L34-M34,2)</f>
        <v>204.18</v>
      </c>
      <c r="O34" s="27"/>
      <c r="P34" s="27" t="n">
        <f aca="false">ROUND(IF(D34=0,IF((N34-E34-O34)&gt;0,(N34-E34-O34),0),IF((D34+N34-O34)&gt;0,(D34+N34-O34),0)),2)</f>
        <v>2858.52</v>
      </c>
      <c r="Q34" s="27" t="n">
        <f aca="false">ROUND(IF(E34=0,IF((D34+N34-O34)&lt;0,ABS(D34+N34-O34),0),IF((N34-E34-O34)&lt;0,ABS(N34-E34-O34),0)),2)</f>
        <v>0</v>
      </c>
      <c r="R34" s="17"/>
      <c r="S34" s="17"/>
    </row>
    <row r="35" customFormat="false" ht="15" hidden="false" customHeight="true" outlineLevel="0" collapsed="false">
      <c r="A35" s="8" t="s">
        <v>101</v>
      </c>
      <c r="B35" s="8" t="str">
        <f aca="false">листопад!B35</f>
        <v>Мержиєвська Г.К</v>
      </c>
      <c r="C35" s="8" t="s">
        <v>103</v>
      </c>
      <c r="D35" s="27" t="n">
        <f aca="false">листопад!P35</f>
        <v>1874.6</v>
      </c>
      <c r="E35" s="27" t="n">
        <f aca="false">листопад!Q35</f>
        <v>0</v>
      </c>
      <c r="F35" s="27" t="n">
        <f aca="false">листопад!F35</f>
        <v>0</v>
      </c>
      <c r="G35" s="27" t="n">
        <f aca="false">листопад!G35</f>
        <v>35.17</v>
      </c>
      <c r="H35" s="27" t="n">
        <f aca="false">листопад!H35</f>
        <v>0</v>
      </c>
      <c r="I35" s="28" t="n">
        <f aca="false">листопад!I35</f>
        <v>4.1</v>
      </c>
      <c r="J35" s="27" t="n">
        <f aca="false">ROUND(G35*I35,2)</f>
        <v>144.2</v>
      </c>
      <c r="K35" s="27"/>
      <c r="L35" s="27"/>
      <c r="M35" s="27"/>
      <c r="N35" s="27" t="n">
        <f aca="false">ROUND((G35*I35)-K35-L35-M35,2)</f>
        <v>144.2</v>
      </c>
      <c r="O35" s="27"/>
      <c r="P35" s="27" t="n">
        <f aca="false">ROUND(IF(D35=0,IF((N35-E35-O35)&gt;0,(N35-E35-O35),0),IF((D35+N35-O35)&gt;0,(D35+N35-O35),0)),2)</f>
        <v>2018.8</v>
      </c>
      <c r="Q35" s="27" t="n">
        <f aca="false">ROUND(IF(E35=0,IF((D35+N35-O35)&lt;0,ABS(D35+N35-O35),0),IF((N35-E35-O35)&lt;0,ABS(N35-E35-O35),0)),2)</f>
        <v>0</v>
      </c>
      <c r="R35" s="17"/>
      <c r="S35" s="17"/>
    </row>
    <row r="36" customFormat="false" ht="15" hidden="false" customHeight="true" outlineLevel="0" collapsed="false">
      <c r="A36" s="8" t="s">
        <v>104</v>
      </c>
      <c r="B36" s="8" t="str">
        <f aca="false">листопад!B36</f>
        <v>Кулакова Л.В.</v>
      </c>
      <c r="C36" s="8" t="s">
        <v>106</v>
      </c>
      <c r="D36" s="27" t="n">
        <f aca="false">листопад!P36</f>
        <v>2817.43</v>
      </c>
      <c r="E36" s="27" t="n">
        <f aca="false">листопад!Q36</f>
        <v>0</v>
      </c>
      <c r="F36" s="27" t="n">
        <f aca="false">листопад!F36</f>
        <v>0</v>
      </c>
      <c r="G36" s="27" t="n">
        <f aca="false">листопад!G36</f>
        <v>62.47</v>
      </c>
      <c r="H36" s="27" t="n">
        <f aca="false">листопад!H36</f>
        <v>0</v>
      </c>
      <c r="I36" s="28" t="n">
        <f aca="false">листопад!I36</f>
        <v>4.1</v>
      </c>
      <c r="J36" s="27" t="n">
        <f aca="false">ROUND(G36*I36,2)</f>
        <v>256.13</v>
      </c>
      <c r="K36" s="27"/>
      <c r="L36" s="27"/>
      <c r="M36" s="27"/>
      <c r="N36" s="27" t="n">
        <f aca="false">ROUND((G36*I36)-K36-L36-M36,2)</f>
        <v>256.13</v>
      </c>
      <c r="O36" s="27"/>
      <c r="P36" s="27" t="n">
        <f aca="false">ROUND(IF(D36=0,IF((N36-E36-O36)&gt;0,(N36-E36-O36),0),IF((D36+N36-O36)&gt;0,(D36+N36-O36),0)),2)</f>
        <v>3073.56</v>
      </c>
      <c r="Q36" s="27" t="n">
        <f aca="false">ROUND(IF(E36=0,IF((D36+N36-O36)&lt;0,ABS(D36+N36-O36),0),IF((N36-E36-O36)&lt;0,ABS(N36-E36-O36),0)),2)</f>
        <v>0</v>
      </c>
      <c r="R36" s="17"/>
      <c r="S36" s="17"/>
    </row>
    <row r="37" customFormat="false" ht="15" hidden="false" customHeight="true" outlineLevel="0" collapsed="false">
      <c r="A37" s="8" t="s">
        <v>107</v>
      </c>
      <c r="B37" s="8" t="str">
        <f aca="false">листопад!B37</f>
        <v>Бочаров В.Л.</v>
      </c>
      <c r="C37" s="8" t="s">
        <v>109</v>
      </c>
      <c r="D37" s="27" t="n">
        <f aca="false">листопад!P37</f>
        <v>9948.9</v>
      </c>
      <c r="E37" s="27" t="n">
        <f aca="false">листопад!Q37</f>
        <v>0</v>
      </c>
      <c r="F37" s="27" t="n">
        <f aca="false">листопад!F37</f>
        <v>0</v>
      </c>
      <c r="G37" s="27" t="n">
        <f aca="false">листопад!G37</f>
        <v>65.75</v>
      </c>
      <c r="H37" s="27" t="n">
        <f aca="false">листопад!H37</f>
        <v>0</v>
      </c>
      <c r="I37" s="28" t="n">
        <f aca="false">листопад!I37</f>
        <v>4.1</v>
      </c>
      <c r="J37" s="27" t="n">
        <f aca="false">ROUND(G37*I37,2)</f>
        <v>269.58</v>
      </c>
      <c r="K37" s="27"/>
      <c r="L37" s="27"/>
      <c r="M37" s="27"/>
      <c r="N37" s="27" t="n">
        <f aca="false">ROUND((G37*I37)-K37-L37-M37,2)</f>
        <v>269.58</v>
      </c>
      <c r="O37" s="27"/>
      <c r="P37" s="27" t="n">
        <f aca="false">ROUND(IF(D37=0,IF((N37-E37-O37)&gt;0,(N37-E37-O37),0),IF((D37+N37-O37)&gt;0,(D37+N37-O37),0)),2)</f>
        <v>10218.48</v>
      </c>
      <c r="Q37" s="27" t="n">
        <f aca="false">ROUND(IF(E37=0,IF((D37+N37-O37)&lt;0,ABS(D37+N37-O37),0),IF((N37-E37-O37)&lt;0,ABS(N37-E37-O37),0)),2)</f>
        <v>0</v>
      </c>
      <c r="R37" s="17"/>
      <c r="S37" s="17"/>
    </row>
    <row r="38" customFormat="false" ht="15" hidden="false" customHeight="true" outlineLevel="0" collapsed="false">
      <c r="A38" s="8" t="s">
        <v>110</v>
      </c>
      <c r="B38" s="8" t="str">
        <f aca="false">листопад!B38</f>
        <v>Лучков В.Л.</v>
      </c>
      <c r="C38" s="8" t="s">
        <v>112</v>
      </c>
      <c r="D38" s="27" t="n">
        <f aca="false">листопад!P38</f>
        <v>11810.02</v>
      </c>
      <c r="E38" s="27" t="n">
        <f aca="false">листопад!Q38</f>
        <v>0</v>
      </c>
      <c r="F38" s="27" t="n">
        <f aca="false">листопад!F38</f>
        <v>0</v>
      </c>
      <c r="G38" s="27" t="n">
        <f aca="false">листопад!G38</f>
        <v>49.7</v>
      </c>
      <c r="H38" s="27" t="n">
        <f aca="false">листопад!H38</f>
        <v>0</v>
      </c>
      <c r="I38" s="28" t="n">
        <f aca="false">листопад!I38</f>
        <v>4.1</v>
      </c>
      <c r="J38" s="27" t="n">
        <f aca="false">ROUND(G38*I38,2)</f>
        <v>203.77</v>
      </c>
      <c r="K38" s="27"/>
      <c r="L38" s="27"/>
      <c r="M38" s="27"/>
      <c r="N38" s="27" t="n">
        <f aca="false">ROUND((G38*I38)-K38-L38-M38,2)</f>
        <v>203.77</v>
      </c>
      <c r="O38" s="27"/>
      <c r="P38" s="27" t="n">
        <f aca="false">ROUND(IF(D38=0,IF((N38-E38-O38)&gt;0,(N38-E38-O38),0),IF((D38+N38-O38)&gt;0,(D38+N38-O38),0)),2)</f>
        <v>12013.79</v>
      </c>
      <c r="Q38" s="27" t="n">
        <f aca="false">ROUND(IF(E38=0,IF((D38+N38-O38)&lt;0,ABS(D38+N38-O38),0),IF((N38-E38-O38)&lt;0,ABS(N38-E38-O38),0)),2)</f>
        <v>0</v>
      </c>
      <c r="R38" s="17"/>
      <c r="S38" s="17"/>
    </row>
    <row r="39" customFormat="false" ht="15" hidden="false" customHeight="true" outlineLevel="0" collapsed="false">
      <c r="A39" s="8" t="s">
        <v>113</v>
      </c>
      <c r="B39" s="8" t="str">
        <f aca="false">листопад!B39</f>
        <v>Кашкар Т.М.</v>
      </c>
      <c r="C39" s="8" t="s">
        <v>115</v>
      </c>
      <c r="D39" s="27" t="n">
        <f aca="false">листопад!P39</f>
        <v>1583.01</v>
      </c>
      <c r="E39" s="27" t="n">
        <f aca="false">листопад!Q39</f>
        <v>0</v>
      </c>
      <c r="F39" s="27" t="n">
        <f aca="false">листопад!F39</f>
        <v>0</v>
      </c>
      <c r="G39" s="27" t="n">
        <f aca="false">листопад!G39</f>
        <v>35.1</v>
      </c>
      <c r="H39" s="27" t="n">
        <f aca="false">листопад!H39</f>
        <v>0</v>
      </c>
      <c r="I39" s="28" t="n">
        <f aca="false">листопад!I39</f>
        <v>4.1</v>
      </c>
      <c r="J39" s="27" t="n">
        <f aca="false">ROUND(G39*I39,2)</f>
        <v>143.91</v>
      </c>
      <c r="K39" s="27"/>
      <c r="L39" s="27"/>
      <c r="M39" s="27"/>
      <c r="N39" s="27" t="n">
        <f aca="false">ROUND((G39*I39)-K39-L39-M39,2)</f>
        <v>143.91</v>
      </c>
      <c r="O39" s="27"/>
      <c r="P39" s="27" t="n">
        <f aca="false">ROUND(IF(D39=0,IF((N39-E39-O39)&gt;0,(N39-E39-O39),0),IF((D39+N39-O39)&gt;0,(D39+N39-O39),0)),2)</f>
        <v>1726.92</v>
      </c>
      <c r="Q39" s="27" t="n">
        <f aca="false">ROUND(IF(E39=0,IF((D39+N39-O39)&lt;0,ABS(D39+N39-O39),0),IF((N39-E39-O39)&lt;0,ABS(N39-E39-O39),0)),2)</f>
        <v>0</v>
      </c>
      <c r="R39" s="17"/>
      <c r="S39" s="17"/>
    </row>
    <row r="40" customFormat="false" ht="15" hidden="false" customHeight="true" outlineLevel="0" collapsed="false">
      <c r="A40" s="8" t="s">
        <v>116</v>
      </c>
      <c r="B40" s="8" t="str">
        <f aca="false">листопад!B40</f>
        <v>Стецюк Н.П.</v>
      </c>
      <c r="C40" s="8" t="s">
        <v>118</v>
      </c>
      <c r="D40" s="27" t="n">
        <f aca="false">листопад!P40</f>
        <v>3709.8</v>
      </c>
      <c r="E40" s="27" t="n">
        <f aca="false">листопад!Q40</f>
        <v>0</v>
      </c>
      <c r="F40" s="27" t="n">
        <f aca="false">листопад!F40</f>
        <v>0</v>
      </c>
      <c r="G40" s="27" t="n">
        <f aca="false">листопад!G40</f>
        <v>61.9</v>
      </c>
      <c r="H40" s="27" t="n">
        <f aca="false">листопад!H40</f>
        <v>0</v>
      </c>
      <c r="I40" s="28" t="n">
        <f aca="false">листопад!I40</f>
        <v>4.1</v>
      </c>
      <c r="J40" s="27" t="n">
        <f aca="false">ROUND(G40*I40,2)</f>
        <v>253.79</v>
      </c>
      <c r="K40" s="27"/>
      <c r="L40" s="27"/>
      <c r="M40" s="27"/>
      <c r="N40" s="27" t="n">
        <f aca="false">ROUND((G40*I40)-K40-L40-M40,2)</f>
        <v>253.79</v>
      </c>
      <c r="O40" s="27"/>
      <c r="P40" s="27" t="n">
        <f aca="false">ROUND(IF(D40=0,IF((N40-E40-O40)&gt;0,(N40-E40-O40),0),IF((D40+N40-O40)&gt;0,(D40+N40-O40),0)),2)</f>
        <v>3963.59</v>
      </c>
      <c r="Q40" s="27" t="n">
        <f aca="false">ROUND(IF(E40=0,IF((D40+N40-O40)&lt;0,ABS(D40+N40-O40),0),IF((N40-E40-O40)&lt;0,ABS(N40-E40-O40),0)),2)</f>
        <v>0</v>
      </c>
      <c r="R40" s="17"/>
      <c r="S40" s="17"/>
    </row>
    <row r="41" customFormat="false" ht="15" hidden="false" customHeight="true" outlineLevel="0" collapsed="false">
      <c r="A41" s="8" t="s">
        <v>119</v>
      </c>
      <c r="B41" s="8" t="str">
        <f aca="false">листопад!B41</f>
        <v>Маханько В.О.</v>
      </c>
      <c r="C41" s="8" t="s">
        <v>121</v>
      </c>
      <c r="D41" s="27" t="n">
        <f aca="false">листопад!P41</f>
        <v>12516.78</v>
      </c>
      <c r="E41" s="27" t="n">
        <f aca="false">листопад!Q41</f>
        <v>0</v>
      </c>
      <c r="F41" s="27" t="n">
        <f aca="false">листопад!F41</f>
        <v>0</v>
      </c>
      <c r="G41" s="27" t="n">
        <f aca="false">листопад!G41</f>
        <v>65.53</v>
      </c>
      <c r="H41" s="27" t="n">
        <f aca="false">листопад!H41</f>
        <v>0</v>
      </c>
      <c r="I41" s="28" t="n">
        <f aca="false">листопад!I41</f>
        <v>4.1</v>
      </c>
      <c r="J41" s="27" t="n">
        <f aca="false">ROUND(G41*I41,2)</f>
        <v>268.67</v>
      </c>
      <c r="K41" s="27"/>
      <c r="L41" s="27"/>
      <c r="M41" s="27"/>
      <c r="N41" s="27" t="n">
        <f aca="false">ROUND((G41*I41)-K41-L41-M41,2)</f>
        <v>268.67</v>
      </c>
      <c r="O41" s="27"/>
      <c r="P41" s="27" t="n">
        <f aca="false">ROUND(IF(D41=0,IF((N41-E41-O41)&gt;0,(N41-E41-O41),0),IF((D41+N41-O41)&gt;0,(D41+N41-O41),0)),2)</f>
        <v>12785.45</v>
      </c>
      <c r="Q41" s="27" t="n">
        <f aca="false">ROUND(IF(E41=0,IF((D41+N41-O41)&lt;0,ABS(D41+N41-O41),0),IF((N41-E41-O41)&lt;0,ABS(N41-E41-O41),0)),2)</f>
        <v>0</v>
      </c>
      <c r="R41" s="17"/>
      <c r="S41" s="17"/>
    </row>
    <row r="42" customFormat="false" ht="15" hidden="false" customHeight="true" outlineLevel="0" collapsed="false">
      <c r="A42" s="8" t="s">
        <v>122</v>
      </c>
      <c r="B42" s="8" t="str">
        <f aca="false">листопад!B42</f>
        <v>Реуцька Р.С.</v>
      </c>
      <c r="C42" s="8" t="s">
        <v>124</v>
      </c>
      <c r="D42" s="27" t="n">
        <f aca="false">листопад!P42</f>
        <v>10502.93</v>
      </c>
      <c r="E42" s="27" t="n">
        <f aca="false">листопад!Q42</f>
        <v>0</v>
      </c>
      <c r="F42" s="27" t="n">
        <f aca="false">листопад!F42</f>
        <v>0</v>
      </c>
      <c r="G42" s="27" t="n">
        <f aca="false">листопад!G42</f>
        <v>49.7</v>
      </c>
      <c r="H42" s="27" t="n">
        <f aca="false">листопад!H42</f>
        <v>0</v>
      </c>
      <c r="I42" s="28" t="n">
        <f aca="false">листопад!I42</f>
        <v>4.1</v>
      </c>
      <c r="J42" s="27" t="n">
        <f aca="false">ROUND(G42*I42,2)</f>
        <v>203.77</v>
      </c>
      <c r="K42" s="27"/>
      <c r="L42" s="27"/>
      <c r="M42" s="27"/>
      <c r="N42" s="27" t="n">
        <f aca="false">ROUND((G42*I42)-K42-L42-M42,2)</f>
        <v>203.77</v>
      </c>
      <c r="O42" s="27"/>
      <c r="P42" s="27" t="n">
        <f aca="false">ROUND(IF(D42=0,IF((N42-E42-O42)&gt;0,(N42-E42-O42),0),IF((D42+N42-O42)&gt;0,(D42+N42-O42),0)),2)</f>
        <v>10706.7</v>
      </c>
      <c r="Q42" s="27" t="n">
        <f aca="false">ROUND(IF(E42=0,IF((D42+N42-O42)&lt;0,ABS(D42+N42-O42),0),IF((N42-E42-O42)&lt;0,ABS(N42-E42-O42),0)),2)</f>
        <v>0</v>
      </c>
      <c r="R42" s="17"/>
      <c r="S42" s="17"/>
    </row>
    <row r="43" customFormat="false" ht="15" hidden="false" customHeight="true" outlineLevel="0" collapsed="false">
      <c r="A43" s="8" t="s">
        <v>125</v>
      </c>
      <c r="B43" s="8" t="str">
        <f aca="false">листопад!B43</f>
        <v>Колесникова Р.Г.</v>
      </c>
      <c r="C43" s="8" t="s">
        <v>127</v>
      </c>
      <c r="D43" s="27" t="n">
        <f aca="false">листопад!P43</f>
        <v>3459.57</v>
      </c>
      <c r="E43" s="27" t="n">
        <f aca="false">листопад!Q43</f>
        <v>0</v>
      </c>
      <c r="F43" s="27" t="n">
        <f aca="false">листопад!F43</f>
        <v>0</v>
      </c>
      <c r="G43" s="27" t="n">
        <f aca="false">листопад!G43</f>
        <v>35.1</v>
      </c>
      <c r="H43" s="27" t="n">
        <f aca="false">листопад!H43</f>
        <v>0</v>
      </c>
      <c r="I43" s="28" t="n">
        <f aca="false">листопад!I43</f>
        <v>4.1</v>
      </c>
      <c r="J43" s="27" t="n">
        <f aca="false">ROUND(G43*I43,2)</f>
        <v>143.91</v>
      </c>
      <c r="K43" s="27"/>
      <c r="L43" s="27"/>
      <c r="M43" s="27"/>
      <c r="N43" s="27" t="n">
        <f aca="false">ROUND((G43*I43)-K43-L43-M43,2)</f>
        <v>143.91</v>
      </c>
      <c r="O43" s="27"/>
      <c r="P43" s="27" t="n">
        <f aca="false">ROUND(IF(D43=0,IF((N43-E43-O43)&gt;0,(N43-E43-O43),0),IF((D43+N43-O43)&gt;0,(D43+N43-O43),0)),2)</f>
        <v>3603.48</v>
      </c>
      <c r="Q43" s="27" t="n">
        <f aca="false">ROUND(IF(E43=0,IF((D43+N43-O43)&lt;0,ABS(D43+N43-O43),0),IF((N43-E43-O43)&lt;0,ABS(N43-E43-O43),0)),2)</f>
        <v>0</v>
      </c>
      <c r="R43" s="17"/>
      <c r="S43" s="17"/>
    </row>
    <row r="44" customFormat="false" ht="15" hidden="false" customHeight="true" outlineLevel="0" collapsed="false">
      <c r="A44" s="8" t="s">
        <v>128</v>
      </c>
      <c r="B44" s="8" t="str">
        <f aca="false">листопад!B44</f>
        <v>Кучеренко М.М.</v>
      </c>
      <c r="C44" s="8" t="s">
        <v>130</v>
      </c>
      <c r="D44" s="27" t="n">
        <f aca="false">листопад!P44</f>
        <v>14012.2</v>
      </c>
      <c r="E44" s="27" t="n">
        <f aca="false">листопад!Q44</f>
        <v>0</v>
      </c>
      <c r="F44" s="27" t="n">
        <f aca="false">листопад!F44</f>
        <v>0</v>
      </c>
      <c r="G44" s="27" t="n">
        <f aca="false">листопад!G44</f>
        <v>61.88</v>
      </c>
      <c r="H44" s="27" t="n">
        <f aca="false">листопад!H44</f>
        <v>0</v>
      </c>
      <c r="I44" s="28" t="n">
        <f aca="false">листопад!I44</f>
        <v>4.1</v>
      </c>
      <c r="J44" s="27" t="n">
        <f aca="false">ROUND(G44*I44,2)</f>
        <v>253.71</v>
      </c>
      <c r="K44" s="27"/>
      <c r="L44" s="27"/>
      <c r="M44" s="27"/>
      <c r="N44" s="27" t="n">
        <f aca="false">ROUND((G44*I44)-K44-L44-M44,2)</f>
        <v>253.71</v>
      </c>
      <c r="O44" s="27"/>
      <c r="P44" s="27" t="n">
        <f aca="false">ROUND(IF(D44=0,IF((N44-E44-O44)&gt;0,(N44-E44-O44),0),IF((D44+N44-O44)&gt;0,(D44+N44-O44),0)),2)</f>
        <v>14265.91</v>
      </c>
      <c r="Q44" s="27" t="n">
        <f aca="false">ROUND(IF(E44=0,IF((D44+N44-O44)&lt;0,ABS(D44+N44-O44),0),IF((N44-E44-O44)&lt;0,ABS(N44-E44-O44),0)),2)</f>
        <v>0</v>
      </c>
      <c r="R44" s="17"/>
      <c r="S44" s="17"/>
    </row>
    <row r="45" customFormat="false" ht="15" hidden="false" customHeight="true" outlineLevel="0" collapsed="false">
      <c r="A45" s="8" t="s">
        <v>131</v>
      </c>
      <c r="B45" s="8" t="str">
        <f aca="false">листопад!B45</f>
        <v>Гурова О.М.</v>
      </c>
      <c r="C45" s="8" t="s">
        <v>133</v>
      </c>
      <c r="D45" s="27" t="n">
        <f aca="false">листопад!P45</f>
        <v>2488.85</v>
      </c>
      <c r="E45" s="27" t="n">
        <f aca="false">листопад!Q45</f>
        <v>0</v>
      </c>
      <c r="F45" s="27" t="n">
        <f aca="false">листопад!F45</f>
        <v>0</v>
      </c>
      <c r="G45" s="27" t="n">
        <f aca="false">листопад!G45</f>
        <v>62.2</v>
      </c>
      <c r="H45" s="27" t="n">
        <f aca="false">листопад!H45</f>
        <v>0</v>
      </c>
      <c r="I45" s="28" t="n">
        <f aca="false">листопад!I45</f>
        <v>4.1</v>
      </c>
      <c r="J45" s="27" t="n">
        <f aca="false">ROUND(G45*I45,2)</f>
        <v>255.02</v>
      </c>
      <c r="K45" s="27"/>
      <c r="L45" s="27"/>
      <c r="M45" s="27"/>
      <c r="N45" s="27" t="n">
        <f aca="false">ROUND((G45*I45)-K45-L45-M45,2)</f>
        <v>255.02</v>
      </c>
      <c r="O45" s="27"/>
      <c r="P45" s="27" t="n">
        <f aca="false">ROUND(IF(D45=0,IF((N45-E45-O45)&gt;0,(N45-E45-O45),0),IF((D45+N45-O45)&gt;0,(D45+N45-O45),0)),2)</f>
        <v>2743.87</v>
      </c>
      <c r="Q45" s="27" t="n">
        <f aca="false">ROUND(IF(E45=0,IF((D45+N45-O45)&lt;0,ABS(D45+N45-O45),0),IF((N45-E45-O45)&lt;0,ABS(N45-E45-O45),0)),2)</f>
        <v>0</v>
      </c>
      <c r="R45" s="17"/>
      <c r="S45" s="17"/>
    </row>
    <row r="46" customFormat="false" ht="15" hidden="false" customHeight="true" outlineLevel="0" collapsed="false">
      <c r="A46" s="8" t="s">
        <v>134</v>
      </c>
      <c r="B46" s="8" t="str">
        <f aca="false">листопад!B46</f>
        <v>Федорова В.І.</v>
      </c>
      <c r="C46" s="8" t="s">
        <v>136</v>
      </c>
      <c r="D46" s="27" t="n">
        <f aca="false">листопад!P46</f>
        <v>1217.08</v>
      </c>
      <c r="E46" s="27" t="n">
        <f aca="false">листопад!Q46</f>
        <v>0</v>
      </c>
      <c r="F46" s="27" t="n">
        <f aca="false">листопад!F46</f>
        <v>0</v>
      </c>
      <c r="G46" s="27" t="n">
        <f aca="false">листопад!G46</f>
        <v>34.9</v>
      </c>
      <c r="H46" s="27" t="n">
        <f aca="false">листопад!H46</f>
        <v>0</v>
      </c>
      <c r="I46" s="28" t="n">
        <f aca="false">листопад!I46</f>
        <v>4.1</v>
      </c>
      <c r="J46" s="27" t="n">
        <f aca="false">ROUND(G46*I46,2)</f>
        <v>143.09</v>
      </c>
      <c r="K46" s="27"/>
      <c r="L46" s="27"/>
      <c r="M46" s="27"/>
      <c r="N46" s="27" t="n">
        <f aca="false">ROUND((G46*I46)-K46-L46-M46,2)</f>
        <v>143.09</v>
      </c>
      <c r="O46" s="27"/>
      <c r="P46" s="27" t="n">
        <f aca="false">ROUND(IF(D46=0,IF((N46-E46-O46)&gt;0,(N46-E46-O46),0),IF((D46+N46-O46)&gt;0,(D46+N46-O46),0)),2)</f>
        <v>1360.17</v>
      </c>
      <c r="Q46" s="27" t="n">
        <f aca="false">ROUND(IF(E46=0,IF((D46+N46-O46)&lt;0,ABS(D46+N46-O46),0),IF((N46-E46-O46)&lt;0,ABS(N46-E46-O46),0)),2)</f>
        <v>0</v>
      </c>
      <c r="R46" s="17"/>
      <c r="S46" s="17"/>
    </row>
    <row r="47" customFormat="false" ht="15" hidden="false" customHeight="true" outlineLevel="0" collapsed="false">
      <c r="A47" s="8" t="s">
        <v>137</v>
      </c>
      <c r="B47" s="8" t="str">
        <f aca="false">листопад!B47</f>
        <v>Лаптєв В.І.</v>
      </c>
      <c r="C47" s="8" t="s">
        <v>139</v>
      </c>
      <c r="D47" s="27" t="n">
        <f aca="false">листопад!P47</f>
        <v>2200.88</v>
      </c>
      <c r="E47" s="27" t="n">
        <f aca="false">листопад!Q47</f>
        <v>0</v>
      </c>
      <c r="F47" s="27" t="n">
        <f aca="false">листопад!F47</f>
        <v>0</v>
      </c>
      <c r="G47" s="27" t="n">
        <f aca="false">листопад!G47</f>
        <v>48.8</v>
      </c>
      <c r="H47" s="27" t="n">
        <f aca="false">листопад!H47</f>
        <v>0</v>
      </c>
      <c r="I47" s="28" t="n">
        <f aca="false">листопад!I47</f>
        <v>4.1</v>
      </c>
      <c r="J47" s="27" t="n">
        <f aca="false">ROUND(G47*I47,2)</f>
        <v>200.08</v>
      </c>
      <c r="K47" s="27"/>
      <c r="L47" s="27"/>
      <c r="M47" s="27"/>
      <c r="N47" s="27" t="n">
        <f aca="false">ROUND((G47*I47)-K47-L47-M47,2)</f>
        <v>200.08</v>
      </c>
      <c r="O47" s="27"/>
      <c r="P47" s="27" t="n">
        <f aca="false">ROUND(IF(D47=0,IF((N47-E47-O47)&gt;0,(N47-E47-O47),0),IF((D47+N47-O47)&gt;0,(D47+N47-O47),0)),2)</f>
        <v>2400.96</v>
      </c>
      <c r="Q47" s="27" t="n">
        <f aca="false">ROUND(IF(E47=0,IF((D47+N47-O47)&lt;0,ABS(D47+N47-O47),0),IF((N47-E47-O47)&lt;0,ABS(N47-E47-O47),0)),2)</f>
        <v>0</v>
      </c>
      <c r="R47" s="17"/>
      <c r="S47" s="17"/>
    </row>
    <row r="48" customFormat="false" ht="15" hidden="false" customHeight="true" outlineLevel="0" collapsed="false">
      <c r="A48" s="8" t="s">
        <v>140</v>
      </c>
      <c r="B48" s="8" t="str">
        <f aca="false">листопад!B48</f>
        <v>Тимощук О.Є.</v>
      </c>
      <c r="C48" s="8" t="s">
        <v>142</v>
      </c>
      <c r="D48" s="27" t="n">
        <f aca="false">листопад!P48</f>
        <v>2584.23</v>
      </c>
      <c r="E48" s="27" t="n">
        <f aca="false">листопад!Q48</f>
        <v>0</v>
      </c>
      <c r="F48" s="27" t="n">
        <f aca="false">листопад!F48</f>
        <v>0</v>
      </c>
      <c r="G48" s="27" t="n">
        <f aca="false">листопад!G48</f>
        <v>57.3</v>
      </c>
      <c r="H48" s="27" t="n">
        <f aca="false">листопад!H48</f>
        <v>0</v>
      </c>
      <c r="I48" s="28" t="n">
        <f aca="false">листопад!I48</f>
        <v>4.1</v>
      </c>
      <c r="J48" s="27" t="n">
        <f aca="false">ROUND(G48*I48,2)</f>
        <v>234.93</v>
      </c>
      <c r="K48" s="27"/>
      <c r="L48" s="27"/>
      <c r="M48" s="27"/>
      <c r="N48" s="27" t="n">
        <f aca="false">ROUND((G48*I48)-K48-L48-M48,2)</f>
        <v>234.93</v>
      </c>
      <c r="O48" s="27"/>
      <c r="P48" s="27" t="n">
        <f aca="false">ROUND(IF(D48=0,IF((N48-E48-O48)&gt;0,(N48-E48-O48),0),IF((D48+N48-O48)&gt;0,(D48+N48-O48),0)),2)</f>
        <v>2819.16</v>
      </c>
      <c r="Q48" s="27" t="n">
        <f aca="false">ROUND(IF(E48=0,IF((D48+N48-O48)&lt;0,ABS(D48+N48-O48),0),IF((N48-E48-O48)&lt;0,ABS(N48-E48-O48),0)),2)</f>
        <v>0</v>
      </c>
      <c r="R48" s="17"/>
      <c r="S48" s="17"/>
    </row>
    <row r="49" customFormat="false" ht="15" hidden="false" customHeight="true" outlineLevel="0" collapsed="false">
      <c r="A49" s="8" t="s">
        <v>143</v>
      </c>
      <c r="B49" s="8" t="str">
        <f aca="false">листопад!B49</f>
        <v>Котяш О.В.</v>
      </c>
      <c r="C49" s="8" t="s">
        <v>145</v>
      </c>
      <c r="D49" s="27" t="n">
        <f aca="false">листопад!P49</f>
        <v>5967.48</v>
      </c>
      <c r="E49" s="27" t="n">
        <f aca="false">листопад!Q49</f>
        <v>0</v>
      </c>
      <c r="F49" s="27" t="n">
        <f aca="false">листопад!F49</f>
        <v>0</v>
      </c>
      <c r="G49" s="27" t="n">
        <f aca="false">листопад!G49</f>
        <v>63.3</v>
      </c>
      <c r="H49" s="27" t="n">
        <f aca="false">листопад!H49</f>
        <v>0</v>
      </c>
      <c r="I49" s="28" t="n">
        <f aca="false">листопад!I49</f>
        <v>4.1</v>
      </c>
      <c r="J49" s="27" t="n">
        <f aca="false">ROUND(G49*I49,2)</f>
        <v>259.53</v>
      </c>
      <c r="K49" s="27"/>
      <c r="L49" s="27"/>
      <c r="M49" s="27"/>
      <c r="N49" s="27" t="n">
        <f aca="false">ROUND((G49*I49)-K49-L49-M49,2)</f>
        <v>259.53</v>
      </c>
      <c r="O49" s="27"/>
      <c r="P49" s="27" t="n">
        <f aca="false">ROUND(IF(D49=0,IF((N49-E49-O49)&gt;0,(N49-E49-O49),0),IF((D49+N49-O49)&gt;0,(D49+N49-O49),0)),2)</f>
        <v>6227.01</v>
      </c>
      <c r="Q49" s="27" t="n">
        <f aca="false">ROUND(IF(E49=0,IF((D49+N49-O49)&lt;0,ABS(D49+N49-O49),0),IF((N49-E49-O49)&lt;0,ABS(N49-E49-O49),0)),2)</f>
        <v>0</v>
      </c>
      <c r="R49" s="17"/>
      <c r="S49" s="17"/>
    </row>
    <row r="50" customFormat="false" ht="15" hidden="false" customHeight="true" outlineLevel="0" collapsed="false">
      <c r="A50" s="8" t="s">
        <v>146</v>
      </c>
      <c r="B50" s="8" t="str">
        <f aca="false">листопад!B50</f>
        <v>Токовило-Паращенко Л.П.</v>
      </c>
      <c r="C50" s="8" t="s">
        <v>148</v>
      </c>
      <c r="D50" s="27" t="n">
        <f aca="false">листопад!P50</f>
        <v>1609.19</v>
      </c>
      <c r="E50" s="27" t="n">
        <f aca="false">листопад!Q50</f>
        <v>0</v>
      </c>
      <c r="F50" s="27" t="n">
        <f aca="false">листопад!F50</f>
        <v>0</v>
      </c>
      <c r="G50" s="27" t="n">
        <f aca="false">листопад!G50</f>
        <v>35.68</v>
      </c>
      <c r="H50" s="27" t="n">
        <f aca="false">листопад!H50</f>
        <v>0</v>
      </c>
      <c r="I50" s="28" t="n">
        <f aca="false">листопад!I50</f>
        <v>4.1</v>
      </c>
      <c r="J50" s="27" t="n">
        <f aca="false">ROUND(G50*I50,2)</f>
        <v>146.29</v>
      </c>
      <c r="K50" s="27"/>
      <c r="L50" s="27"/>
      <c r="M50" s="27"/>
      <c r="N50" s="27" t="n">
        <f aca="false">ROUND((G50*I50)-K50-L50-M50,2)</f>
        <v>146.29</v>
      </c>
      <c r="O50" s="27"/>
      <c r="P50" s="27" t="n">
        <f aca="false">ROUND(IF(D50=0,IF((N50-E50-O50)&gt;0,(N50-E50-O50),0),IF((D50+N50-O50)&gt;0,(D50+N50-O50),0)),2)</f>
        <v>1755.48</v>
      </c>
      <c r="Q50" s="27" t="n">
        <f aca="false">ROUND(IF(E50=0,IF((D50+N50-O50)&lt;0,ABS(D50+N50-O50),0),IF((N50-E50-O50)&lt;0,ABS(N50-E50-O50),0)),2)</f>
        <v>0</v>
      </c>
      <c r="R50" s="17"/>
      <c r="S50" s="17"/>
    </row>
    <row r="51" customFormat="false" ht="15" hidden="false" customHeight="true" outlineLevel="0" collapsed="false">
      <c r="A51" s="8" t="s">
        <v>149</v>
      </c>
      <c r="B51" s="8" t="str">
        <f aca="false">листопад!B51</f>
        <v>Бєлая К.В.</v>
      </c>
      <c r="C51" s="8" t="s">
        <v>151</v>
      </c>
      <c r="D51" s="27" t="n">
        <f aca="false">листопад!P51</f>
        <v>5066.38</v>
      </c>
      <c r="E51" s="27" t="n">
        <f aca="false">листопад!Q51</f>
        <v>0</v>
      </c>
      <c r="F51" s="27" t="n">
        <f aca="false">листопад!F51</f>
        <v>0</v>
      </c>
      <c r="G51" s="27" t="n">
        <f aca="false">листопад!G51</f>
        <v>49.8</v>
      </c>
      <c r="H51" s="27" t="n">
        <f aca="false">листопад!H51</f>
        <v>0</v>
      </c>
      <c r="I51" s="28" t="n">
        <f aca="false">листопад!I51</f>
        <v>4.1</v>
      </c>
      <c r="J51" s="27" t="n">
        <f aca="false">ROUND(G51*I51,2)</f>
        <v>204.18</v>
      </c>
      <c r="K51" s="27"/>
      <c r="L51" s="27"/>
      <c r="M51" s="27"/>
      <c r="N51" s="27" t="n">
        <f aca="false">ROUND((G51*I51)-K51-L51-M51,2)</f>
        <v>204.18</v>
      </c>
      <c r="O51" s="27"/>
      <c r="P51" s="27" t="n">
        <f aca="false">ROUND(IF(D51=0,IF((N51-E51-O51)&gt;0,(N51-E51-O51),0),IF((D51+N51-O51)&gt;0,(D51+N51-O51),0)),2)</f>
        <v>5270.56</v>
      </c>
      <c r="Q51" s="27" t="n">
        <f aca="false">ROUND(IF(E51=0,IF((D51+N51-O51)&lt;0,ABS(D51+N51-O51),0),IF((N51-E51-O51)&lt;0,ABS(N51-E51-O51),0)),2)</f>
        <v>0</v>
      </c>
      <c r="R51" s="17"/>
      <c r="S51" s="17"/>
    </row>
    <row r="52" customFormat="false" ht="15" hidden="false" customHeight="true" outlineLevel="0" collapsed="false">
      <c r="A52" s="8" t="s">
        <v>152</v>
      </c>
      <c r="B52" s="8" t="str">
        <f aca="false">листопад!B52</f>
        <v>Стадник О.Ф.</v>
      </c>
      <c r="C52" s="8" t="s">
        <v>154</v>
      </c>
      <c r="D52" s="27" t="n">
        <f aca="false">листопад!P52</f>
        <v>8697.56</v>
      </c>
      <c r="E52" s="27" t="n">
        <f aca="false">листопад!Q52</f>
        <v>0</v>
      </c>
      <c r="F52" s="27" t="n">
        <f aca="false">листопад!F52</f>
        <v>0</v>
      </c>
      <c r="G52" s="27" t="n">
        <f aca="false">листопад!G52</f>
        <v>65.9</v>
      </c>
      <c r="H52" s="27" t="n">
        <f aca="false">листопад!H52</f>
        <v>0</v>
      </c>
      <c r="I52" s="28" t="n">
        <f aca="false">листопад!I52</f>
        <v>4.1</v>
      </c>
      <c r="J52" s="27" t="n">
        <f aca="false">ROUND(G52*I52,2)</f>
        <v>270.19</v>
      </c>
      <c r="K52" s="27"/>
      <c r="L52" s="27"/>
      <c r="M52" s="27"/>
      <c r="N52" s="27" t="n">
        <f aca="false">ROUND((G52*I52)-K52-L52-M52,2)</f>
        <v>270.19</v>
      </c>
      <c r="O52" s="27"/>
      <c r="P52" s="27" t="n">
        <f aca="false">ROUND(IF(D52=0,IF((N52-E52-O52)&gt;0,(N52-E52-O52),0),IF((D52+N52-O52)&gt;0,(D52+N52-O52),0)),2)</f>
        <v>8967.75</v>
      </c>
      <c r="Q52" s="27" t="n">
        <f aca="false">ROUND(IF(E52=0,IF((D52+N52-O52)&lt;0,ABS(D52+N52-O52),0),IF((N52-E52-O52)&lt;0,ABS(N52-E52-O52),0)),2)</f>
        <v>0</v>
      </c>
      <c r="R52" s="17"/>
      <c r="S52" s="17"/>
    </row>
    <row r="53" customFormat="false" ht="15" hidden="false" customHeight="true" outlineLevel="0" collapsed="false">
      <c r="A53" s="8" t="s">
        <v>155</v>
      </c>
      <c r="B53" s="8" t="str">
        <f aca="false">листопад!B53</f>
        <v>Ляшенко В.М.</v>
      </c>
      <c r="C53" s="8" t="s">
        <v>157</v>
      </c>
      <c r="D53" s="27" t="n">
        <f aca="false">листопад!P53</f>
        <v>2796.2</v>
      </c>
      <c r="E53" s="27" t="n">
        <f aca="false">листопад!Q53</f>
        <v>0</v>
      </c>
      <c r="F53" s="27" t="n">
        <f aca="false">листопад!F53</f>
        <v>0</v>
      </c>
      <c r="G53" s="27" t="n">
        <f aca="false">листопад!G53</f>
        <v>62</v>
      </c>
      <c r="H53" s="27" t="n">
        <f aca="false">листопад!H53</f>
        <v>0</v>
      </c>
      <c r="I53" s="28" t="n">
        <f aca="false">листопад!I53</f>
        <v>4.1</v>
      </c>
      <c r="J53" s="27" t="n">
        <f aca="false">ROUND(G53*I53,2)</f>
        <v>254.2</v>
      </c>
      <c r="K53" s="27"/>
      <c r="L53" s="27"/>
      <c r="M53" s="27"/>
      <c r="N53" s="27" t="n">
        <f aca="false">ROUND((G53*I53)-K53-L53-M53,2)</f>
        <v>254.2</v>
      </c>
      <c r="O53" s="27"/>
      <c r="P53" s="27" t="n">
        <f aca="false">ROUND(IF(D53=0,IF((N53-E53-O53)&gt;0,(N53-E53-O53),0),IF((D53+N53-O53)&gt;0,(D53+N53-O53),0)),2)</f>
        <v>3050.4</v>
      </c>
      <c r="Q53" s="27" t="n">
        <f aca="false">ROUND(IF(E53=0,IF((D53+N53-O53)&lt;0,ABS(D53+N53-O53),0),IF((N53-E53-O53)&lt;0,ABS(N53-E53-O53),0)),2)</f>
        <v>0</v>
      </c>
      <c r="R53" s="17"/>
      <c r="S53" s="17"/>
    </row>
    <row r="54" customFormat="false" ht="15" hidden="false" customHeight="true" outlineLevel="0" collapsed="false">
      <c r="A54" s="8" t="s">
        <v>158</v>
      </c>
      <c r="B54" s="8" t="str">
        <f aca="false">листопад!B54</f>
        <v>Смоленська Т.О.</v>
      </c>
      <c r="C54" s="8" t="s">
        <v>160</v>
      </c>
      <c r="D54" s="27" t="n">
        <f aca="false">листопад!P54</f>
        <v>1583.01</v>
      </c>
      <c r="E54" s="27" t="n">
        <f aca="false">листопад!Q54</f>
        <v>0</v>
      </c>
      <c r="F54" s="27" t="n">
        <f aca="false">листопад!F54</f>
        <v>0</v>
      </c>
      <c r="G54" s="27" t="n">
        <f aca="false">листопад!G54</f>
        <v>35.1</v>
      </c>
      <c r="H54" s="27" t="n">
        <f aca="false">листопад!H54</f>
        <v>0</v>
      </c>
      <c r="I54" s="28" t="n">
        <f aca="false">листопад!I54</f>
        <v>4.1</v>
      </c>
      <c r="J54" s="27" t="n">
        <f aca="false">ROUND(G54*I54,2)</f>
        <v>143.91</v>
      </c>
      <c r="K54" s="27"/>
      <c r="L54" s="27"/>
      <c r="M54" s="27"/>
      <c r="N54" s="27" t="n">
        <f aca="false">ROUND((G54*I54)-K54-L54-M54,2)</f>
        <v>143.91</v>
      </c>
      <c r="O54" s="27"/>
      <c r="P54" s="27" t="n">
        <f aca="false">ROUND(IF(D54=0,IF((N54-E54-O54)&gt;0,(N54-E54-O54),0),IF((D54+N54-O54)&gt;0,(D54+N54-O54),0)),2)</f>
        <v>1726.92</v>
      </c>
      <c r="Q54" s="27" t="n">
        <f aca="false">ROUND(IF(E54=0,IF((D54+N54-O54)&lt;0,ABS(D54+N54-O54),0),IF((N54-E54-O54)&lt;0,ABS(N54-E54-O54),0)),2)</f>
        <v>0</v>
      </c>
      <c r="R54" s="17"/>
      <c r="S54" s="17"/>
    </row>
    <row r="55" customFormat="false" ht="15" hidden="false" customHeight="true" outlineLevel="0" collapsed="false">
      <c r="A55" s="8" t="s">
        <v>161</v>
      </c>
      <c r="B55" s="8" t="str">
        <f aca="false">листопад!B55</f>
        <v>Дудка І.В.</v>
      </c>
      <c r="C55" s="8" t="s">
        <v>163</v>
      </c>
      <c r="D55" s="27" t="n">
        <f aca="false">листопад!P55</f>
        <v>2236.96</v>
      </c>
      <c r="E55" s="27" t="n">
        <f aca="false">листопад!Q55</f>
        <v>0</v>
      </c>
      <c r="F55" s="27" t="n">
        <f aca="false">листопад!F55</f>
        <v>0</v>
      </c>
      <c r="G55" s="27" t="n">
        <f aca="false">листопад!G55</f>
        <v>49.6</v>
      </c>
      <c r="H55" s="27" t="n">
        <f aca="false">листопад!H55</f>
        <v>0</v>
      </c>
      <c r="I55" s="28" t="n">
        <f aca="false">листопад!I55</f>
        <v>4.1</v>
      </c>
      <c r="J55" s="27" t="n">
        <f aca="false">ROUND(G55*I55,2)</f>
        <v>203.36</v>
      </c>
      <c r="K55" s="27"/>
      <c r="L55" s="27"/>
      <c r="M55" s="27"/>
      <c r="N55" s="27" t="n">
        <f aca="false">ROUND((G55*I55)-K55-L55-M55,2)</f>
        <v>203.36</v>
      </c>
      <c r="O55" s="27"/>
      <c r="P55" s="27" t="n">
        <f aca="false">ROUND(IF(D55=0,IF((N55-E55-O55)&gt;0,(N55-E55-O55),0),IF((D55+N55-O55)&gt;0,(D55+N55-O55),0)),2)</f>
        <v>2440.32</v>
      </c>
      <c r="Q55" s="27" t="n">
        <f aca="false">ROUND(IF(E55=0,IF((D55+N55-O55)&lt;0,ABS(D55+N55-O55),0),IF((N55-E55-O55)&lt;0,ABS(N55-E55-O55),0)),2)</f>
        <v>0</v>
      </c>
      <c r="R55" s="17"/>
      <c r="S55" s="17"/>
    </row>
    <row r="56" customFormat="false" ht="15" hidden="false" customHeight="true" outlineLevel="0" collapsed="false">
      <c r="A56" s="8" t="s">
        <v>164</v>
      </c>
      <c r="B56" s="8" t="str">
        <f aca="false">листопад!B56</f>
        <v>Буланова Л.І.</v>
      </c>
      <c r="C56" s="8" t="s">
        <v>166</v>
      </c>
      <c r="D56" s="27" t="n">
        <f aca="false">листопад!P56</f>
        <v>2996.4</v>
      </c>
      <c r="E56" s="27" t="n">
        <f aca="false">листопад!Q56</f>
        <v>0</v>
      </c>
      <c r="F56" s="27" t="n">
        <f aca="false">листопад!F56</f>
        <v>0</v>
      </c>
      <c r="G56" s="27" t="n">
        <f aca="false">листопад!G56</f>
        <v>66.44</v>
      </c>
      <c r="H56" s="27" t="n">
        <f aca="false">листопад!H56</f>
        <v>0</v>
      </c>
      <c r="I56" s="28" t="n">
        <f aca="false">листопад!I56</f>
        <v>4.1</v>
      </c>
      <c r="J56" s="27" t="n">
        <f aca="false">ROUND(G56*I56,2)</f>
        <v>272.4</v>
      </c>
      <c r="K56" s="27"/>
      <c r="L56" s="27"/>
      <c r="M56" s="27"/>
      <c r="N56" s="27" t="n">
        <f aca="false">ROUND((G56*I56)-K56-L56-M56,2)</f>
        <v>272.4</v>
      </c>
      <c r="O56" s="27"/>
      <c r="P56" s="27" t="n">
        <f aca="false">ROUND(IF(D56=0,IF((N56-E56-O56)&gt;0,(N56-E56-O56),0),IF((D56+N56-O56)&gt;0,(D56+N56-O56),0)),2)</f>
        <v>3268.8</v>
      </c>
      <c r="Q56" s="27" t="n">
        <f aca="false">ROUND(IF(E56=0,IF((D56+N56-O56)&lt;0,ABS(D56+N56-O56),0),IF((N56-E56-O56)&lt;0,ABS(N56-E56-O56),0)),2)</f>
        <v>0</v>
      </c>
      <c r="R56" s="17"/>
      <c r="S56" s="17"/>
    </row>
    <row r="57" customFormat="false" ht="15" hidden="false" customHeight="true" outlineLevel="0" collapsed="false">
      <c r="A57" s="8" t="s">
        <v>167</v>
      </c>
      <c r="B57" s="8" t="str">
        <f aca="false">листопад!B57</f>
        <v>Шалімова О.О.</v>
      </c>
      <c r="C57" s="8" t="s">
        <v>169</v>
      </c>
      <c r="D57" s="27" t="n">
        <f aca="false">листопад!P57</f>
        <v>3226.94</v>
      </c>
      <c r="E57" s="27" t="n">
        <f aca="false">листопад!Q57</f>
        <v>0</v>
      </c>
      <c r="F57" s="27" t="n">
        <f aca="false">листопад!F57</f>
        <v>0</v>
      </c>
      <c r="G57" s="27" t="n">
        <f aca="false">листопад!G57</f>
        <v>62.1</v>
      </c>
      <c r="H57" s="27" t="n">
        <f aca="false">листопад!H57</f>
        <v>0</v>
      </c>
      <c r="I57" s="28" t="n">
        <f aca="false">листопад!I57</f>
        <v>4.1</v>
      </c>
      <c r="J57" s="27" t="n">
        <f aca="false">ROUND(G57*I57,2)</f>
        <v>254.61</v>
      </c>
      <c r="K57" s="27"/>
      <c r="L57" s="27"/>
      <c r="M57" s="27"/>
      <c r="N57" s="27" t="n">
        <f aca="false">ROUND((G57*I57)-K57-L57-M57,2)</f>
        <v>254.61</v>
      </c>
      <c r="O57" s="27"/>
      <c r="P57" s="27" t="n">
        <f aca="false">ROUND(IF(D57=0,IF((N57-E57-O57)&gt;0,(N57-E57-O57),0),IF((D57+N57-O57)&gt;0,(D57+N57-O57),0)),2)</f>
        <v>3481.55</v>
      </c>
      <c r="Q57" s="27" t="n">
        <f aca="false">ROUND(IF(E57=0,IF((D57+N57-O57)&lt;0,ABS(D57+N57-O57),0),IF((N57-E57-O57)&lt;0,ABS(N57-E57-O57),0)),2)</f>
        <v>0</v>
      </c>
      <c r="R57" s="17"/>
      <c r="S57" s="17"/>
    </row>
    <row r="58" customFormat="false" ht="15" hidden="false" customHeight="true" outlineLevel="0" collapsed="false">
      <c r="A58" s="8" t="s">
        <v>170</v>
      </c>
      <c r="B58" s="8" t="str">
        <f aca="false">листопад!B58</f>
        <v>Андросик О.О.</v>
      </c>
      <c r="C58" s="8" t="s">
        <v>172</v>
      </c>
      <c r="D58" s="27" t="n">
        <f aca="false">листопад!P58</f>
        <v>2786.99</v>
      </c>
      <c r="E58" s="27" t="n">
        <f aca="false">листопад!Q58</f>
        <v>0</v>
      </c>
      <c r="F58" s="27" t="n">
        <f aca="false">листопад!F58</f>
        <v>0</v>
      </c>
      <c r="G58" s="27" t="n">
        <f aca="false">листопад!G58</f>
        <v>34.9</v>
      </c>
      <c r="H58" s="27" t="n">
        <f aca="false">листопад!H58</f>
        <v>0</v>
      </c>
      <c r="I58" s="28" t="n">
        <f aca="false">листопад!I58</f>
        <v>4.1</v>
      </c>
      <c r="J58" s="27" t="n">
        <f aca="false">ROUND(G58*I58,2)</f>
        <v>143.09</v>
      </c>
      <c r="K58" s="27"/>
      <c r="L58" s="27"/>
      <c r="M58" s="27"/>
      <c r="N58" s="27" t="n">
        <f aca="false">ROUND((G58*I58)-K58-L58-M58,2)</f>
        <v>143.09</v>
      </c>
      <c r="O58" s="27"/>
      <c r="P58" s="27" t="n">
        <f aca="false">ROUND(IF(D58=0,IF((N58-E58-O58)&gt;0,(N58-E58-O58),0),IF((D58+N58-O58)&gt;0,(D58+N58-O58),0)),2)</f>
        <v>2930.08</v>
      </c>
      <c r="Q58" s="27" t="n">
        <f aca="false">ROUND(IF(E58=0,IF((D58+N58-O58)&lt;0,ABS(D58+N58-O58),0),IF((N58-E58-O58)&lt;0,ABS(N58-E58-O58),0)),2)</f>
        <v>0</v>
      </c>
      <c r="R58" s="17"/>
      <c r="S58" s="17"/>
    </row>
    <row r="59" customFormat="false" ht="15" hidden="false" customHeight="true" outlineLevel="0" collapsed="false">
      <c r="A59" s="8" t="s">
        <v>173</v>
      </c>
      <c r="B59" s="8" t="str">
        <f aca="false">листопад!B59</f>
        <v>Токар Є.А.</v>
      </c>
      <c r="C59" s="8" t="s">
        <v>175</v>
      </c>
      <c r="D59" s="27" t="n">
        <f aca="false">листопад!P59</f>
        <v>5559.55</v>
      </c>
      <c r="E59" s="27" t="n">
        <f aca="false">листопад!Q59</f>
        <v>0</v>
      </c>
      <c r="F59" s="27" t="n">
        <f aca="false">листопад!F59</f>
        <v>0</v>
      </c>
      <c r="G59" s="27" t="n">
        <f aca="false">листопад!G59</f>
        <v>49.22</v>
      </c>
      <c r="H59" s="27" t="n">
        <f aca="false">листопад!H59</f>
        <v>0</v>
      </c>
      <c r="I59" s="28" t="n">
        <f aca="false">листопад!I59</f>
        <v>4.1</v>
      </c>
      <c r="J59" s="27" t="n">
        <f aca="false">ROUND(G59*I59,2)</f>
        <v>201.8</v>
      </c>
      <c r="K59" s="27"/>
      <c r="L59" s="27"/>
      <c r="M59" s="27"/>
      <c r="N59" s="27" t="n">
        <f aca="false">ROUND((G59*I59)-K59-L59-M59,2)</f>
        <v>201.8</v>
      </c>
      <c r="O59" s="27"/>
      <c r="P59" s="27" t="n">
        <f aca="false">ROUND(IF(D59=0,IF((N59-E59-O59)&gt;0,(N59-E59-O59),0),IF((D59+N59-O59)&gt;0,(D59+N59-O59),0)),2)</f>
        <v>5761.35</v>
      </c>
      <c r="Q59" s="27" t="n">
        <f aca="false">ROUND(IF(E59=0,IF((D59+N59-O59)&lt;0,ABS(D59+N59-O59),0),IF((N59-E59-O59)&lt;0,ABS(N59-E59-O59),0)),2)</f>
        <v>0</v>
      </c>
      <c r="R59" s="17"/>
      <c r="S59" s="17"/>
    </row>
    <row r="60" customFormat="false" ht="15" hidden="false" customHeight="true" outlineLevel="0" collapsed="false">
      <c r="A60" s="8" t="s">
        <v>176</v>
      </c>
      <c r="B60" s="8" t="str">
        <f aca="false">листопад!B60</f>
        <v>Констанчук І.В.</v>
      </c>
      <c r="C60" s="8" t="s">
        <v>178</v>
      </c>
      <c r="D60" s="27" t="n">
        <f aca="false">листопад!P60</f>
        <v>11823.16</v>
      </c>
      <c r="E60" s="27" t="n">
        <f aca="false">листопад!Q60</f>
        <v>0</v>
      </c>
      <c r="F60" s="27" t="n">
        <f aca="false">листопад!F60</f>
        <v>0</v>
      </c>
      <c r="G60" s="27" t="n">
        <f aca="false">листопад!G60</f>
        <v>65.5</v>
      </c>
      <c r="H60" s="27" t="n">
        <f aca="false">листопад!H60</f>
        <v>0</v>
      </c>
      <c r="I60" s="28" t="n">
        <f aca="false">листопад!I60</f>
        <v>4.1</v>
      </c>
      <c r="J60" s="27" t="n">
        <f aca="false">ROUND(G60*I60,2)</f>
        <v>268.55</v>
      </c>
      <c r="K60" s="27"/>
      <c r="L60" s="27"/>
      <c r="M60" s="27"/>
      <c r="N60" s="27" t="n">
        <f aca="false">ROUND((G60*I60)-K60-L60-M60,2)</f>
        <v>268.55</v>
      </c>
      <c r="O60" s="27"/>
      <c r="P60" s="27" t="n">
        <f aca="false">ROUND(IF(D60=0,IF((N60-E60-O60)&gt;0,(N60-E60-O60),0),IF((D60+N60-O60)&gt;0,(D60+N60-O60),0)),2)</f>
        <v>12091.71</v>
      </c>
      <c r="Q60" s="27" t="n">
        <f aca="false">ROUND(IF(E60=0,IF((D60+N60-O60)&lt;0,ABS(D60+N60-O60),0),IF((N60-E60-O60)&lt;0,ABS(N60-E60-O60),0)),2)</f>
        <v>0</v>
      </c>
      <c r="R60" s="17"/>
      <c r="S60" s="17"/>
    </row>
    <row r="61" customFormat="false" ht="15" hidden="false" customHeight="true" outlineLevel="0" collapsed="false">
      <c r="A61" s="8" t="s">
        <v>179</v>
      </c>
      <c r="B61" s="8" t="str">
        <f aca="false">листопад!B61</f>
        <v>Гончаров В.В.</v>
      </c>
      <c r="C61" s="8" t="s">
        <v>181</v>
      </c>
      <c r="D61" s="27" t="n">
        <f aca="false">листопад!P61</f>
        <v>2179.02</v>
      </c>
      <c r="E61" s="27" t="n">
        <f aca="false">листопад!Q61</f>
        <v>0</v>
      </c>
      <c r="F61" s="27" t="n">
        <f aca="false">листопад!F61</f>
        <v>0</v>
      </c>
      <c r="G61" s="27" t="n">
        <f aca="false">листопад!G61</f>
        <v>62.64</v>
      </c>
      <c r="H61" s="27" t="n">
        <f aca="false">листопад!H61</f>
        <v>0</v>
      </c>
      <c r="I61" s="28" t="n">
        <f aca="false">листопад!I61</f>
        <v>4.1</v>
      </c>
      <c r="J61" s="27" t="n">
        <f aca="false">ROUND(G61*I61,2)</f>
        <v>256.82</v>
      </c>
      <c r="K61" s="27"/>
      <c r="L61" s="27"/>
      <c r="M61" s="27"/>
      <c r="N61" s="27" t="n">
        <f aca="false">ROUND((G61*I61)-K61-L61-M61,2)</f>
        <v>256.82</v>
      </c>
      <c r="O61" s="27"/>
      <c r="P61" s="27" t="n">
        <f aca="false">ROUND(IF(D61=0,IF((N61-E61-O61)&gt;0,(N61-E61-O61),0),IF((D61+N61-O61)&gt;0,(D61+N61-O61),0)),2)</f>
        <v>2435.84</v>
      </c>
      <c r="Q61" s="27" t="n">
        <f aca="false">ROUND(IF(E61=0,IF((D61+N61-O61)&lt;0,ABS(D61+N61-O61),0),IF((N61-E61-O61)&lt;0,ABS(N61-E61-O61),0)),2)</f>
        <v>0</v>
      </c>
      <c r="R61" s="17"/>
      <c r="S61" s="17"/>
    </row>
    <row r="62" customFormat="false" ht="15" hidden="false" customHeight="true" outlineLevel="0" collapsed="false">
      <c r="A62" s="8" t="s">
        <v>182</v>
      </c>
      <c r="B62" s="8" t="str">
        <f aca="false">листопад!B62</f>
        <v>Ляхомський В.О.</v>
      </c>
      <c r="C62" s="8" t="s">
        <v>184</v>
      </c>
      <c r="D62" s="27" t="n">
        <f aca="false">листопад!P62</f>
        <v>2586.62</v>
      </c>
      <c r="E62" s="27" t="n">
        <f aca="false">листопад!Q62</f>
        <v>0</v>
      </c>
      <c r="F62" s="27" t="n">
        <f aca="false">листопад!F62</f>
        <v>0</v>
      </c>
      <c r="G62" s="27" t="n">
        <f aca="false">листопад!G62</f>
        <v>34.9</v>
      </c>
      <c r="H62" s="27" t="n">
        <f aca="false">листопад!H62</f>
        <v>0</v>
      </c>
      <c r="I62" s="28" t="n">
        <f aca="false">листопад!I62</f>
        <v>4.1</v>
      </c>
      <c r="J62" s="27" t="n">
        <f aca="false">ROUND(G62*I62,2)</f>
        <v>143.09</v>
      </c>
      <c r="K62" s="27"/>
      <c r="L62" s="27"/>
      <c r="M62" s="27"/>
      <c r="N62" s="27" t="n">
        <f aca="false">ROUND((G62*I62)-K62-L62-M62,2)</f>
        <v>143.09</v>
      </c>
      <c r="O62" s="27"/>
      <c r="P62" s="27" t="n">
        <f aca="false">ROUND(IF(D62=0,IF((N62-E62-O62)&gt;0,(N62-E62-O62),0),IF((D62+N62-O62)&gt;0,(D62+N62-O62),0)),2)</f>
        <v>2729.71</v>
      </c>
      <c r="Q62" s="27" t="n">
        <f aca="false">ROUND(IF(E62=0,IF((D62+N62-O62)&lt;0,ABS(D62+N62-O62),0),IF((N62-E62-O62)&lt;0,ABS(N62-E62-O62),0)),2)</f>
        <v>0</v>
      </c>
      <c r="R62" s="17"/>
      <c r="S62" s="17"/>
    </row>
    <row r="63" customFormat="false" ht="15" hidden="false" customHeight="true" outlineLevel="0" collapsed="false">
      <c r="A63" s="8" t="s">
        <v>185</v>
      </c>
      <c r="B63" s="8" t="str">
        <f aca="false">листопад!B63</f>
        <v>Крамаренко В.П.</v>
      </c>
      <c r="C63" s="8" t="s">
        <v>187</v>
      </c>
      <c r="D63" s="27" t="n">
        <f aca="false">листопад!P63</f>
        <v>3062.1</v>
      </c>
      <c r="E63" s="27" t="n">
        <f aca="false">листопад!Q63</f>
        <v>0</v>
      </c>
      <c r="F63" s="27" t="n">
        <f aca="false">листопад!F63</f>
        <v>0</v>
      </c>
      <c r="G63" s="27" t="n">
        <f aca="false">листопад!G63</f>
        <v>49.79</v>
      </c>
      <c r="H63" s="27" t="n">
        <f aca="false">листопад!H63</f>
        <v>0</v>
      </c>
      <c r="I63" s="28" t="n">
        <f aca="false">листопад!I63</f>
        <v>4.1</v>
      </c>
      <c r="J63" s="27" t="n">
        <f aca="false">ROUND(G63*I63,2)</f>
        <v>204.14</v>
      </c>
      <c r="K63" s="27"/>
      <c r="L63" s="27"/>
      <c r="M63" s="27"/>
      <c r="N63" s="27" t="n">
        <f aca="false">ROUND((G63*I63)-K63-L63-M63,2)</f>
        <v>204.14</v>
      </c>
      <c r="O63" s="27"/>
      <c r="P63" s="27" t="n">
        <f aca="false">ROUND(IF(D63=0,IF((N63-E63-O63)&gt;0,(N63-E63-O63),0),IF((D63+N63-O63)&gt;0,(D63+N63-O63),0)),2)</f>
        <v>3266.24</v>
      </c>
      <c r="Q63" s="27" t="n">
        <f aca="false">ROUND(IF(E63=0,IF((D63+N63-O63)&lt;0,ABS(D63+N63-O63),0),IF((N63-E63-O63)&lt;0,ABS(N63-E63-O63),0)),2)</f>
        <v>0</v>
      </c>
      <c r="R63" s="17"/>
      <c r="S63" s="17"/>
    </row>
    <row r="64" customFormat="false" ht="15" hidden="false" customHeight="true" outlineLevel="0" collapsed="false">
      <c r="A64" s="8" t="s">
        <v>188</v>
      </c>
      <c r="B64" s="8" t="str">
        <f aca="false">листопад!B64</f>
        <v>Родзик С.Г.</v>
      </c>
      <c r="C64" s="8" t="s">
        <v>190</v>
      </c>
      <c r="D64" s="27" t="n">
        <f aca="false">листопад!P64</f>
        <v>6415.68</v>
      </c>
      <c r="E64" s="27" t="n">
        <f aca="false">листопад!Q64</f>
        <v>0</v>
      </c>
      <c r="F64" s="27" t="n">
        <f aca="false">листопад!F64</f>
        <v>0</v>
      </c>
      <c r="G64" s="27" t="n">
        <f aca="false">листопад!G64</f>
        <v>65.2</v>
      </c>
      <c r="H64" s="27" t="n">
        <f aca="false">листопад!H64</f>
        <v>0</v>
      </c>
      <c r="I64" s="28" t="n">
        <f aca="false">листопад!I64</f>
        <v>4.1</v>
      </c>
      <c r="J64" s="27" t="n">
        <f aca="false">ROUND(G64*I64,2)</f>
        <v>267.32</v>
      </c>
      <c r="K64" s="27"/>
      <c r="L64" s="27"/>
      <c r="M64" s="27"/>
      <c r="N64" s="27" t="n">
        <f aca="false">ROUND((G64*I64)-K64-L64-M64,2)</f>
        <v>267.32</v>
      </c>
      <c r="O64" s="27"/>
      <c r="P64" s="27" t="n">
        <f aca="false">ROUND(IF(D64=0,IF((N64-E64-O64)&gt;0,(N64-E64-O64),0),IF((D64+N64-O64)&gt;0,(D64+N64-O64),0)),2)</f>
        <v>6683</v>
      </c>
      <c r="Q64" s="27" t="n">
        <f aca="false">ROUND(IF(E64=0,IF((D64+N64-O64)&lt;0,ABS(D64+N64-O64),0),IF((N64-E64-O64)&lt;0,ABS(N64-E64-O64),0)),2)</f>
        <v>0</v>
      </c>
      <c r="R64" s="17"/>
      <c r="S64" s="17"/>
    </row>
    <row r="65" customFormat="false" ht="15" hidden="false" customHeight="true" outlineLevel="0" collapsed="false">
      <c r="A65" s="8" t="s">
        <v>191</v>
      </c>
      <c r="B65" s="8" t="str">
        <f aca="false">листопад!B65</f>
        <v>Никоненко Н.С.</v>
      </c>
      <c r="C65" s="8" t="s">
        <v>193</v>
      </c>
      <c r="D65" s="27" t="n">
        <f aca="false">листопад!P65</f>
        <v>12833.83</v>
      </c>
      <c r="E65" s="27" t="n">
        <f aca="false">листопад!Q65</f>
        <v>0</v>
      </c>
      <c r="F65" s="27" t="n">
        <f aca="false">листопад!F65</f>
        <v>0</v>
      </c>
      <c r="G65" s="27" t="n">
        <f aca="false">листопад!G65</f>
        <v>61.88</v>
      </c>
      <c r="H65" s="27" t="n">
        <f aca="false">листопад!H65</f>
        <v>0</v>
      </c>
      <c r="I65" s="28" t="n">
        <f aca="false">листопад!I65</f>
        <v>4.1</v>
      </c>
      <c r="J65" s="27" t="n">
        <f aca="false">ROUND(G65*I65,2)</f>
        <v>253.71</v>
      </c>
      <c r="K65" s="27"/>
      <c r="L65" s="27"/>
      <c r="M65" s="27"/>
      <c r="N65" s="27" t="n">
        <f aca="false">ROUND((G65*I65)-K65-L65-M65,2)</f>
        <v>253.71</v>
      </c>
      <c r="O65" s="27"/>
      <c r="P65" s="27" t="n">
        <f aca="false">ROUND(IF(D65=0,IF((N65-E65-O65)&gt;0,(N65-E65-O65),0),IF((D65+N65-O65)&gt;0,(D65+N65-O65),0)),2)</f>
        <v>13087.54</v>
      </c>
      <c r="Q65" s="27" t="n">
        <f aca="false">ROUND(IF(E65=0,IF((D65+N65-O65)&lt;0,ABS(D65+N65-O65),0),IF((N65-E65-O65)&lt;0,ABS(N65-E65-O65),0)),2)</f>
        <v>0</v>
      </c>
      <c r="R65" s="17"/>
      <c r="S65" s="17"/>
    </row>
    <row r="66" customFormat="false" ht="15" hidden="false" customHeight="true" outlineLevel="0" collapsed="false">
      <c r="A66" s="8" t="s">
        <v>194</v>
      </c>
      <c r="B66" s="8" t="str">
        <f aca="false">листопад!B66</f>
        <v>Чепок О.В.</v>
      </c>
      <c r="C66" s="8" t="s">
        <v>196</v>
      </c>
      <c r="D66" s="27" t="n">
        <f aca="false">листопад!P66</f>
        <v>7162.41</v>
      </c>
      <c r="E66" s="27" t="n">
        <f aca="false">листопад!Q66</f>
        <v>0</v>
      </c>
      <c r="F66" s="27" t="n">
        <f aca="false">листопад!F66</f>
        <v>0</v>
      </c>
      <c r="G66" s="27" t="n">
        <f aca="false">листопад!G66</f>
        <v>35</v>
      </c>
      <c r="H66" s="27" t="n">
        <f aca="false">листопад!H66</f>
        <v>0</v>
      </c>
      <c r="I66" s="28" t="n">
        <f aca="false">листопад!I66</f>
        <v>4.1</v>
      </c>
      <c r="J66" s="27" t="n">
        <f aca="false">ROUND(G66*I66,2)</f>
        <v>143.5</v>
      </c>
      <c r="K66" s="27"/>
      <c r="L66" s="27"/>
      <c r="M66" s="27"/>
      <c r="N66" s="27" t="n">
        <f aca="false">ROUND((G66*I66)-K66-L66-M66,2)</f>
        <v>143.5</v>
      </c>
      <c r="O66" s="27"/>
      <c r="P66" s="27" t="n">
        <f aca="false">ROUND(IF(D66=0,IF((N66-E66-O66)&gt;0,(N66-E66-O66),0),IF((D66+N66-O66)&gt;0,(D66+N66-O66),0)),2)</f>
        <v>7305.91</v>
      </c>
      <c r="Q66" s="27" t="n">
        <f aca="false">ROUND(IF(E66=0,IF((D66+N66-O66)&lt;0,ABS(D66+N66-O66),0),IF((N66-E66-O66)&lt;0,ABS(N66-E66-O66),0)),2)</f>
        <v>0</v>
      </c>
      <c r="R66" s="17"/>
      <c r="S66" s="17"/>
    </row>
    <row r="67" customFormat="false" ht="15" hidden="false" customHeight="true" outlineLevel="0" collapsed="false">
      <c r="A67" s="8" t="s">
        <v>197</v>
      </c>
      <c r="B67" s="8" t="str">
        <f aca="false">листопад!B67</f>
        <v>Горошенко Л.С.</v>
      </c>
      <c r="C67" s="8" t="s">
        <v>199</v>
      </c>
      <c r="D67" s="27" t="n">
        <f aca="false">листопад!P67</f>
        <v>4244.73</v>
      </c>
      <c r="E67" s="27" t="n">
        <f aca="false">листопад!Q67</f>
        <v>0</v>
      </c>
      <c r="F67" s="27" t="n">
        <f aca="false">листопад!F67</f>
        <v>0</v>
      </c>
      <c r="G67" s="27" t="n">
        <f aca="false">листопад!G67</f>
        <v>49.3</v>
      </c>
      <c r="H67" s="27" t="n">
        <f aca="false">листопад!H67</f>
        <v>0</v>
      </c>
      <c r="I67" s="28" t="n">
        <f aca="false">листопад!I67</f>
        <v>4.1</v>
      </c>
      <c r="J67" s="27" t="n">
        <f aca="false">ROUND(G67*I67,2)</f>
        <v>202.13</v>
      </c>
      <c r="K67" s="27"/>
      <c r="L67" s="27"/>
      <c r="M67" s="27"/>
      <c r="N67" s="27" t="n">
        <f aca="false">ROUND((G67*I67)-K67-L67-M67,2)</f>
        <v>202.13</v>
      </c>
      <c r="O67" s="27"/>
      <c r="P67" s="27" t="n">
        <f aca="false">ROUND(IF(D67=0,IF((N67-E67-O67)&gt;0,(N67-E67-O67),0),IF((D67+N67-O67)&gt;0,(D67+N67-O67),0)),2)</f>
        <v>4446.86</v>
      </c>
      <c r="Q67" s="27" t="n">
        <f aca="false">ROUND(IF(E67=0,IF((D67+N67-O67)&lt;0,ABS(D67+N67-O67),0),IF((N67-E67-O67)&lt;0,ABS(N67-E67-O67),0)),2)</f>
        <v>0</v>
      </c>
      <c r="R67" s="17"/>
      <c r="S67" s="17"/>
    </row>
    <row r="68" customFormat="false" ht="15" hidden="false" customHeight="true" outlineLevel="0" collapsed="false">
      <c r="A68" s="8" t="s">
        <v>200</v>
      </c>
      <c r="B68" s="8" t="str">
        <f aca="false">листопад!B68</f>
        <v>Неграчева Л.Г.</v>
      </c>
      <c r="C68" s="8" t="s">
        <v>202</v>
      </c>
      <c r="D68" s="27" t="n">
        <f aca="false">листопад!P68</f>
        <v>3003.66</v>
      </c>
      <c r="E68" s="27" t="n">
        <f aca="false">листопад!Q68</f>
        <v>0</v>
      </c>
      <c r="F68" s="27" t="n">
        <f aca="false">листопад!F68</f>
        <v>0</v>
      </c>
      <c r="G68" s="27" t="n">
        <f aca="false">листопад!G68</f>
        <v>66.6</v>
      </c>
      <c r="H68" s="27" t="n">
        <f aca="false">листопад!H68</f>
        <v>0</v>
      </c>
      <c r="I68" s="28" t="n">
        <f aca="false">листопад!I68</f>
        <v>4.1</v>
      </c>
      <c r="J68" s="27" t="n">
        <f aca="false">ROUND(G68*I68,2)</f>
        <v>273.06</v>
      </c>
      <c r="K68" s="27"/>
      <c r="L68" s="27"/>
      <c r="M68" s="27"/>
      <c r="N68" s="27" t="n">
        <f aca="false">ROUND((G68*I68)-K68-L68-M68,2)</f>
        <v>273.06</v>
      </c>
      <c r="O68" s="27"/>
      <c r="P68" s="27" t="n">
        <f aca="false">ROUND(IF(D68=0,IF((N68-E68-O68)&gt;0,(N68-E68-O68),0),IF((D68+N68-O68)&gt;0,(D68+N68-O68),0)),2)</f>
        <v>3276.72</v>
      </c>
      <c r="Q68" s="27" t="n">
        <f aca="false">ROUND(IF(E68=0,IF((D68+N68-O68)&lt;0,ABS(D68+N68-O68),0),IF((N68-E68-O68)&lt;0,ABS(N68-E68-O68),0)),2)</f>
        <v>0</v>
      </c>
      <c r="R68" s="17"/>
      <c r="S68" s="17"/>
    </row>
    <row r="69" customFormat="false" ht="15" hidden="false" customHeight="true" outlineLevel="0" collapsed="false">
      <c r="A69" s="8" t="s">
        <v>203</v>
      </c>
      <c r="B69" s="8" t="str">
        <f aca="false">листопад!B69</f>
        <v>Брежнєв О.В.</v>
      </c>
      <c r="C69" s="8" t="s">
        <v>205</v>
      </c>
      <c r="D69" s="27" t="n">
        <f aca="false">листопад!P69</f>
        <v>4205.05</v>
      </c>
      <c r="E69" s="27" t="n">
        <f aca="false">листопад!Q69</f>
        <v>0</v>
      </c>
      <c r="F69" s="27" t="n">
        <f aca="false">листопад!F69</f>
        <v>0</v>
      </c>
      <c r="G69" s="27" t="n">
        <f aca="false">листопад!G69</f>
        <v>61.88</v>
      </c>
      <c r="H69" s="27" t="n">
        <f aca="false">листопад!H69</f>
        <v>0</v>
      </c>
      <c r="I69" s="28" t="n">
        <f aca="false">листопад!I69</f>
        <v>4.1</v>
      </c>
      <c r="J69" s="27" t="n">
        <f aca="false">ROUND(G69*I69,2)</f>
        <v>253.71</v>
      </c>
      <c r="K69" s="27"/>
      <c r="L69" s="27"/>
      <c r="M69" s="27"/>
      <c r="N69" s="27" t="n">
        <f aca="false">ROUND((G69*I69)-K69-L69-M69,2)</f>
        <v>253.71</v>
      </c>
      <c r="O69" s="27"/>
      <c r="P69" s="27" t="n">
        <f aca="false">ROUND(IF(D69=0,IF((N69-E69-O69)&gt;0,(N69-E69-O69),0),IF((D69+N69-O69)&gt;0,(D69+N69-O69),0)),2)</f>
        <v>4458.76</v>
      </c>
      <c r="Q69" s="27" t="n">
        <f aca="false">ROUND(IF(E69=0,IF((D69+N69-O69)&lt;0,ABS(D69+N69-O69),0),IF((N69-E69-O69)&lt;0,ABS(N69-E69-O69),0)),2)</f>
        <v>0</v>
      </c>
      <c r="R69" s="17"/>
      <c r="S69" s="17"/>
    </row>
    <row r="70" customFormat="false" ht="15" hidden="false" customHeight="true" outlineLevel="0" collapsed="false">
      <c r="A70" s="8" t="s">
        <v>206</v>
      </c>
      <c r="B70" s="8" t="str">
        <f aca="false">листопад!B70</f>
        <v>Горбатюк К.О.</v>
      </c>
      <c r="C70" s="8" t="s">
        <v>208</v>
      </c>
      <c r="D70" s="27" t="n">
        <f aca="false">листопад!P70</f>
        <v>2580.12</v>
      </c>
      <c r="E70" s="27" t="n">
        <f aca="false">листопад!Q70</f>
        <v>0</v>
      </c>
      <c r="F70" s="27" t="n">
        <f aca="false">листопад!F70</f>
        <v>0</v>
      </c>
      <c r="G70" s="27" t="n">
        <f aca="false">листопад!G70</f>
        <v>34.96</v>
      </c>
      <c r="H70" s="27" t="n">
        <f aca="false">листопад!H70</f>
        <v>0</v>
      </c>
      <c r="I70" s="28" t="n">
        <f aca="false">листопад!I70</f>
        <v>4.1</v>
      </c>
      <c r="J70" s="27" t="n">
        <f aca="false">ROUND(G70*I70,2)</f>
        <v>143.34</v>
      </c>
      <c r="K70" s="27"/>
      <c r="L70" s="27"/>
      <c r="M70" s="27"/>
      <c r="N70" s="27" t="n">
        <f aca="false">ROUND((G70*I70)-K70-L70-M70,2)</f>
        <v>143.34</v>
      </c>
      <c r="O70" s="27"/>
      <c r="P70" s="27" t="n">
        <f aca="false">ROUND(IF(D70=0,IF((N70-E70-O70)&gt;0,(N70-E70-O70),0),IF((D70+N70-O70)&gt;0,(D70+N70-O70),0)),2)</f>
        <v>2723.46</v>
      </c>
      <c r="Q70" s="27" t="n">
        <f aca="false">ROUND(IF(E70=0,IF((D70+N70-O70)&lt;0,ABS(D70+N70-O70),0),IF((N70-E70-O70)&lt;0,ABS(N70-E70-O70),0)),2)</f>
        <v>0</v>
      </c>
      <c r="R70" s="17"/>
      <c r="S70" s="17"/>
    </row>
    <row r="71" customFormat="false" ht="15" hidden="false" customHeight="true" outlineLevel="0" collapsed="false">
      <c r="A71" s="8" t="s">
        <v>209</v>
      </c>
      <c r="B71" s="8" t="str">
        <f aca="false">листопад!B71</f>
        <v>Божик М.О.</v>
      </c>
      <c r="C71" s="8" t="s">
        <v>211</v>
      </c>
      <c r="D71" s="27" t="n">
        <f aca="false">листопад!P71</f>
        <v>2051.2</v>
      </c>
      <c r="E71" s="27" t="n">
        <f aca="false">листопад!Q71</f>
        <v>0</v>
      </c>
      <c r="F71" s="27" t="n">
        <f aca="false">листопад!F71</f>
        <v>0</v>
      </c>
      <c r="G71" s="27" t="n">
        <f aca="false">листопад!G71</f>
        <v>50.03</v>
      </c>
      <c r="H71" s="27" t="n">
        <f aca="false">листопад!H71</f>
        <v>0</v>
      </c>
      <c r="I71" s="28" t="n">
        <f aca="false">листопад!I71</f>
        <v>4.1</v>
      </c>
      <c r="J71" s="27" t="n">
        <f aca="false">ROUND(G71*I71,2)</f>
        <v>205.12</v>
      </c>
      <c r="K71" s="27"/>
      <c r="L71" s="27"/>
      <c r="M71" s="27"/>
      <c r="N71" s="27" t="n">
        <f aca="false">ROUND((G71*I71)-K71-L71-M71,2)</f>
        <v>205.12</v>
      </c>
      <c r="O71" s="27"/>
      <c r="P71" s="27" t="n">
        <f aca="false">ROUND(IF(D71=0,IF((N71-E71-O71)&gt;0,(N71-E71-O71),0),IF((D71+N71-O71)&gt;0,(D71+N71-O71),0)),2)</f>
        <v>2256.32</v>
      </c>
      <c r="Q71" s="27" t="n">
        <f aca="false">ROUND(IF(E71=0,IF((D71+N71-O71)&lt;0,ABS(D71+N71-O71),0),IF((N71-E71-O71)&lt;0,ABS(N71-E71-O71),0)),2)</f>
        <v>0</v>
      </c>
      <c r="R71" s="17"/>
      <c r="S71" s="17"/>
    </row>
    <row r="72" customFormat="false" ht="15" hidden="false" customHeight="true" outlineLevel="0" collapsed="false">
      <c r="A72" s="8" t="s">
        <v>212</v>
      </c>
      <c r="B72" s="8" t="str">
        <f aca="false">листопад!B72</f>
        <v>Зайченко С.Л</v>
      </c>
      <c r="C72" s="8" t="s">
        <v>214</v>
      </c>
      <c r="D72" s="27" t="n">
        <f aca="false">листопад!P72</f>
        <v>15463.29</v>
      </c>
      <c r="E72" s="27" t="n">
        <f aca="false">листопад!Q72</f>
        <v>0</v>
      </c>
      <c r="F72" s="27" t="n">
        <f aca="false">листопад!F72</f>
        <v>0</v>
      </c>
      <c r="G72" s="27" t="n">
        <f aca="false">листопад!G72</f>
        <v>65.15</v>
      </c>
      <c r="H72" s="27" t="n">
        <f aca="false">листопад!H72</f>
        <v>0</v>
      </c>
      <c r="I72" s="28" t="n">
        <f aca="false">листопад!I72</f>
        <v>4.1</v>
      </c>
      <c r="J72" s="27" t="n">
        <f aca="false">ROUND(G72*I72,2)</f>
        <v>267.12</v>
      </c>
      <c r="K72" s="27"/>
      <c r="L72" s="27"/>
      <c r="M72" s="27"/>
      <c r="N72" s="27" t="n">
        <f aca="false">ROUND((G72*I72)-K72-L72-M72,2)</f>
        <v>267.12</v>
      </c>
      <c r="O72" s="27"/>
      <c r="P72" s="27" t="n">
        <f aca="false">ROUND(IF(D72=0,IF((N72-E72-O72)&gt;0,(N72-E72-O72),0),IF((D72+N72-O72)&gt;0,(D72+N72-O72),0)),2)</f>
        <v>15730.41</v>
      </c>
      <c r="Q72" s="27" t="n">
        <f aca="false">ROUND(IF(E72=0,IF((D72+N72-O72)&lt;0,ABS(D72+N72-O72),0),IF((N72-E72-O72)&lt;0,ABS(N72-E72-O72),0)),2)</f>
        <v>0</v>
      </c>
      <c r="R72" s="17"/>
      <c r="S72" s="17"/>
    </row>
    <row r="73" customFormat="false" ht="15" hidden="false" customHeight="true" outlineLevel="0" collapsed="false">
      <c r="A73" s="8" t="s">
        <v>215</v>
      </c>
      <c r="B73" s="8" t="str">
        <f aca="false">листопад!B73</f>
        <v>Бессараб Н.Г.</v>
      </c>
      <c r="C73" s="8" t="s">
        <v>217</v>
      </c>
      <c r="D73" s="27" t="n">
        <f aca="false">листопад!P73</f>
        <v>4407.75</v>
      </c>
      <c r="E73" s="27" t="n">
        <f aca="false">листопад!Q73</f>
        <v>0</v>
      </c>
      <c r="F73" s="27" t="n">
        <f aca="false">листопад!F73</f>
        <v>0</v>
      </c>
      <c r="G73" s="27" t="n">
        <f aca="false">листопад!G73</f>
        <v>63.41</v>
      </c>
      <c r="H73" s="27" t="n">
        <f aca="false">листопад!H73</f>
        <v>0</v>
      </c>
      <c r="I73" s="28" t="n">
        <f aca="false">листопад!I73</f>
        <v>4.1</v>
      </c>
      <c r="J73" s="27" t="n">
        <f aca="false">ROUND(G73*I73,2)</f>
        <v>259.98</v>
      </c>
      <c r="K73" s="27"/>
      <c r="L73" s="27"/>
      <c r="M73" s="27"/>
      <c r="N73" s="27" t="n">
        <f aca="false">ROUND((G73*I73)-K73-L73-M73,2)</f>
        <v>259.98</v>
      </c>
      <c r="O73" s="27"/>
      <c r="P73" s="27" t="n">
        <f aca="false">ROUND(IF(D73=0,IF((N73-E73-O73)&gt;0,(N73-E73-O73),0),IF((D73+N73-O73)&gt;0,(D73+N73-O73),0)),2)</f>
        <v>4667.73</v>
      </c>
      <c r="Q73" s="27" t="n">
        <f aca="false">ROUND(IF(E73=0,IF((D73+N73-O73)&lt;0,ABS(D73+N73-O73),0),IF((N73-E73-O73)&lt;0,ABS(N73-E73-O73),0)),2)</f>
        <v>0</v>
      </c>
      <c r="R73" s="17"/>
      <c r="S73" s="17"/>
    </row>
    <row r="74" customFormat="false" ht="15" hidden="false" customHeight="true" outlineLevel="0" collapsed="false">
      <c r="A74" s="8" t="s">
        <v>218</v>
      </c>
      <c r="B74" s="8" t="str">
        <f aca="false">листопад!B74</f>
        <v>Прохорова С.І.</v>
      </c>
      <c r="C74" s="8" t="s">
        <v>220</v>
      </c>
      <c r="D74" s="27" t="n">
        <f aca="false">листопад!P74</f>
        <v>1541.32</v>
      </c>
      <c r="E74" s="27" t="n">
        <f aca="false">листопад!Q74</f>
        <v>0</v>
      </c>
      <c r="F74" s="27" t="n">
        <f aca="false">листопад!F74</f>
        <v>0</v>
      </c>
      <c r="G74" s="27" t="n">
        <f aca="false">листопад!G74</f>
        <v>35.19</v>
      </c>
      <c r="H74" s="27" t="n">
        <f aca="false">листопад!H74</f>
        <v>0</v>
      </c>
      <c r="I74" s="28" t="n">
        <f aca="false">листопад!I74</f>
        <v>4.1</v>
      </c>
      <c r="J74" s="27" t="n">
        <f aca="false">ROUND(G74*I74,2)</f>
        <v>144.28</v>
      </c>
      <c r="K74" s="27"/>
      <c r="L74" s="27"/>
      <c r="M74" s="27"/>
      <c r="N74" s="27" t="n">
        <f aca="false">ROUND((G74*I74)-K74-L74-M74,2)</f>
        <v>144.28</v>
      </c>
      <c r="O74" s="27"/>
      <c r="P74" s="27" t="n">
        <f aca="false">ROUND(IF(D74=0,IF((N74-E74-O74)&gt;0,(N74-E74-O74),0),IF((D74+N74-O74)&gt;0,(D74+N74-O74),0)),2)</f>
        <v>1685.6</v>
      </c>
      <c r="Q74" s="27" t="n">
        <f aca="false">ROUND(IF(E74=0,IF((D74+N74-O74)&lt;0,ABS(D74+N74-O74),0),IF((N74-E74-O74)&lt;0,ABS(N74-E74-O74),0)),2)</f>
        <v>0</v>
      </c>
      <c r="R74" s="17"/>
      <c r="S74" s="17"/>
    </row>
    <row r="75" customFormat="false" ht="15" hidden="false" customHeight="true" outlineLevel="0" collapsed="false">
      <c r="A75" s="8" t="s">
        <v>221</v>
      </c>
      <c r="B75" s="8" t="str">
        <f aca="false">листопад!B75</f>
        <v>Браташ А.Ф.</v>
      </c>
      <c r="C75" s="8" t="s">
        <v>223</v>
      </c>
      <c r="D75" s="27" t="n">
        <f aca="false">листопад!P75</f>
        <v>12131.12</v>
      </c>
      <c r="E75" s="27" t="n">
        <f aca="false">листопад!Q75</f>
        <v>0</v>
      </c>
      <c r="F75" s="27" t="n">
        <f aca="false">листопад!F75</f>
        <v>0</v>
      </c>
      <c r="G75" s="27" t="n">
        <f aca="false">листопад!G75</f>
        <v>49.89</v>
      </c>
      <c r="H75" s="27" t="n">
        <f aca="false">листопад!H75</f>
        <v>0</v>
      </c>
      <c r="I75" s="28" t="n">
        <f aca="false">листопад!I75</f>
        <v>4.1</v>
      </c>
      <c r="J75" s="27" t="n">
        <f aca="false">ROUND(G75*I75,2)</f>
        <v>204.55</v>
      </c>
      <c r="K75" s="27"/>
      <c r="L75" s="27"/>
      <c r="M75" s="27"/>
      <c r="N75" s="27" t="n">
        <f aca="false">ROUND((G75*I75)-K75-L75-M75,2)</f>
        <v>204.55</v>
      </c>
      <c r="O75" s="27"/>
      <c r="P75" s="27" t="n">
        <f aca="false">ROUND(IF(D75=0,IF((N75-E75-O75)&gt;0,(N75-E75-O75),0),IF((D75+N75-O75)&gt;0,(D75+N75-O75),0)),2)</f>
        <v>12335.67</v>
      </c>
      <c r="Q75" s="27" t="n">
        <f aca="false">ROUND(IF(E75=0,IF((D75+N75-O75)&lt;0,ABS(D75+N75-O75),0),IF((N75-E75-O75)&lt;0,ABS(N75-E75-O75),0)),2)</f>
        <v>0</v>
      </c>
      <c r="R75" s="17"/>
      <c r="S75" s="17"/>
    </row>
    <row r="76" customFormat="false" ht="15" hidden="false" customHeight="true" outlineLevel="0" collapsed="false">
      <c r="A76" s="8" t="s">
        <v>224</v>
      </c>
      <c r="B76" s="8" t="str">
        <f aca="false">листопад!B76</f>
        <v>Кудас Д.О.</v>
      </c>
      <c r="C76" s="8" t="s">
        <v>226</v>
      </c>
      <c r="D76" s="27" t="n">
        <f aca="false">листопад!P76</f>
        <v>3999.3</v>
      </c>
      <c r="E76" s="27" t="n">
        <f aca="false">листопад!Q76</f>
        <v>0</v>
      </c>
      <c r="F76" s="27" t="n">
        <f aca="false">листопад!F76</f>
        <v>0</v>
      </c>
      <c r="G76" s="27" t="n">
        <f aca="false">листопад!G76</f>
        <v>65.03</v>
      </c>
      <c r="H76" s="27" t="n">
        <f aca="false">листопад!H76</f>
        <v>0</v>
      </c>
      <c r="I76" s="28" t="n">
        <f aca="false">листопад!I76</f>
        <v>4.1</v>
      </c>
      <c r="J76" s="27" t="n">
        <f aca="false">ROUND(G76*I76,2)</f>
        <v>266.62</v>
      </c>
      <c r="K76" s="27"/>
      <c r="L76" s="27"/>
      <c r="M76" s="27"/>
      <c r="N76" s="27" t="n">
        <f aca="false">ROUND((G76*I76)-K76-L76-M76,2)</f>
        <v>266.62</v>
      </c>
      <c r="O76" s="27"/>
      <c r="P76" s="27" t="n">
        <f aca="false">ROUND(IF(D76=0,IF((N76-E76-O76)&gt;0,(N76-E76-O76),0),IF((D76+N76-O76)&gt;0,(D76+N76-O76),0)),2)</f>
        <v>4265.92</v>
      </c>
      <c r="Q76" s="27" t="n">
        <f aca="false">ROUND(IF(E76=0,IF((D76+N76-O76)&lt;0,ABS(D76+N76-O76),0),IF((N76-E76-O76)&lt;0,ABS(N76-E76-O76),0)),2)</f>
        <v>0</v>
      </c>
      <c r="R76" s="17"/>
      <c r="S76" s="17"/>
    </row>
    <row r="77" customFormat="false" ht="15" hidden="false" customHeight="true" outlineLevel="0" collapsed="false">
      <c r="A77" s="8" t="s">
        <v>227</v>
      </c>
      <c r="B77" s="8" t="str">
        <f aca="false">листопад!B77</f>
        <v>Шушлєбін Б.В.</v>
      </c>
      <c r="C77" s="8" t="s">
        <v>229</v>
      </c>
      <c r="D77" s="27" t="n">
        <f aca="false">листопад!P77</f>
        <v>2630.45</v>
      </c>
      <c r="E77" s="27" t="n">
        <f aca="false">листопад!Q77</f>
        <v>0</v>
      </c>
      <c r="F77" s="27" t="n">
        <f aca="false">листопад!F77</f>
        <v>0</v>
      </c>
      <c r="G77" s="27" t="n">
        <f aca="false">листопад!G77</f>
        <v>62.11</v>
      </c>
      <c r="H77" s="27" t="n">
        <f aca="false">листопад!H77</f>
        <v>0</v>
      </c>
      <c r="I77" s="28" t="n">
        <f aca="false">листопад!I77</f>
        <v>4.1</v>
      </c>
      <c r="J77" s="27" t="n">
        <f aca="false">ROUND(G77*I77,2)</f>
        <v>254.65</v>
      </c>
      <c r="K77" s="27"/>
      <c r="L77" s="27"/>
      <c r="M77" s="27"/>
      <c r="N77" s="27" t="n">
        <f aca="false">ROUND((G77*I77)-K77-L77-M77,2)</f>
        <v>254.65</v>
      </c>
      <c r="O77" s="27"/>
      <c r="P77" s="27" t="n">
        <f aca="false">ROUND(IF(D77=0,IF((N77-E77-O77)&gt;0,(N77-E77-O77),0),IF((D77+N77-O77)&gt;0,(D77+N77-O77),0)),2)</f>
        <v>2885.1</v>
      </c>
      <c r="Q77" s="27" t="n">
        <f aca="false">ROUND(IF(E77=0,IF((D77+N77-O77)&lt;0,ABS(D77+N77-O77),0),IF((N77-E77-O77)&lt;0,ABS(N77-E77-O77),0)),2)</f>
        <v>0</v>
      </c>
      <c r="R77" s="17"/>
      <c r="S77" s="17"/>
    </row>
    <row r="78" customFormat="false" ht="15" hidden="false" customHeight="true" outlineLevel="0" collapsed="false">
      <c r="A78" s="8" t="s">
        <v>230</v>
      </c>
      <c r="B78" s="8" t="str">
        <f aca="false">листопад!B78</f>
        <v>Бородіна І.О.</v>
      </c>
      <c r="C78" s="8" t="s">
        <v>232</v>
      </c>
      <c r="D78" s="27" t="n">
        <f aca="false">листопад!P78</f>
        <v>7763.98</v>
      </c>
      <c r="E78" s="27" t="n">
        <f aca="false">листопад!Q78</f>
        <v>0</v>
      </c>
      <c r="F78" s="27" t="n">
        <f aca="false">листопад!F78</f>
        <v>0</v>
      </c>
      <c r="G78" s="27" t="n">
        <f aca="false">листопад!G78</f>
        <v>34.9</v>
      </c>
      <c r="H78" s="27" t="n">
        <f aca="false">листопад!H78</f>
        <v>0</v>
      </c>
      <c r="I78" s="28" t="n">
        <f aca="false">листопад!I78</f>
        <v>4.1</v>
      </c>
      <c r="J78" s="27" t="n">
        <f aca="false">ROUND(G78*I78,2)</f>
        <v>143.09</v>
      </c>
      <c r="K78" s="27"/>
      <c r="L78" s="27"/>
      <c r="M78" s="27"/>
      <c r="N78" s="27" t="n">
        <f aca="false">ROUND((G78*I78)-K78-L78-M78,2)</f>
        <v>143.09</v>
      </c>
      <c r="O78" s="27"/>
      <c r="P78" s="27" t="n">
        <f aca="false">ROUND(IF(D78=0,IF((N78-E78-O78)&gt;0,(N78-E78-O78),0),IF((D78+N78-O78)&gt;0,(D78+N78-O78),0)),2)</f>
        <v>7907.07</v>
      </c>
      <c r="Q78" s="27" t="n">
        <f aca="false">ROUND(IF(E78=0,IF((D78+N78-O78)&lt;0,ABS(D78+N78-O78),0),IF((N78-E78-O78)&lt;0,ABS(N78-E78-O78),0)),2)</f>
        <v>0</v>
      </c>
      <c r="R78" s="17"/>
      <c r="S78" s="17"/>
    </row>
    <row r="79" customFormat="false" ht="15" hidden="false" customHeight="true" outlineLevel="0" collapsed="false">
      <c r="A79" s="8" t="s">
        <v>233</v>
      </c>
      <c r="B79" s="8" t="str">
        <f aca="false">листопад!B79</f>
        <v>Котурга Л.Й.</v>
      </c>
      <c r="C79" s="8" t="s">
        <v>235</v>
      </c>
      <c r="D79" s="27" t="n">
        <f aca="false">листопад!P79</f>
        <v>2218.92</v>
      </c>
      <c r="E79" s="27" t="n">
        <f aca="false">листопад!Q79</f>
        <v>0</v>
      </c>
      <c r="F79" s="27" t="n">
        <f aca="false">листопад!F79</f>
        <v>0</v>
      </c>
      <c r="G79" s="27" t="n">
        <f aca="false">листопад!G79</f>
        <v>49.2</v>
      </c>
      <c r="H79" s="27" t="n">
        <f aca="false">листопад!H79</f>
        <v>0</v>
      </c>
      <c r="I79" s="28" t="n">
        <f aca="false">листопад!I79</f>
        <v>4.1</v>
      </c>
      <c r="J79" s="27" t="n">
        <f aca="false">ROUND(G79*I79,2)</f>
        <v>201.72</v>
      </c>
      <c r="K79" s="27"/>
      <c r="L79" s="27"/>
      <c r="M79" s="27"/>
      <c r="N79" s="27" t="n">
        <f aca="false">ROUND((G79*I79)-K79-L79-M79,2)</f>
        <v>201.72</v>
      </c>
      <c r="O79" s="27"/>
      <c r="P79" s="27" t="n">
        <f aca="false">ROUND(IF(D79=0,IF((N79-E79-O79)&gt;0,(N79-E79-O79),0),IF((D79+N79-O79)&gt;0,(D79+N79-O79),0)),2)</f>
        <v>2420.64</v>
      </c>
      <c r="Q79" s="27" t="n">
        <f aca="false">ROUND(IF(E79=0,IF((D79+N79-O79)&lt;0,ABS(D79+N79-O79),0),IF((N79-E79-O79)&lt;0,ABS(N79-E79-O79),0)),2)</f>
        <v>0</v>
      </c>
      <c r="R79" s="17"/>
      <c r="S79" s="17"/>
    </row>
    <row r="80" customFormat="false" ht="15" hidden="false" customHeight="true" outlineLevel="0" collapsed="false">
      <c r="A80" s="8" t="s">
        <v>236</v>
      </c>
      <c r="B80" s="8" t="str">
        <f aca="false">листопад!B80</f>
        <v>Горова О.І.</v>
      </c>
      <c r="C80" s="8" t="s">
        <v>238</v>
      </c>
      <c r="D80" s="27" t="n">
        <f aca="false">листопад!P80</f>
        <v>3219.12</v>
      </c>
      <c r="E80" s="27" t="n">
        <f aca="false">листопад!Q80</f>
        <v>0</v>
      </c>
      <c r="F80" s="27" t="n">
        <f aca="false">листопад!F80</f>
        <v>0</v>
      </c>
      <c r="G80" s="27" t="n">
        <f aca="false">листопад!G80</f>
        <v>65.43</v>
      </c>
      <c r="H80" s="27" t="n">
        <f aca="false">листопад!H80</f>
        <v>0</v>
      </c>
      <c r="I80" s="28" t="n">
        <f aca="false">листопад!I80</f>
        <v>4.1</v>
      </c>
      <c r="J80" s="27" t="n">
        <f aca="false">ROUND(G80*I80,2)</f>
        <v>268.26</v>
      </c>
      <c r="K80" s="27"/>
      <c r="L80" s="27"/>
      <c r="M80" s="27"/>
      <c r="N80" s="27" t="n">
        <f aca="false">ROUND((G80*I80)-K80-L80-M80,2)</f>
        <v>268.26</v>
      </c>
      <c r="O80" s="27"/>
      <c r="P80" s="27" t="n">
        <f aca="false">ROUND(IF(D80=0,IF((N80-E80-O80)&gt;0,(N80-E80-O80),0),IF((D80+N80-O80)&gt;0,(D80+N80-O80),0)),2)</f>
        <v>3487.38</v>
      </c>
      <c r="Q80" s="27" t="n">
        <f aca="false">ROUND(IF(E80=0,IF((D80+N80-O80)&lt;0,ABS(D80+N80-O80),0),IF((N80-E80-O80)&lt;0,ABS(N80-E80-O80),0)),2)</f>
        <v>0</v>
      </c>
      <c r="R80" s="17"/>
      <c r="S80" s="17"/>
    </row>
    <row r="81" customFormat="false" ht="15" hidden="false" customHeight="true" outlineLevel="0" collapsed="false">
      <c r="A81" s="8" t="s">
        <v>239</v>
      </c>
      <c r="B81" s="8" t="str">
        <f aca="false">листопад!B81</f>
        <v>Рибакевич М.П.</v>
      </c>
      <c r="C81" s="8" t="s">
        <v>241</v>
      </c>
      <c r="D81" s="27" t="n">
        <f aca="false">листопад!P81</f>
        <v>3921.25</v>
      </c>
      <c r="E81" s="27" t="n">
        <f aca="false">листопад!Q81</f>
        <v>0</v>
      </c>
      <c r="F81" s="27" t="n">
        <f aca="false">листопад!F81</f>
        <v>0</v>
      </c>
      <c r="G81" s="27" t="n">
        <f aca="false">листопад!G81</f>
        <v>64.5</v>
      </c>
      <c r="H81" s="27" t="n">
        <f aca="false">листопад!H81</f>
        <v>0</v>
      </c>
      <c r="I81" s="28" t="n">
        <f aca="false">листопад!I81</f>
        <v>4.1</v>
      </c>
      <c r="J81" s="27" t="n">
        <f aca="false">ROUND(G81*I81,2)</f>
        <v>264.45</v>
      </c>
      <c r="K81" s="27"/>
      <c r="L81" s="27"/>
      <c r="M81" s="27"/>
      <c r="N81" s="27" t="n">
        <f aca="false">ROUND((G81*I81)-K81-L81-M81,2)</f>
        <v>264.45</v>
      </c>
      <c r="O81" s="27"/>
      <c r="P81" s="27" t="n">
        <f aca="false">ROUND(IF(D81=0,IF((N81-E81-O81)&gt;0,(N81-E81-O81),0),IF((D81+N81-O81)&gt;0,(D81+N81-O81),0)),2)</f>
        <v>4185.7</v>
      </c>
      <c r="Q81" s="27" t="n">
        <f aca="false">ROUND(IF(E81=0,IF((D81+N81-O81)&lt;0,ABS(D81+N81-O81),0),IF((N81-E81-O81)&lt;0,ABS(N81-E81-O81),0)),2)</f>
        <v>0</v>
      </c>
      <c r="R81" s="17"/>
      <c r="S81" s="17"/>
    </row>
    <row r="82" customFormat="false" ht="15" hidden="false" customHeight="true" outlineLevel="0" collapsed="false">
      <c r="A82" s="8" t="s">
        <v>242</v>
      </c>
      <c r="B82" s="8" t="str">
        <f aca="false">листопад!B82</f>
        <v>Башкалов В.В.</v>
      </c>
      <c r="C82" s="8" t="s">
        <v>244</v>
      </c>
      <c r="D82" s="27" t="n">
        <f aca="false">листопад!P82</f>
        <v>2288.16</v>
      </c>
      <c r="E82" s="27" t="n">
        <f aca="false">листопад!Q82</f>
        <v>0</v>
      </c>
      <c r="F82" s="27" t="n">
        <f aca="false">листопад!F82</f>
        <v>0</v>
      </c>
      <c r="G82" s="27" t="n">
        <f aca="false">листопад!G82</f>
        <v>50.8</v>
      </c>
      <c r="H82" s="27" t="n">
        <f aca="false">листопад!H82</f>
        <v>0</v>
      </c>
      <c r="I82" s="28" t="n">
        <f aca="false">листопад!I82</f>
        <v>4.1</v>
      </c>
      <c r="J82" s="27" t="n">
        <f aca="false">ROUND(G82*I82,2)</f>
        <v>208.28</v>
      </c>
      <c r="K82" s="27"/>
      <c r="L82" s="27"/>
      <c r="M82" s="27"/>
      <c r="N82" s="27" t="n">
        <f aca="false">ROUND((G82*I82)-K82-L82-M82,2)</f>
        <v>208.28</v>
      </c>
      <c r="O82" s="27"/>
      <c r="P82" s="27" t="n">
        <f aca="false">ROUND(IF(D82=0,IF((N82-E82-O82)&gt;0,(N82-E82-O82),0),IF((D82+N82-O82)&gt;0,(D82+N82-O82),0)),2)</f>
        <v>2496.44</v>
      </c>
      <c r="Q82" s="27" t="n">
        <f aca="false">ROUND(IF(E82=0,IF((D82+N82-O82)&lt;0,ABS(D82+N82-O82),0),IF((N82-E82-O82)&lt;0,ABS(N82-E82-O82),0)),2)</f>
        <v>0</v>
      </c>
      <c r="R82" s="17"/>
      <c r="S82" s="17"/>
    </row>
    <row r="83" customFormat="false" ht="15" hidden="false" customHeight="true" outlineLevel="0" collapsed="false">
      <c r="A83" s="8" t="s">
        <v>245</v>
      </c>
      <c r="B83" s="8" t="str">
        <f aca="false">листопад!B83</f>
        <v>Тіхенко Г.Д.</v>
      </c>
      <c r="C83" s="8" t="s">
        <v>247</v>
      </c>
      <c r="D83" s="27" t="n">
        <f aca="false">листопад!P83</f>
        <v>5291.5</v>
      </c>
      <c r="E83" s="27" t="n">
        <f aca="false">листопад!Q83</f>
        <v>0</v>
      </c>
      <c r="F83" s="27" t="n">
        <f aca="false">листопад!F83</f>
        <v>0</v>
      </c>
      <c r="G83" s="27" t="n">
        <f aca="false">листопад!G83</f>
        <v>34.9</v>
      </c>
      <c r="H83" s="27" t="n">
        <f aca="false">листопад!H83</f>
        <v>0</v>
      </c>
      <c r="I83" s="28" t="n">
        <f aca="false">листопад!I83</f>
        <v>4.1</v>
      </c>
      <c r="J83" s="27" t="n">
        <f aca="false">ROUND(G83*I83,2)</f>
        <v>143.09</v>
      </c>
      <c r="K83" s="27"/>
      <c r="L83" s="27"/>
      <c r="M83" s="27"/>
      <c r="N83" s="27" t="n">
        <f aca="false">ROUND((G83*I83)-K83-L83-M83,2)</f>
        <v>143.09</v>
      </c>
      <c r="O83" s="27"/>
      <c r="P83" s="27" t="n">
        <f aca="false">ROUND(IF(D83=0,IF((N83-E83-O83)&gt;0,(N83-E83-O83),0),IF((D83+N83-O83)&gt;0,(D83+N83-O83),0)),2)</f>
        <v>5434.59</v>
      </c>
      <c r="Q83" s="27" t="n">
        <f aca="false">ROUND(IF(E83=0,IF((D83+N83-O83)&lt;0,ABS(D83+N83-O83),0),IF((N83-E83-O83)&lt;0,ABS(N83-E83-O83),0)),2)</f>
        <v>0</v>
      </c>
      <c r="R83" s="17"/>
      <c r="S83" s="17"/>
    </row>
    <row r="84" customFormat="false" ht="15" hidden="false" customHeight="true" outlineLevel="0" collapsed="false">
      <c r="A84" s="8" t="s">
        <v>248</v>
      </c>
      <c r="B84" s="8" t="str">
        <f aca="false">листопад!B84</f>
        <v>Головченко В.Г.</v>
      </c>
      <c r="C84" s="8" t="s">
        <v>250</v>
      </c>
      <c r="D84" s="27" t="n">
        <f aca="false">листопад!P84</f>
        <v>2751.2</v>
      </c>
      <c r="E84" s="27" t="n">
        <f aca="false">листопад!Q84</f>
        <v>0</v>
      </c>
      <c r="F84" s="27" t="n">
        <f aca="false">листопад!F84</f>
        <v>0</v>
      </c>
      <c r="G84" s="27" t="n">
        <f aca="false">листопад!G84</f>
        <v>61</v>
      </c>
      <c r="H84" s="27" t="n">
        <f aca="false">листопад!H84</f>
        <v>0</v>
      </c>
      <c r="I84" s="28" t="n">
        <f aca="false">листопад!I84</f>
        <v>4.1</v>
      </c>
      <c r="J84" s="27" t="n">
        <f aca="false">ROUND(G84*I84,2)</f>
        <v>250.1</v>
      </c>
      <c r="K84" s="27"/>
      <c r="L84" s="27"/>
      <c r="M84" s="27"/>
      <c r="N84" s="27" t="n">
        <f aca="false">ROUND((G84*I84)-K84-L84-M84,2)</f>
        <v>250.1</v>
      </c>
      <c r="O84" s="27"/>
      <c r="P84" s="27" t="n">
        <f aca="false">ROUND(IF(D84=0,IF((N84-E84-O84)&gt;0,(N84-E84-O84),0),IF((D84+N84-O84)&gt;0,(D84+N84-O84),0)),2)</f>
        <v>3001.3</v>
      </c>
      <c r="Q84" s="27" t="n">
        <f aca="false">ROUND(IF(E84=0,IF((D84+N84-O84)&lt;0,ABS(D84+N84-O84),0),IF((N84-E84-O84)&lt;0,ABS(N84-E84-O84),0)),2)</f>
        <v>0</v>
      </c>
      <c r="R84" s="17"/>
      <c r="S84" s="17"/>
    </row>
    <row r="85" customFormat="false" ht="15" hidden="false" customHeight="true" outlineLevel="0" collapsed="false">
      <c r="A85" s="8" t="s">
        <v>251</v>
      </c>
      <c r="B85" s="8" t="str">
        <f aca="false">листопад!B85</f>
        <v>Семанішина Є.С.</v>
      </c>
      <c r="C85" s="8" t="s">
        <v>253</v>
      </c>
      <c r="D85" s="27" t="n">
        <f aca="false">листопад!P85</f>
        <v>3310.1</v>
      </c>
      <c r="E85" s="27" t="n">
        <f aca="false">листопад!Q85</f>
        <v>0</v>
      </c>
      <c r="F85" s="27" t="n">
        <f aca="false">листопад!F85</f>
        <v>0</v>
      </c>
      <c r="G85" s="27" t="n">
        <f aca="false">листопад!G85</f>
        <v>64.5</v>
      </c>
      <c r="H85" s="27" t="n">
        <f aca="false">листопад!H85</f>
        <v>0</v>
      </c>
      <c r="I85" s="28" t="n">
        <f aca="false">листопад!I85</f>
        <v>4.1</v>
      </c>
      <c r="J85" s="27" t="n">
        <f aca="false">ROUND(G85*I85,2)</f>
        <v>264.45</v>
      </c>
      <c r="K85" s="27"/>
      <c r="L85" s="27"/>
      <c r="M85" s="27"/>
      <c r="N85" s="27" t="n">
        <f aca="false">ROUND((G85*I85)-K85-L85-M85,2)</f>
        <v>264.45</v>
      </c>
      <c r="O85" s="27"/>
      <c r="P85" s="27" t="n">
        <f aca="false">ROUND(IF(D85=0,IF((N85-E85-O85)&gt;0,(N85-E85-O85),0),IF((D85+N85-O85)&gt;0,(D85+N85-O85),0)),2)</f>
        <v>3574.55</v>
      </c>
      <c r="Q85" s="27" t="n">
        <f aca="false">ROUND(IF(E85=0,IF((D85+N85-O85)&lt;0,ABS(D85+N85-O85),0),IF((N85-E85-O85)&lt;0,ABS(N85-E85-O85),0)),2)</f>
        <v>0</v>
      </c>
      <c r="R85" s="17"/>
      <c r="S85" s="17"/>
    </row>
    <row r="86" customFormat="false" ht="15" hidden="false" customHeight="true" outlineLevel="0" collapsed="false">
      <c r="A86" s="8" t="s">
        <v>254</v>
      </c>
      <c r="B86" s="8" t="str">
        <f aca="false">листопад!B86</f>
        <v>Зінченко Ю.В.</v>
      </c>
      <c r="C86" s="8" t="s">
        <v>256</v>
      </c>
      <c r="D86" s="27" t="n">
        <f aca="false">листопад!P86</f>
        <v>2207.69</v>
      </c>
      <c r="E86" s="27" t="n">
        <f aca="false">листопад!Q86</f>
        <v>0</v>
      </c>
      <c r="F86" s="27" t="n">
        <f aca="false">листопад!F86</f>
        <v>0</v>
      </c>
      <c r="G86" s="27" t="n">
        <f aca="false">листопад!G86</f>
        <v>49.3</v>
      </c>
      <c r="H86" s="27" t="n">
        <f aca="false">листопад!H86</f>
        <v>0</v>
      </c>
      <c r="I86" s="28" t="n">
        <f aca="false">листопад!I86</f>
        <v>4.1</v>
      </c>
      <c r="J86" s="27" t="n">
        <f aca="false">ROUND(G86*I86,2)</f>
        <v>202.13</v>
      </c>
      <c r="K86" s="27"/>
      <c r="L86" s="27"/>
      <c r="M86" s="27"/>
      <c r="N86" s="27" t="n">
        <f aca="false">ROUND((G86*I86)-K86-L86-M86,2)</f>
        <v>202.13</v>
      </c>
      <c r="O86" s="27"/>
      <c r="P86" s="27" t="n">
        <f aca="false">ROUND(IF(D86=0,IF((N86-E86-O86)&gt;0,(N86-E86-O86),0),IF((D86+N86-O86)&gt;0,(D86+N86-O86),0)),2)</f>
        <v>2409.82</v>
      </c>
      <c r="Q86" s="27" t="n">
        <f aca="false">ROUND(IF(E86=0,IF((D86+N86-O86)&lt;0,ABS(D86+N86-O86),0),IF((N86-E86-O86)&lt;0,ABS(N86-E86-O86),0)),2)</f>
        <v>0</v>
      </c>
      <c r="R86" s="17"/>
      <c r="S86" s="17"/>
    </row>
    <row r="87" customFormat="false" ht="15" hidden="false" customHeight="true" outlineLevel="0" collapsed="false">
      <c r="A87" s="8" t="s">
        <v>257</v>
      </c>
      <c r="B87" s="8" t="str">
        <f aca="false">листопад!B87</f>
        <v>Рилова Г.П.</v>
      </c>
      <c r="C87" s="8" t="s">
        <v>259</v>
      </c>
      <c r="D87" s="27" t="n">
        <f aca="false">листопад!P87</f>
        <v>1722</v>
      </c>
      <c r="E87" s="27" t="n">
        <f aca="false">листопад!Q87</f>
        <v>0</v>
      </c>
      <c r="F87" s="27" t="n">
        <f aca="false">листопад!F87</f>
        <v>0</v>
      </c>
      <c r="G87" s="27" t="n">
        <f aca="false">листопад!G87</f>
        <v>35</v>
      </c>
      <c r="H87" s="27" t="n">
        <f aca="false">листопад!H87</f>
        <v>0</v>
      </c>
      <c r="I87" s="28" t="n">
        <f aca="false">листопад!I87</f>
        <v>4.1</v>
      </c>
      <c r="J87" s="27" t="n">
        <f aca="false">ROUND(G87*I87,2)</f>
        <v>143.5</v>
      </c>
      <c r="K87" s="27"/>
      <c r="L87" s="27"/>
      <c r="M87" s="27"/>
      <c r="N87" s="27" t="n">
        <f aca="false">ROUND((G87*I87)-K87-L87-M87,2)</f>
        <v>143.5</v>
      </c>
      <c r="O87" s="27"/>
      <c r="P87" s="27" t="n">
        <f aca="false">ROUND(IF(D87=0,IF((N87-E87-O87)&gt;0,(N87-E87-O87),0),IF((D87+N87-O87)&gt;0,(D87+N87-O87),0)),2)</f>
        <v>1865.5</v>
      </c>
      <c r="Q87" s="27" t="n">
        <f aca="false">ROUND(IF(E87=0,IF((D87+N87-O87)&lt;0,ABS(D87+N87-O87),0),IF((N87-E87-O87)&lt;0,ABS(N87-E87-O87),0)),2)</f>
        <v>0</v>
      </c>
      <c r="R87" s="17"/>
      <c r="S87" s="17"/>
    </row>
    <row r="88" customFormat="false" ht="15" hidden="false" customHeight="true" outlineLevel="0" collapsed="false">
      <c r="A88" s="8" t="s">
        <v>260</v>
      </c>
      <c r="B88" s="8" t="str">
        <f aca="false">листопад!B88</f>
        <v>Ленський І.О.</v>
      </c>
      <c r="C88" s="8" t="s">
        <v>262</v>
      </c>
      <c r="D88" s="27" t="n">
        <f aca="false">листопад!P88</f>
        <v>3040.56</v>
      </c>
      <c r="E88" s="27" t="n">
        <f aca="false">листопад!Q88</f>
        <v>0</v>
      </c>
      <c r="F88" s="27" t="n">
        <f aca="false">листопад!F88</f>
        <v>0</v>
      </c>
      <c r="G88" s="27" t="n">
        <f aca="false">листопад!G88</f>
        <v>61.8</v>
      </c>
      <c r="H88" s="27" t="n">
        <f aca="false">листопад!H88</f>
        <v>0</v>
      </c>
      <c r="I88" s="28" t="n">
        <f aca="false">листопад!I88</f>
        <v>4.1</v>
      </c>
      <c r="J88" s="27" t="n">
        <f aca="false">ROUND(G88*I88,2)</f>
        <v>253.38</v>
      </c>
      <c r="K88" s="27"/>
      <c r="L88" s="27"/>
      <c r="M88" s="27"/>
      <c r="N88" s="27" t="n">
        <f aca="false">ROUND((G88*I88)-K88-L88-M88,2)</f>
        <v>253.38</v>
      </c>
      <c r="O88" s="27"/>
      <c r="P88" s="27" t="n">
        <f aca="false">ROUND(IF(D88=0,IF((N88-E88-O88)&gt;0,(N88-E88-O88),0),IF((D88+N88-O88)&gt;0,(D88+N88-O88),0)),2)</f>
        <v>3293.94</v>
      </c>
      <c r="Q88" s="27" t="n">
        <f aca="false">ROUND(IF(E88=0,IF((D88+N88-O88)&lt;0,ABS(D88+N88-O88),0),IF((N88-E88-O88)&lt;0,ABS(N88-E88-O88),0)),2)</f>
        <v>0</v>
      </c>
      <c r="R88" s="17"/>
      <c r="S88" s="17"/>
    </row>
    <row r="89" customFormat="false" ht="15" hidden="false" customHeight="true" outlineLevel="0" collapsed="false">
      <c r="A89" s="8" t="s">
        <v>263</v>
      </c>
      <c r="B89" s="8" t="str">
        <f aca="false">листопад!B89</f>
        <v>Слюсар О.О.</v>
      </c>
      <c r="C89" s="8" t="s">
        <v>265</v>
      </c>
      <c r="D89" s="27" t="n">
        <f aca="false">листопад!P89</f>
        <v>15515.09</v>
      </c>
      <c r="E89" s="27" t="n">
        <f aca="false">листопад!Q89</f>
        <v>0</v>
      </c>
      <c r="F89" s="27" t="n">
        <f aca="false">листопад!F89</f>
        <v>0</v>
      </c>
      <c r="G89" s="27" t="n">
        <f aca="false">листопад!G89</f>
        <v>65.81</v>
      </c>
      <c r="H89" s="27" t="n">
        <f aca="false">листопад!H89</f>
        <v>0</v>
      </c>
      <c r="I89" s="28" t="n">
        <f aca="false">листопад!I89</f>
        <v>4.1</v>
      </c>
      <c r="J89" s="27" t="n">
        <f aca="false">ROUND(G89*I89,2)</f>
        <v>269.82</v>
      </c>
      <c r="K89" s="27"/>
      <c r="L89" s="27"/>
      <c r="M89" s="27"/>
      <c r="N89" s="27" t="n">
        <f aca="false">ROUND((G89*I89)-K89-L89-M89,2)</f>
        <v>269.82</v>
      </c>
      <c r="O89" s="27"/>
      <c r="P89" s="27" t="n">
        <f aca="false">ROUND(IF(D89=0,IF((N89-E89-O89)&gt;0,(N89-E89-O89),0),IF((D89+N89-O89)&gt;0,(D89+N89-O89),0)),2)</f>
        <v>15784.91</v>
      </c>
      <c r="Q89" s="27" t="n">
        <f aca="false">ROUND(IF(E89=0,IF((D89+N89-O89)&lt;0,ABS(D89+N89-O89),0),IF((N89-E89-O89)&lt;0,ABS(N89-E89-O89),0)),2)</f>
        <v>0</v>
      </c>
      <c r="R89" s="17"/>
      <c r="S89" s="17"/>
    </row>
    <row r="90" customFormat="false" ht="15" hidden="false" customHeight="true" outlineLevel="0" collapsed="false">
      <c r="A90" s="8" t="s">
        <v>266</v>
      </c>
      <c r="B90" s="8" t="str">
        <f aca="false">листопад!B90</f>
        <v>Кісельов Г.О.</v>
      </c>
      <c r="C90" s="8" t="s">
        <v>268</v>
      </c>
      <c r="D90" s="27" t="n">
        <f aca="false">листопад!P90</f>
        <v>1628.78</v>
      </c>
      <c r="E90" s="27" t="n">
        <f aca="false">листопад!Q90</f>
        <v>0</v>
      </c>
      <c r="F90" s="27" t="n">
        <f aca="false">листопад!F90</f>
        <v>0</v>
      </c>
      <c r="G90" s="27" t="n">
        <f aca="false">листопад!G90</f>
        <v>49.7</v>
      </c>
      <c r="H90" s="27" t="n">
        <f aca="false">листопад!H90</f>
        <v>0</v>
      </c>
      <c r="I90" s="28" t="n">
        <f aca="false">листопад!I90</f>
        <v>4.1</v>
      </c>
      <c r="J90" s="27" t="n">
        <f aca="false">ROUND(G90*I90,2)</f>
        <v>203.77</v>
      </c>
      <c r="K90" s="27"/>
      <c r="L90" s="27"/>
      <c r="M90" s="27"/>
      <c r="N90" s="27" t="n">
        <f aca="false">ROUND((G90*I90)-K90-L90-M90,2)</f>
        <v>203.77</v>
      </c>
      <c r="O90" s="27"/>
      <c r="P90" s="27" t="n">
        <f aca="false">ROUND(IF(D90=0,IF((N90-E90-O90)&gt;0,(N90-E90-O90),0),IF((D90+N90-O90)&gt;0,(D90+N90-O90),0)),2)</f>
        <v>1832.55</v>
      </c>
      <c r="Q90" s="27" t="n">
        <f aca="false">ROUND(IF(E90=0,IF((D90+N90-O90)&lt;0,ABS(D90+N90-O90),0),IF((N90-E90-O90)&lt;0,ABS(N90-E90-O90),0)),2)</f>
        <v>0</v>
      </c>
      <c r="R90" s="17"/>
      <c r="S90" s="17"/>
    </row>
    <row r="91" customFormat="false" ht="15" hidden="false" customHeight="true" outlineLevel="0" collapsed="false">
      <c r="A91" s="8" t="s">
        <v>269</v>
      </c>
      <c r="B91" s="8" t="str">
        <f aca="false">листопад!B91</f>
        <v>Губанова Н.С.</v>
      </c>
      <c r="C91" s="8" t="s">
        <v>271</v>
      </c>
      <c r="D91" s="27" t="n">
        <f aca="false">листопад!P91</f>
        <v>7355.4</v>
      </c>
      <c r="E91" s="27" t="n">
        <f aca="false">листопад!Q91</f>
        <v>0</v>
      </c>
      <c r="F91" s="27" t="n">
        <f aca="false">листопад!F91</f>
        <v>0</v>
      </c>
      <c r="G91" s="27" t="n">
        <f aca="false">листопад!G91</f>
        <v>34.5</v>
      </c>
      <c r="H91" s="27" t="n">
        <f aca="false">листопад!H91</f>
        <v>0</v>
      </c>
      <c r="I91" s="28" t="n">
        <f aca="false">листопад!I91</f>
        <v>4.1</v>
      </c>
      <c r="J91" s="27" t="n">
        <f aca="false">ROUND(G91*I91,2)</f>
        <v>141.45</v>
      </c>
      <c r="K91" s="27"/>
      <c r="L91" s="27"/>
      <c r="M91" s="27"/>
      <c r="N91" s="27" t="n">
        <f aca="false">ROUND((G91*I91)-K91-L91-M91,2)</f>
        <v>141.45</v>
      </c>
      <c r="O91" s="27"/>
      <c r="P91" s="27" t="n">
        <f aca="false">ROUND(IF(D91=0,IF((N91-E91-O91)&gt;0,(N91-E91-O91),0),IF((D91+N91-O91)&gt;0,(D91+N91-O91),0)),2)</f>
        <v>7496.85</v>
      </c>
      <c r="Q91" s="27" t="n">
        <f aca="false">ROUND(IF(E91=0,IF((D91+N91-O91)&lt;0,ABS(D91+N91-O91),0),IF((N91-E91-O91)&lt;0,ABS(N91-E91-O91),0)),2)</f>
        <v>0</v>
      </c>
      <c r="R91" s="17"/>
      <c r="S91" s="17"/>
    </row>
    <row r="92" customFormat="false" ht="15" hidden="false" customHeight="true" outlineLevel="0" collapsed="false">
      <c r="A92" s="8" t="s">
        <v>272</v>
      </c>
      <c r="B92" s="8" t="str">
        <f aca="false">листопад!B92</f>
        <v>Попова А.В.</v>
      </c>
      <c r="C92" s="8" t="s">
        <v>274</v>
      </c>
      <c r="D92" s="27" t="n">
        <f aca="false">листопад!P92</f>
        <v>6570.67</v>
      </c>
      <c r="E92" s="27" t="n">
        <f aca="false">листопад!Q92</f>
        <v>0</v>
      </c>
      <c r="F92" s="27" t="n">
        <f aca="false">листопад!F92</f>
        <v>0</v>
      </c>
      <c r="G92" s="27" t="n">
        <f aca="false">листопад!G92</f>
        <v>62.4</v>
      </c>
      <c r="H92" s="27" t="n">
        <f aca="false">листопад!H92</f>
        <v>0</v>
      </c>
      <c r="I92" s="28" t="n">
        <f aca="false">листопад!I92</f>
        <v>4.1</v>
      </c>
      <c r="J92" s="27" t="n">
        <f aca="false">ROUND(G92*I92,2)</f>
        <v>255.84</v>
      </c>
      <c r="K92" s="27"/>
      <c r="L92" s="27"/>
      <c r="M92" s="27"/>
      <c r="N92" s="27" t="n">
        <f aca="false">ROUND((G92*I92)-K92-L92-M92,2)</f>
        <v>255.84</v>
      </c>
      <c r="O92" s="27"/>
      <c r="P92" s="27" t="n">
        <f aca="false">ROUND(IF(D92=0,IF((N92-E92-O92)&gt;0,(N92-E92-O92),0),IF((D92+N92-O92)&gt;0,(D92+N92-O92),0)),2)</f>
        <v>6826.51</v>
      </c>
      <c r="Q92" s="27" t="n">
        <f aca="false">ROUND(IF(E92=0,IF((D92+N92-O92)&lt;0,ABS(D92+N92-O92),0),IF((N92-E92-O92)&lt;0,ABS(N92-E92-O92),0)),2)</f>
        <v>0</v>
      </c>
      <c r="R92" s="17"/>
      <c r="S92" s="17"/>
    </row>
    <row r="93" customFormat="false" ht="15" hidden="false" customHeight="true" outlineLevel="0" collapsed="false">
      <c r="A93" s="8" t="s">
        <v>275</v>
      </c>
      <c r="B93" s="8" t="str">
        <f aca="false">листопад!B93</f>
        <v>Стародубець О.К.</v>
      </c>
      <c r="C93" s="8" t="s">
        <v>277</v>
      </c>
      <c r="D93" s="27" t="n">
        <f aca="false">листопад!P93</f>
        <v>3269.88</v>
      </c>
      <c r="E93" s="27" t="n">
        <f aca="false">листопад!Q93</f>
        <v>0</v>
      </c>
      <c r="F93" s="27" t="n">
        <f aca="false">листопад!F93</f>
        <v>0</v>
      </c>
      <c r="G93" s="27" t="n">
        <f aca="false">листопад!G93</f>
        <v>66.46</v>
      </c>
      <c r="H93" s="27" t="n">
        <f aca="false">листопад!H93</f>
        <v>0</v>
      </c>
      <c r="I93" s="28" t="n">
        <f aca="false">листопад!I93</f>
        <v>4.1</v>
      </c>
      <c r="J93" s="27" t="n">
        <f aca="false">ROUND(G93*I93,2)</f>
        <v>272.49</v>
      </c>
      <c r="K93" s="27"/>
      <c r="L93" s="27"/>
      <c r="M93" s="27"/>
      <c r="N93" s="27" t="n">
        <f aca="false">ROUND((G93*I93)-K93-L93-M93,2)</f>
        <v>272.49</v>
      </c>
      <c r="O93" s="27"/>
      <c r="P93" s="27" t="n">
        <f aca="false">ROUND(IF(D93=0,IF((N93-E93-O93)&gt;0,(N93-E93-O93),0),IF((D93+N93-O93)&gt;0,(D93+N93-O93),0)),2)</f>
        <v>3542.37</v>
      </c>
      <c r="Q93" s="27" t="n">
        <f aca="false">ROUND(IF(E93=0,IF((D93+N93-O93)&lt;0,ABS(D93+N93-O93),0),IF((N93-E93-O93)&lt;0,ABS(N93-E93-O93),0)),2)</f>
        <v>0</v>
      </c>
      <c r="R93" s="17"/>
      <c r="S93" s="17"/>
    </row>
    <row r="94" customFormat="false" ht="15" hidden="false" customHeight="true" outlineLevel="0" collapsed="false">
      <c r="A94" s="8" t="s">
        <v>278</v>
      </c>
      <c r="B94" s="8" t="str">
        <f aca="false">листопад!B94</f>
        <v>Сакун Т.А.</v>
      </c>
      <c r="C94" s="8" t="s">
        <v>280</v>
      </c>
      <c r="D94" s="27" t="n">
        <f aca="false">листопад!P94</f>
        <v>10029.41</v>
      </c>
      <c r="E94" s="27" t="n">
        <f aca="false">листопад!Q94</f>
        <v>0</v>
      </c>
      <c r="F94" s="27" t="n">
        <f aca="false">листопад!F94</f>
        <v>0</v>
      </c>
      <c r="G94" s="27" t="n">
        <f aca="false">листопад!G94</f>
        <v>49.73</v>
      </c>
      <c r="H94" s="27" t="n">
        <f aca="false">листопад!H94</f>
        <v>0</v>
      </c>
      <c r="I94" s="28" t="n">
        <f aca="false">листопад!I94</f>
        <v>4.1</v>
      </c>
      <c r="J94" s="27" t="n">
        <f aca="false">ROUND(G94*I94,2)</f>
        <v>203.89</v>
      </c>
      <c r="K94" s="27"/>
      <c r="L94" s="27"/>
      <c r="M94" s="27"/>
      <c r="N94" s="27" t="n">
        <f aca="false">ROUND((G94*I94)-K94-L94-M94,2)</f>
        <v>203.89</v>
      </c>
      <c r="O94" s="27"/>
      <c r="P94" s="27" t="n">
        <f aca="false">ROUND(IF(D94=0,IF((N94-E94-O94)&gt;0,(N94-E94-O94),0),IF((D94+N94-O94)&gt;0,(D94+N94-O94),0)),2)</f>
        <v>10233.3</v>
      </c>
      <c r="Q94" s="27" t="n">
        <f aca="false">ROUND(IF(E94=0,IF((D94+N94-O94)&lt;0,ABS(D94+N94-O94),0),IF((N94-E94-O94)&lt;0,ABS(N94-E94-O94),0)),2)</f>
        <v>0</v>
      </c>
      <c r="R94" s="17"/>
      <c r="S94" s="17"/>
    </row>
    <row r="95" customFormat="false" ht="15" hidden="false" customHeight="true" outlineLevel="0" collapsed="false">
      <c r="A95" s="8" t="s">
        <v>281</v>
      </c>
      <c r="B95" s="8" t="str">
        <f aca="false">листопад!B95</f>
        <v>Фатєєв Ю.О.</v>
      </c>
      <c r="C95" s="8" t="s">
        <v>283</v>
      </c>
      <c r="D95" s="27" t="n">
        <f aca="false">листопад!P95</f>
        <v>10517.68</v>
      </c>
      <c r="E95" s="27" t="n">
        <f aca="false">листопад!Q95</f>
        <v>0</v>
      </c>
      <c r="F95" s="27" t="n">
        <f aca="false">листопад!F95</f>
        <v>0</v>
      </c>
      <c r="G95" s="27" t="n">
        <f aca="false">листопад!G95</f>
        <v>34.9</v>
      </c>
      <c r="H95" s="27" t="n">
        <f aca="false">листопад!H95</f>
        <v>0</v>
      </c>
      <c r="I95" s="28" t="n">
        <f aca="false">листопад!I95</f>
        <v>4.1</v>
      </c>
      <c r="J95" s="27" t="n">
        <f aca="false">ROUND(G95*I95,2)</f>
        <v>143.09</v>
      </c>
      <c r="K95" s="27"/>
      <c r="L95" s="27"/>
      <c r="M95" s="27"/>
      <c r="N95" s="27" t="n">
        <f aca="false">ROUND((G95*I95)-K95-L95-M95,2)</f>
        <v>143.09</v>
      </c>
      <c r="O95" s="27"/>
      <c r="P95" s="27" t="n">
        <f aca="false">ROUND(IF(D95=0,IF((N95-E95-O95)&gt;0,(N95-E95-O95),0),IF((D95+N95-O95)&gt;0,(D95+N95-O95),0)),2)</f>
        <v>10660.77</v>
      </c>
      <c r="Q95" s="27" t="n">
        <f aca="false">ROUND(IF(E95=0,IF((D95+N95-O95)&lt;0,ABS(D95+N95-O95),0),IF((N95-E95-O95)&lt;0,ABS(N95-E95-O95),0)),2)</f>
        <v>0</v>
      </c>
      <c r="R95" s="17"/>
      <c r="S95" s="17"/>
    </row>
    <row r="96" customFormat="false" ht="15" hidden="false" customHeight="true" outlineLevel="0" collapsed="false">
      <c r="A96" s="8" t="s">
        <v>284</v>
      </c>
      <c r="B96" s="8" t="str">
        <f aca="false">листопад!B96</f>
        <v>Лукашов Є.В.</v>
      </c>
      <c r="C96" s="8" t="s">
        <v>286</v>
      </c>
      <c r="D96" s="27" t="n">
        <f aca="false">листопад!P96</f>
        <v>16169.08</v>
      </c>
      <c r="E96" s="27" t="n">
        <f aca="false">листопад!Q96</f>
        <v>0</v>
      </c>
      <c r="F96" s="27" t="n">
        <f aca="false">листопад!F96</f>
        <v>0</v>
      </c>
      <c r="G96" s="27" t="n">
        <f aca="false">листопад!G96</f>
        <v>61.9</v>
      </c>
      <c r="H96" s="27" t="n">
        <f aca="false">листопад!H96</f>
        <v>0</v>
      </c>
      <c r="I96" s="28" t="n">
        <f aca="false">листопад!I96</f>
        <v>4.1</v>
      </c>
      <c r="J96" s="27" t="n">
        <f aca="false">ROUND(G96*I96,2)</f>
        <v>253.79</v>
      </c>
      <c r="K96" s="27"/>
      <c r="L96" s="27"/>
      <c r="M96" s="27"/>
      <c r="N96" s="27" t="n">
        <f aca="false">ROUND((G96*I96)-K96-L96-M96,2)</f>
        <v>253.79</v>
      </c>
      <c r="O96" s="27"/>
      <c r="P96" s="27" t="n">
        <f aca="false">ROUND(IF(D96=0,IF((N96-E96-O96)&gt;0,(N96-E96-O96),0),IF((D96+N96-O96)&gt;0,(D96+N96-O96),0)),2)</f>
        <v>16422.87</v>
      </c>
      <c r="Q96" s="27" t="n">
        <f aca="false">ROUND(IF(E96=0,IF((D96+N96-O96)&lt;0,ABS(D96+N96-O96),0),IF((N96-E96-O96)&lt;0,ABS(N96-E96-O96),0)),2)</f>
        <v>0</v>
      </c>
      <c r="R96" s="17"/>
      <c r="S96" s="17"/>
    </row>
    <row r="97" customFormat="false" ht="15" hidden="false" customHeight="true" outlineLevel="0" collapsed="false">
      <c r="A97" s="8" t="s">
        <v>287</v>
      </c>
      <c r="B97" s="8" t="str">
        <f aca="false">листопад!B97</f>
        <v>Довбета В.М.</v>
      </c>
      <c r="C97" s="8" t="s">
        <v>289</v>
      </c>
      <c r="D97" s="27" t="n">
        <f aca="false">листопад!P97</f>
        <v>2672.79</v>
      </c>
      <c r="E97" s="27" t="n">
        <f aca="false">листопад!Q97</f>
        <v>0</v>
      </c>
      <c r="F97" s="27" t="n">
        <f aca="false">листопад!F97</f>
        <v>0</v>
      </c>
      <c r="G97" s="27" t="n">
        <f aca="false">листопад!G97</f>
        <v>65.3</v>
      </c>
      <c r="H97" s="27" t="n">
        <f aca="false">листопад!H97</f>
        <v>0</v>
      </c>
      <c r="I97" s="28" t="n">
        <f aca="false">листопад!I97</f>
        <v>4.1</v>
      </c>
      <c r="J97" s="27" t="n">
        <f aca="false">ROUND(G97*I97,2)</f>
        <v>267.73</v>
      </c>
      <c r="K97" s="27"/>
      <c r="L97" s="27"/>
      <c r="M97" s="27"/>
      <c r="N97" s="27" t="n">
        <f aca="false">ROUND((G97*I97)-K97-L97-M97,2)</f>
        <v>267.73</v>
      </c>
      <c r="O97" s="27"/>
      <c r="P97" s="27" t="n">
        <f aca="false">ROUND(IF(D97=0,IF((N97-E97-O97)&gt;0,(N97-E97-O97),0),IF((D97+N97-O97)&gt;0,(D97+N97-O97),0)),2)</f>
        <v>2940.52</v>
      </c>
      <c r="Q97" s="27" t="n">
        <f aca="false">ROUND(IF(E97=0,IF((D97+N97-O97)&lt;0,ABS(D97+N97-O97),0),IF((N97-E97-O97)&lt;0,ABS(N97-E97-O97),0)),2)</f>
        <v>0</v>
      </c>
      <c r="R97" s="17"/>
      <c r="S97" s="17"/>
    </row>
    <row r="98" customFormat="false" ht="15" hidden="false" customHeight="true" outlineLevel="0" collapsed="false">
      <c r="A98" s="8" t="s">
        <v>290</v>
      </c>
      <c r="B98" s="8" t="str">
        <f aca="false">листопад!B98</f>
        <v>Черняк К.В.</v>
      </c>
      <c r="C98" s="8" t="s">
        <v>292</v>
      </c>
      <c r="D98" s="27" t="n">
        <f aca="false">листопад!P98</f>
        <v>2003.26</v>
      </c>
      <c r="E98" s="27" t="n">
        <f aca="false">листопад!Q98</f>
        <v>0</v>
      </c>
      <c r="F98" s="27" t="n">
        <f aca="false">листопад!F98</f>
        <v>0</v>
      </c>
      <c r="G98" s="27" t="n">
        <f aca="false">листопад!G98</f>
        <v>49.48</v>
      </c>
      <c r="H98" s="27" t="n">
        <f aca="false">листопад!H98</f>
        <v>0</v>
      </c>
      <c r="I98" s="28" t="n">
        <f aca="false">листопад!I98</f>
        <v>4.1</v>
      </c>
      <c r="J98" s="27" t="n">
        <f aca="false">ROUND(G98*I98,2)</f>
        <v>202.87</v>
      </c>
      <c r="K98" s="27"/>
      <c r="L98" s="27"/>
      <c r="M98" s="27"/>
      <c r="N98" s="27" t="n">
        <f aca="false">ROUND((G98*I98)-K98-L98-M98,2)</f>
        <v>202.87</v>
      </c>
      <c r="O98" s="27"/>
      <c r="P98" s="27" t="n">
        <f aca="false">ROUND(IF(D98=0,IF((N98-E98-O98)&gt;0,(N98-E98-O98),0),IF((D98+N98-O98)&gt;0,(D98+N98-O98),0)),2)</f>
        <v>2206.13</v>
      </c>
      <c r="Q98" s="27" t="n">
        <f aca="false">ROUND(IF(E98=0,IF((D98+N98-O98)&lt;0,ABS(D98+N98-O98),0),IF((N98-E98-O98)&lt;0,ABS(N98-E98-O98),0)),2)</f>
        <v>0</v>
      </c>
      <c r="R98" s="17"/>
      <c r="S98" s="17"/>
    </row>
    <row r="99" customFormat="false" ht="15" hidden="false" customHeight="true" outlineLevel="0" collapsed="false">
      <c r="A99" s="8" t="s">
        <v>293</v>
      </c>
      <c r="B99" s="8" t="str">
        <f aca="false">листопад!B99</f>
        <v>Довбета С.П.</v>
      </c>
      <c r="C99" s="8" t="s">
        <v>295</v>
      </c>
      <c r="D99" s="27" t="n">
        <f aca="false">листопад!P99</f>
        <v>1579.87</v>
      </c>
      <c r="E99" s="27" t="n">
        <f aca="false">листопад!Q99</f>
        <v>0</v>
      </c>
      <c r="F99" s="27" t="n">
        <f aca="false">листопад!F99</f>
        <v>0</v>
      </c>
      <c r="G99" s="27" t="n">
        <f aca="false">листопад!G99</f>
        <v>35.1</v>
      </c>
      <c r="H99" s="27" t="n">
        <f aca="false">листопад!H99</f>
        <v>0</v>
      </c>
      <c r="I99" s="28" t="n">
        <f aca="false">листопад!I99</f>
        <v>4.1</v>
      </c>
      <c r="J99" s="27" t="n">
        <f aca="false">ROUND(G99*I99,2)</f>
        <v>143.91</v>
      </c>
      <c r="K99" s="27"/>
      <c r="L99" s="27"/>
      <c r="M99" s="27"/>
      <c r="N99" s="27" t="n">
        <f aca="false">ROUND((G99*I99)-K99-L99-M99,2)</f>
        <v>143.91</v>
      </c>
      <c r="O99" s="27"/>
      <c r="P99" s="27" t="n">
        <f aca="false">ROUND(IF(D99=0,IF((N99-E99-O99)&gt;0,(N99-E99-O99),0),IF((D99+N99-O99)&gt;0,(D99+N99-O99),0)),2)</f>
        <v>1723.78</v>
      </c>
      <c r="Q99" s="27" t="n">
        <f aca="false">ROUND(IF(E99=0,IF((D99+N99-O99)&lt;0,ABS(D99+N99-O99),0),IF((N99-E99-O99)&lt;0,ABS(N99-E99-O99),0)),2)</f>
        <v>0</v>
      </c>
      <c r="R99" s="17"/>
      <c r="S99" s="17"/>
    </row>
    <row r="100" customFormat="false" ht="15" hidden="false" customHeight="true" outlineLevel="0" collapsed="false">
      <c r="A100" s="8" t="s">
        <v>296</v>
      </c>
      <c r="B100" s="8" t="str">
        <f aca="false">листопад!B100</f>
        <v>Липка Г.Ю.</v>
      </c>
      <c r="C100" s="8" t="s">
        <v>298</v>
      </c>
      <c r="D100" s="27" t="n">
        <f aca="false">листопад!P100</f>
        <v>15806.32</v>
      </c>
      <c r="E100" s="27" t="n">
        <f aca="false">листопад!Q100</f>
        <v>0</v>
      </c>
      <c r="F100" s="27" t="n">
        <f aca="false">листопад!F100</f>
        <v>0</v>
      </c>
      <c r="G100" s="27" t="n">
        <f aca="false">листопад!G100</f>
        <v>63.2</v>
      </c>
      <c r="H100" s="27" t="n">
        <f aca="false">листопад!H100</f>
        <v>0</v>
      </c>
      <c r="I100" s="28" t="n">
        <f aca="false">листопад!I100</f>
        <v>4.1</v>
      </c>
      <c r="J100" s="27" t="n">
        <f aca="false">ROUND(G100*I100,2)</f>
        <v>259.12</v>
      </c>
      <c r="K100" s="27"/>
      <c r="L100" s="27"/>
      <c r="M100" s="27"/>
      <c r="N100" s="27" t="n">
        <f aca="false">ROUND((G100*I100)-K100-L100-M100,2)</f>
        <v>259.12</v>
      </c>
      <c r="O100" s="27"/>
      <c r="P100" s="27" t="n">
        <f aca="false">ROUND(IF(D100=0,IF((N100-E100-O100)&gt;0,(N100-E100-O100),0),IF((D100+N100-O100)&gt;0,(D100+N100-O100),0)),2)</f>
        <v>16065.44</v>
      </c>
      <c r="Q100" s="27" t="n">
        <f aca="false">ROUND(IF(E100=0,IF((D100+N100-O100)&lt;0,ABS(D100+N100-O100),0),IF((N100-E100-O100)&lt;0,ABS(N100-E100-O100),0)),2)</f>
        <v>0</v>
      </c>
      <c r="R100" s="17"/>
      <c r="S100" s="17"/>
    </row>
    <row r="101" customFormat="false" ht="15" hidden="false" customHeight="true" outlineLevel="0" collapsed="false">
      <c r="A101" s="8" t="s">
        <v>299</v>
      </c>
      <c r="B101" s="8" t="str">
        <f aca="false">листопад!B101</f>
        <v>Утьосов Д.М.</v>
      </c>
      <c r="C101" s="8" t="s">
        <v>301</v>
      </c>
      <c r="D101" s="27" t="n">
        <f aca="false">листопад!P101</f>
        <v>10375.95</v>
      </c>
      <c r="E101" s="27" t="n">
        <f aca="false">листопад!Q101</f>
        <v>0</v>
      </c>
      <c r="F101" s="27" t="n">
        <f aca="false">листопад!F101</f>
        <v>0</v>
      </c>
      <c r="G101" s="27" t="n">
        <f aca="false">листопад!G101</f>
        <v>66.1</v>
      </c>
      <c r="H101" s="27" t="n">
        <f aca="false">листопад!H101</f>
        <v>0</v>
      </c>
      <c r="I101" s="28" t="n">
        <f aca="false">листопад!I101</f>
        <v>4.1</v>
      </c>
      <c r="J101" s="27" t="n">
        <f aca="false">ROUND(G101*I101,2)</f>
        <v>271.01</v>
      </c>
      <c r="K101" s="27"/>
      <c r="L101" s="27"/>
      <c r="M101" s="27"/>
      <c r="N101" s="27" t="n">
        <f aca="false">ROUND((G101*I101)-K101-L101-M101,2)</f>
        <v>271.01</v>
      </c>
      <c r="O101" s="27"/>
      <c r="P101" s="27" t="n">
        <f aca="false">ROUND(IF(D101=0,IF((N101-E101-O101)&gt;0,(N101-E101-O101),0),IF((D101+N101-O101)&gt;0,(D101+N101-O101),0)),2)</f>
        <v>10646.96</v>
      </c>
      <c r="Q101" s="27" t="n">
        <f aca="false">ROUND(IF(E101=0,IF((D101+N101-O101)&lt;0,ABS(D101+N101-O101),0),IF((N101-E101-O101)&lt;0,ABS(N101-E101-O101),0)),2)</f>
        <v>0</v>
      </c>
      <c r="R101" s="17"/>
      <c r="S101" s="17"/>
    </row>
    <row r="102" customFormat="false" ht="15" hidden="false" customHeight="true" outlineLevel="0" collapsed="false">
      <c r="A102" s="8" t="s">
        <v>302</v>
      </c>
      <c r="B102" s="8" t="str">
        <f aca="false">листопад!B102</f>
        <v>Стеценко Д.М.</v>
      </c>
      <c r="C102" s="8" t="s">
        <v>304</v>
      </c>
      <c r="D102" s="27" t="n">
        <f aca="false">листопад!P102</f>
        <v>9596.53</v>
      </c>
      <c r="E102" s="27" t="n">
        <f aca="false">листопад!Q102</f>
        <v>0</v>
      </c>
      <c r="F102" s="27" t="n">
        <f aca="false">листопад!F102</f>
        <v>0</v>
      </c>
      <c r="G102" s="27" t="n">
        <f aca="false">листопад!G102</f>
        <v>49.8</v>
      </c>
      <c r="H102" s="27" t="n">
        <f aca="false">листопад!H102</f>
        <v>0</v>
      </c>
      <c r="I102" s="28" t="n">
        <f aca="false">листопад!I102</f>
        <v>4.1</v>
      </c>
      <c r="J102" s="27" t="n">
        <f aca="false">ROUND(G102*I102,2)</f>
        <v>204.18</v>
      </c>
      <c r="K102" s="27"/>
      <c r="L102" s="27"/>
      <c r="M102" s="27"/>
      <c r="N102" s="27" t="n">
        <f aca="false">ROUND((G102*I102)-K102-L102-M102,2)</f>
        <v>204.18</v>
      </c>
      <c r="O102" s="27"/>
      <c r="P102" s="27" t="n">
        <f aca="false">ROUND(IF(D102=0,IF((N102-E102-O102)&gt;0,(N102-E102-O102),0),IF((D102+N102-O102)&gt;0,(D102+N102-O102),0)),2)</f>
        <v>9800.71</v>
      </c>
      <c r="Q102" s="27" t="n">
        <f aca="false">ROUND(IF(E102=0,IF((D102+N102-O102)&lt;0,ABS(D102+N102-O102),0),IF((N102-E102-O102)&lt;0,ABS(N102-E102-O102),0)),2)</f>
        <v>0</v>
      </c>
      <c r="R102" s="17"/>
      <c r="S102" s="17"/>
    </row>
    <row r="103" customFormat="false" ht="15" hidden="false" customHeight="true" outlineLevel="0" collapsed="false">
      <c r="A103" s="8" t="s">
        <v>305</v>
      </c>
      <c r="B103" s="8" t="str">
        <f aca="false">листопад!B103</f>
        <v>Задніпряна О.М.</v>
      </c>
      <c r="C103" s="8" t="s">
        <v>307</v>
      </c>
      <c r="D103" s="27" t="n">
        <f aca="false">листопад!P103</f>
        <v>7803.9</v>
      </c>
      <c r="E103" s="27" t="n">
        <f aca="false">листопад!Q103</f>
        <v>0</v>
      </c>
      <c r="F103" s="27" t="n">
        <f aca="false">листопад!F103</f>
        <v>0</v>
      </c>
      <c r="G103" s="27" t="n">
        <f aca="false">листопад!G103</f>
        <v>34.6</v>
      </c>
      <c r="H103" s="27" t="n">
        <f aca="false">листопад!H103</f>
        <v>0</v>
      </c>
      <c r="I103" s="28" t="n">
        <f aca="false">листопад!I103</f>
        <v>4.1</v>
      </c>
      <c r="J103" s="27" t="n">
        <f aca="false">ROUND(G103*I103,2)</f>
        <v>141.86</v>
      </c>
      <c r="K103" s="27"/>
      <c r="L103" s="27"/>
      <c r="M103" s="27"/>
      <c r="N103" s="27" t="n">
        <f aca="false">ROUND((G103*I103)-K103-L103-M103,2)</f>
        <v>141.86</v>
      </c>
      <c r="O103" s="27"/>
      <c r="P103" s="27" t="n">
        <f aca="false">ROUND(IF(D103=0,IF((N103-E103-O103)&gt;0,(N103-E103-O103),0),IF((D103+N103-O103)&gt;0,(D103+N103-O103),0)),2)</f>
        <v>7945.76</v>
      </c>
      <c r="Q103" s="27" t="n">
        <f aca="false">ROUND(IF(E103=0,IF((D103+N103-O103)&lt;0,ABS(D103+N103-O103),0),IF((N103-E103-O103)&lt;0,ABS(N103-E103-O103),0)),2)</f>
        <v>0</v>
      </c>
      <c r="R103" s="17"/>
      <c r="S103" s="17"/>
    </row>
    <row r="104" customFormat="false" ht="15" hidden="false" customHeight="true" outlineLevel="0" collapsed="false">
      <c r="A104" s="8" t="s">
        <v>308</v>
      </c>
      <c r="B104" s="8" t="str">
        <f aca="false">листопад!B104</f>
        <v>Геращенко М.Д.</v>
      </c>
      <c r="C104" s="8" t="s">
        <v>310</v>
      </c>
      <c r="D104" s="27" t="n">
        <f aca="false">листопад!P104</f>
        <v>2823.26</v>
      </c>
      <c r="E104" s="27" t="n">
        <f aca="false">листопад!Q104</f>
        <v>0</v>
      </c>
      <c r="F104" s="27" t="n">
        <f aca="false">листопад!F104</f>
        <v>0</v>
      </c>
      <c r="G104" s="27" t="n">
        <f aca="false">листопад!G104</f>
        <v>62.6</v>
      </c>
      <c r="H104" s="27" t="n">
        <f aca="false">листопад!H104</f>
        <v>0</v>
      </c>
      <c r="I104" s="28" t="n">
        <f aca="false">листопад!I104</f>
        <v>4.1</v>
      </c>
      <c r="J104" s="27" t="n">
        <f aca="false">ROUND(G104*I104,2)</f>
        <v>256.66</v>
      </c>
      <c r="K104" s="27"/>
      <c r="L104" s="27"/>
      <c r="M104" s="27"/>
      <c r="N104" s="27" t="n">
        <f aca="false">ROUND((G104*I104)-K104-L104-M104,2)</f>
        <v>256.66</v>
      </c>
      <c r="O104" s="27"/>
      <c r="P104" s="27" t="n">
        <f aca="false">ROUND(IF(D104=0,IF((N104-E104-O104)&gt;0,(N104-E104-O104),0),IF((D104+N104-O104)&gt;0,(D104+N104-O104),0)),2)</f>
        <v>3079.92</v>
      </c>
      <c r="Q104" s="27" t="n">
        <f aca="false">ROUND(IF(E104=0,IF((D104+N104-O104)&lt;0,ABS(D104+N104-O104),0),IF((N104-E104-O104)&lt;0,ABS(N104-E104-O104),0)),2)</f>
        <v>0</v>
      </c>
      <c r="R104" s="17"/>
      <c r="S104" s="17"/>
    </row>
    <row r="105" customFormat="false" ht="15" hidden="false" customHeight="true" outlineLevel="0" collapsed="false">
      <c r="A105" s="8" t="s">
        <v>311</v>
      </c>
      <c r="B105" s="8" t="str">
        <f aca="false">листопад!B105</f>
        <v>Горб В.М.</v>
      </c>
      <c r="C105" s="8" t="s">
        <v>313</v>
      </c>
      <c r="D105" s="27" t="n">
        <f aca="false">листопад!P105</f>
        <v>14245.83</v>
      </c>
      <c r="E105" s="27" t="n">
        <f aca="false">листопад!Q105</f>
        <v>0</v>
      </c>
      <c r="F105" s="27" t="n">
        <f aca="false">листопад!F105</f>
        <v>0</v>
      </c>
      <c r="G105" s="27" t="n">
        <f aca="false">листопад!G105</f>
        <v>65.57</v>
      </c>
      <c r="H105" s="27" t="n">
        <f aca="false">листопад!H105</f>
        <v>0</v>
      </c>
      <c r="I105" s="28" t="n">
        <f aca="false">листопад!I105</f>
        <v>4.1</v>
      </c>
      <c r="J105" s="27" t="n">
        <f aca="false">ROUND(G105*I105,2)</f>
        <v>268.84</v>
      </c>
      <c r="K105" s="27"/>
      <c r="L105" s="27"/>
      <c r="M105" s="27"/>
      <c r="N105" s="27" t="n">
        <f aca="false">ROUND((G105*I105)-K105-L105-M105,2)</f>
        <v>268.84</v>
      </c>
      <c r="O105" s="27"/>
      <c r="P105" s="27" t="n">
        <f aca="false">ROUND(IF(D105=0,IF((N105-E105-O105)&gt;0,(N105-E105-O105),0),IF((D105+N105-O105)&gt;0,(D105+N105-O105),0)),2)</f>
        <v>14514.67</v>
      </c>
      <c r="Q105" s="27" t="n">
        <f aca="false">ROUND(IF(E105=0,IF((D105+N105-O105)&lt;0,ABS(D105+N105-O105),0),IF((N105-E105-O105)&lt;0,ABS(N105-E105-O105),0)),2)</f>
        <v>0</v>
      </c>
      <c r="R105" s="17"/>
      <c r="S105" s="17"/>
    </row>
    <row r="106" customFormat="false" ht="15" hidden="false" customHeight="true" outlineLevel="0" collapsed="false">
      <c r="A106" s="8" t="s">
        <v>314</v>
      </c>
      <c r="B106" s="8" t="str">
        <f aca="false">листопад!B106</f>
        <v>Нойок Г.К.</v>
      </c>
      <c r="C106" s="8" t="s">
        <v>316</v>
      </c>
      <c r="D106" s="27" t="n">
        <f aca="false">листопад!P106</f>
        <v>9610.13</v>
      </c>
      <c r="E106" s="27" t="n">
        <f aca="false">листопад!Q106</f>
        <v>0</v>
      </c>
      <c r="F106" s="27" t="n">
        <f aca="false">листопад!F106</f>
        <v>0</v>
      </c>
      <c r="G106" s="27" t="n">
        <f aca="false">листопад!G106</f>
        <v>49.8</v>
      </c>
      <c r="H106" s="27" t="n">
        <f aca="false">листопад!H106</f>
        <v>0</v>
      </c>
      <c r="I106" s="28" t="n">
        <f aca="false">листопад!I106</f>
        <v>4.1</v>
      </c>
      <c r="J106" s="27" t="n">
        <f aca="false">ROUND(G106*I106,2)</f>
        <v>204.18</v>
      </c>
      <c r="K106" s="27"/>
      <c r="L106" s="27"/>
      <c r="M106" s="27"/>
      <c r="N106" s="27" t="n">
        <f aca="false">ROUND((G106*I106)-K106-L106-M106,2)</f>
        <v>204.18</v>
      </c>
      <c r="O106" s="27"/>
      <c r="P106" s="27" t="n">
        <f aca="false">ROUND(IF(D106=0,IF((N106-E106-O106)&gt;0,(N106-E106-O106),0),IF((D106+N106-O106)&gt;0,(D106+N106-O106),0)),2)</f>
        <v>9814.31</v>
      </c>
      <c r="Q106" s="27" t="n">
        <f aca="false">ROUND(IF(E106=0,IF((D106+N106-O106)&lt;0,ABS(D106+N106-O106),0),IF((N106-E106-O106)&lt;0,ABS(N106-E106-O106),0)),2)</f>
        <v>0</v>
      </c>
      <c r="R106" s="17"/>
      <c r="S106" s="17"/>
    </row>
    <row r="107" customFormat="false" ht="15" hidden="false" customHeight="true" outlineLevel="0" collapsed="false">
      <c r="A107" s="8" t="s">
        <v>317</v>
      </c>
      <c r="B107" s="8" t="str">
        <f aca="false">листопад!B107</f>
        <v>Сафонова О.В.</v>
      </c>
      <c r="C107" s="8" t="s">
        <v>319</v>
      </c>
      <c r="D107" s="27" t="n">
        <f aca="false">листопад!P107</f>
        <v>7537.95</v>
      </c>
      <c r="E107" s="27" t="n">
        <f aca="false">листопад!Q107</f>
        <v>0</v>
      </c>
      <c r="F107" s="27" t="n">
        <f aca="false">листопад!F107</f>
        <v>0</v>
      </c>
      <c r="G107" s="27" t="n">
        <f aca="false">листопад!G107</f>
        <v>34.9</v>
      </c>
      <c r="H107" s="27" t="n">
        <f aca="false">листопад!H107</f>
        <v>0</v>
      </c>
      <c r="I107" s="28" t="n">
        <f aca="false">листопад!I107</f>
        <v>4.1</v>
      </c>
      <c r="J107" s="27" t="n">
        <f aca="false">ROUND(G107*I107,2)</f>
        <v>143.09</v>
      </c>
      <c r="K107" s="27"/>
      <c r="L107" s="27"/>
      <c r="M107" s="27"/>
      <c r="N107" s="27" t="n">
        <f aca="false">ROUND((G107*I107)-K107-L107-M107,2)</f>
        <v>143.09</v>
      </c>
      <c r="O107" s="27"/>
      <c r="P107" s="27" t="n">
        <f aca="false">ROUND(IF(D107=0,IF((N107-E107-O107)&gt;0,(N107-E107-O107),0),IF((D107+N107-O107)&gt;0,(D107+N107-O107),0)),2)</f>
        <v>7681.04</v>
      </c>
      <c r="Q107" s="27" t="n">
        <f aca="false">ROUND(IF(E107=0,IF((D107+N107-O107)&lt;0,ABS(D107+N107-O107),0),IF((N107-E107-O107)&lt;0,ABS(N107-E107-O107),0)),2)</f>
        <v>0</v>
      </c>
      <c r="R107" s="17"/>
      <c r="S107" s="17"/>
    </row>
    <row r="108" customFormat="false" ht="15" hidden="false" customHeight="true" outlineLevel="0" collapsed="false">
      <c r="A108" s="8" t="s">
        <v>320</v>
      </c>
      <c r="B108" s="8" t="str">
        <f aca="false">листопад!B108</f>
        <v>Вінарська Н.П.</v>
      </c>
      <c r="C108" s="8" t="s">
        <v>322</v>
      </c>
      <c r="D108" s="27" t="n">
        <f aca="false">листопад!P108</f>
        <v>14928.44</v>
      </c>
      <c r="E108" s="27" t="n">
        <f aca="false">листопад!Q108</f>
        <v>0</v>
      </c>
      <c r="F108" s="27" t="n">
        <f aca="false">листопад!F108</f>
        <v>0</v>
      </c>
      <c r="G108" s="27" t="n">
        <f aca="false">листопад!G108</f>
        <v>62.78</v>
      </c>
      <c r="H108" s="27" t="n">
        <f aca="false">листопад!H108</f>
        <v>0</v>
      </c>
      <c r="I108" s="28" t="n">
        <f aca="false">листопад!I108</f>
        <v>4.1</v>
      </c>
      <c r="J108" s="27" t="n">
        <f aca="false">ROUND(G108*I108,2)</f>
        <v>257.4</v>
      </c>
      <c r="K108" s="27"/>
      <c r="L108" s="27"/>
      <c r="M108" s="27"/>
      <c r="N108" s="27" t="n">
        <f aca="false">ROUND((G108*I108)-K108-L108-M108,2)</f>
        <v>257.4</v>
      </c>
      <c r="O108" s="27"/>
      <c r="P108" s="27" t="n">
        <f aca="false">ROUND(IF(D108=0,IF((N108-E108-O108)&gt;0,(N108-E108-O108),0),IF((D108+N108-O108)&gt;0,(D108+N108-O108),0)),2)</f>
        <v>15185.84</v>
      </c>
      <c r="Q108" s="27" t="n">
        <f aca="false">ROUND(IF(E108=0,IF((D108+N108-O108)&lt;0,ABS(D108+N108-O108),0),IF((N108-E108-O108)&lt;0,ABS(N108-E108-O108),0)),2)</f>
        <v>0</v>
      </c>
      <c r="R108" s="17"/>
      <c r="S108" s="17"/>
    </row>
    <row r="109" customFormat="false" ht="15" hidden="false" customHeight="true" outlineLevel="0" collapsed="false">
      <c r="A109" s="8" t="s">
        <v>323</v>
      </c>
      <c r="B109" s="8" t="str">
        <f aca="false">листопад!B109</f>
        <v>Чернова Н.І.</v>
      </c>
      <c r="C109" s="8" t="s">
        <v>325</v>
      </c>
      <c r="D109" s="27" t="n">
        <f aca="false">листопад!P109</f>
        <v>15682.89</v>
      </c>
      <c r="E109" s="27" t="n">
        <f aca="false">листопад!Q109</f>
        <v>0</v>
      </c>
      <c r="F109" s="27" t="n">
        <f aca="false">листопад!F109</f>
        <v>0</v>
      </c>
      <c r="G109" s="27" t="n">
        <f aca="false">листопад!G109</f>
        <v>66.29</v>
      </c>
      <c r="H109" s="27" t="n">
        <f aca="false">листопад!H109</f>
        <v>0</v>
      </c>
      <c r="I109" s="28" t="n">
        <f aca="false">листопад!I109</f>
        <v>4.1</v>
      </c>
      <c r="J109" s="27" t="n">
        <f aca="false">ROUND(G109*I109,2)</f>
        <v>271.79</v>
      </c>
      <c r="K109" s="27"/>
      <c r="L109" s="27"/>
      <c r="M109" s="27"/>
      <c r="N109" s="27" t="n">
        <f aca="false">ROUND((G109*I109)-K109-L109-M109,2)</f>
        <v>271.79</v>
      </c>
      <c r="O109" s="27"/>
      <c r="P109" s="27" t="n">
        <f aca="false">ROUND(IF(D109=0,IF((N109-E109-O109)&gt;0,(N109-E109-O109),0),IF((D109+N109-O109)&gt;0,(D109+N109-O109),0)),2)</f>
        <v>15954.68</v>
      </c>
      <c r="Q109" s="27" t="n">
        <f aca="false">ROUND(IF(E109=0,IF((D109+N109-O109)&lt;0,ABS(D109+N109-O109),0),IF((N109-E109-O109)&lt;0,ABS(N109-E109-O109),0)),2)</f>
        <v>0</v>
      </c>
      <c r="R109" s="17"/>
      <c r="S109" s="17"/>
    </row>
    <row r="110" customFormat="false" ht="15" hidden="false" customHeight="true" outlineLevel="0" collapsed="false">
      <c r="A110" s="8" t="s">
        <v>326</v>
      </c>
      <c r="B110" s="8" t="str">
        <f aca="false">листопад!B110</f>
        <v>Кошева Н.П</v>
      </c>
      <c r="C110" s="8" t="s">
        <v>328</v>
      </c>
      <c r="D110" s="27" t="n">
        <f aca="false">листопад!P110</f>
        <v>11504</v>
      </c>
      <c r="E110" s="27" t="n">
        <f aca="false">листопад!Q110</f>
        <v>0</v>
      </c>
      <c r="F110" s="27" t="n">
        <f aca="false">листопад!F110</f>
        <v>0</v>
      </c>
      <c r="G110" s="27" t="n">
        <f aca="false">листопад!G110</f>
        <v>50</v>
      </c>
      <c r="H110" s="27" t="n">
        <f aca="false">листопад!H110</f>
        <v>0</v>
      </c>
      <c r="I110" s="28" t="n">
        <f aca="false">листопад!I110</f>
        <v>4.1</v>
      </c>
      <c r="J110" s="27" t="n">
        <f aca="false">ROUND(G110*I110,2)</f>
        <v>205</v>
      </c>
      <c r="K110" s="27"/>
      <c r="L110" s="27"/>
      <c r="M110" s="27"/>
      <c r="N110" s="27" t="n">
        <f aca="false">ROUND((G110*I110)-K110-L110-M110,2)</f>
        <v>205</v>
      </c>
      <c r="O110" s="27"/>
      <c r="P110" s="27" t="n">
        <f aca="false">ROUND(IF(D110=0,IF((N110-E110-O110)&gt;0,(N110-E110-O110),0),IF((D110+N110-O110)&gt;0,(D110+N110-O110),0)),2)</f>
        <v>11709</v>
      </c>
      <c r="Q110" s="27" t="n">
        <f aca="false">ROUND(IF(E110=0,IF((D110+N110-O110)&lt;0,ABS(D110+N110-O110),0),IF((N110-E110-O110)&lt;0,ABS(N110-E110-O110),0)),2)</f>
        <v>0</v>
      </c>
      <c r="R110" s="17"/>
      <c r="S110" s="17"/>
    </row>
    <row r="111" customFormat="false" ht="15" hidden="false" customHeight="true" outlineLevel="0" collapsed="false">
      <c r="A111" s="8" t="s">
        <v>329</v>
      </c>
      <c r="B111" s="8" t="str">
        <f aca="false">листопад!B111</f>
        <v>Уривський Д.Б.</v>
      </c>
      <c r="C111" s="8" t="s">
        <v>331</v>
      </c>
      <c r="D111" s="27" t="n">
        <f aca="false">листопад!P111</f>
        <v>8399.59</v>
      </c>
      <c r="E111" s="27" t="n">
        <f aca="false">листопад!Q111</f>
        <v>0</v>
      </c>
      <c r="F111" s="27" t="n">
        <f aca="false">листопад!F111</f>
        <v>0</v>
      </c>
      <c r="G111" s="27" t="n">
        <f aca="false">листопад!G111</f>
        <v>35</v>
      </c>
      <c r="H111" s="27" t="n">
        <f aca="false">листопад!H111</f>
        <v>0</v>
      </c>
      <c r="I111" s="28" t="n">
        <f aca="false">листопад!I111</f>
        <v>4.1</v>
      </c>
      <c r="J111" s="27" t="n">
        <f aca="false">ROUND(G111*I111,2)</f>
        <v>143.5</v>
      </c>
      <c r="K111" s="27"/>
      <c r="L111" s="27"/>
      <c r="M111" s="27"/>
      <c r="N111" s="27" t="n">
        <f aca="false">ROUND((G111*I111)-K111-L111-M111,2)</f>
        <v>143.5</v>
      </c>
      <c r="O111" s="27"/>
      <c r="P111" s="27" t="n">
        <f aca="false">ROUND(IF(D111=0,IF((N111-E111-O111)&gt;0,(N111-E111-O111),0),IF((D111+N111-O111)&gt;0,(D111+N111-O111),0)),2)</f>
        <v>8543.09</v>
      </c>
      <c r="Q111" s="27" t="n">
        <f aca="false">ROUND(IF(E111=0,IF((D111+N111-O111)&lt;0,ABS(D111+N111-O111),0),IF((N111-E111-O111)&lt;0,ABS(N111-E111-O111),0)),2)</f>
        <v>0</v>
      </c>
      <c r="R111" s="17"/>
      <c r="S111" s="17"/>
    </row>
    <row r="112" customFormat="false" ht="15" hidden="false" customHeight="true" outlineLevel="0" collapsed="false">
      <c r="A112" s="8" t="s">
        <v>332</v>
      </c>
      <c r="B112" s="8" t="str">
        <f aca="false">листопад!B112</f>
        <v>АДПСУ (Чорноморець В.М.)</v>
      </c>
      <c r="C112" s="8" t="s">
        <v>334</v>
      </c>
      <c r="D112" s="27" t="n">
        <f aca="false">листопад!P112</f>
        <v>5761.73</v>
      </c>
      <c r="E112" s="27" t="n">
        <f aca="false">листопад!Q112</f>
        <v>0</v>
      </c>
      <c r="F112" s="27" t="n">
        <f aca="false">листопад!F112</f>
        <v>0</v>
      </c>
      <c r="G112" s="27" t="n">
        <f aca="false">листопад!G112</f>
        <v>61.1</v>
      </c>
      <c r="H112" s="27" t="n">
        <f aca="false">листопад!H112</f>
        <v>0</v>
      </c>
      <c r="I112" s="28" t="n">
        <f aca="false">листопад!I112</f>
        <v>4.1</v>
      </c>
      <c r="J112" s="27" t="n">
        <f aca="false">ROUND(G112*I112,2)</f>
        <v>250.51</v>
      </c>
      <c r="K112" s="27"/>
      <c r="L112" s="27"/>
      <c r="M112" s="27"/>
      <c r="N112" s="27" t="n">
        <f aca="false">ROUND((G112*I112)-K112-L112-M112,2)</f>
        <v>250.51</v>
      </c>
      <c r="O112" s="27"/>
      <c r="P112" s="27" t="n">
        <f aca="false">ROUND(IF(D112=0,IF((N112-E112-O112)&gt;0,(N112-E112-O112),0),IF((D112+N112-O112)&gt;0,(D112+N112-O112),0)),2)</f>
        <v>6012.24</v>
      </c>
      <c r="Q112" s="27" t="n">
        <f aca="false">ROUND(IF(E112=0,IF((D112+N112-O112)&lt;0,ABS(D112+N112-O112),0),IF((N112-E112-O112)&lt;0,ABS(N112-E112-O112),0)),2)</f>
        <v>0</v>
      </c>
      <c r="R112" s="17"/>
      <c r="S112" s="17"/>
    </row>
    <row r="113" customFormat="false" ht="15" hidden="false" customHeight="true" outlineLevel="0" collapsed="false">
      <c r="A113" s="8" t="s">
        <v>335</v>
      </c>
      <c r="B113" s="8" t="str">
        <f aca="false">листопад!B113</f>
        <v>Дмитренко Г.В.</v>
      </c>
      <c r="C113" s="8" t="s">
        <v>337</v>
      </c>
      <c r="D113" s="27" t="n">
        <f aca="false">листопад!P113</f>
        <v>14412.32</v>
      </c>
      <c r="E113" s="27" t="n">
        <f aca="false">листопад!Q113</f>
        <v>0</v>
      </c>
      <c r="F113" s="27" t="n">
        <f aca="false">листопад!F113</f>
        <v>0</v>
      </c>
      <c r="G113" s="27" t="n">
        <f aca="false">листопад!G113</f>
        <v>64.89</v>
      </c>
      <c r="H113" s="27" t="n">
        <f aca="false">листопад!H113</f>
        <v>0</v>
      </c>
      <c r="I113" s="28" t="n">
        <f aca="false">листопад!I113</f>
        <v>4.1</v>
      </c>
      <c r="J113" s="27" t="n">
        <f aca="false">ROUND(G113*I113,2)</f>
        <v>266.05</v>
      </c>
      <c r="K113" s="27"/>
      <c r="L113" s="27"/>
      <c r="M113" s="27"/>
      <c r="N113" s="27" t="n">
        <f aca="false">ROUND((G113*I113)-K113-L113-M113,2)</f>
        <v>266.05</v>
      </c>
      <c r="O113" s="27"/>
      <c r="P113" s="27" t="n">
        <f aca="false">ROUND(IF(D113=0,IF((N113-E113-O113)&gt;0,(N113-E113-O113),0),IF((D113+N113-O113)&gt;0,(D113+N113-O113),0)),2)</f>
        <v>14678.37</v>
      </c>
      <c r="Q113" s="27" t="n">
        <f aca="false">ROUND(IF(E113=0,IF((D113+N113-O113)&lt;0,ABS(D113+N113-O113),0),IF((N113-E113-O113)&lt;0,ABS(N113-E113-O113),0)),2)</f>
        <v>0</v>
      </c>
      <c r="R113" s="17"/>
      <c r="S113" s="17"/>
    </row>
    <row r="114" customFormat="false" ht="15" hidden="false" customHeight="true" outlineLevel="0" collapsed="false">
      <c r="A114" s="8" t="s">
        <v>338</v>
      </c>
      <c r="B114" s="8" t="str">
        <f aca="false">листопад!B114</f>
        <v>Номерова Т.В.</v>
      </c>
      <c r="C114" s="8" t="s">
        <v>340</v>
      </c>
      <c r="D114" s="27" t="n">
        <f aca="false">листопад!P114</f>
        <v>2048.24</v>
      </c>
      <c r="E114" s="27" t="n">
        <f aca="false">листопад!Q114</f>
        <v>0</v>
      </c>
      <c r="F114" s="27" t="n">
        <f aca="false">листопад!F114</f>
        <v>0</v>
      </c>
      <c r="G114" s="27" t="n">
        <f aca="false">листопад!G114</f>
        <v>49.96</v>
      </c>
      <c r="H114" s="27" t="n">
        <f aca="false">листопад!H114</f>
        <v>0</v>
      </c>
      <c r="I114" s="28" t="n">
        <f aca="false">листопад!I114</f>
        <v>4.1</v>
      </c>
      <c r="J114" s="27" t="n">
        <f aca="false">ROUND(G114*I114,2)</f>
        <v>204.84</v>
      </c>
      <c r="K114" s="27"/>
      <c r="L114" s="27"/>
      <c r="M114" s="27"/>
      <c r="N114" s="27" t="n">
        <f aca="false">ROUND((G114*I114)-K114-L114-M114,2)</f>
        <v>204.84</v>
      </c>
      <c r="O114" s="27"/>
      <c r="P114" s="27" t="n">
        <f aca="false">ROUND(IF(D114=0,IF((N114-E114-O114)&gt;0,(N114-E114-O114),0),IF((D114+N114-O114)&gt;0,(D114+N114-O114),0)),2)</f>
        <v>2253.08</v>
      </c>
      <c r="Q114" s="27" t="n">
        <f aca="false">ROUND(IF(E114=0,IF((D114+N114-O114)&lt;0,ABS(D114+N114-O114),0),IF((N114-E114-O114)&lt;0,ABS(N114-E114-O114),0)),2)</f>
        <v>0</v>
      </c>
      <c r="R114" s="17"/>
      <c r="S114" s="17"/>
    </row>
    <row r="115" customFormat="false" ht="15" hidden="false" customHeight="true" outlineLevel="0" collapsed="false">
      <c r="A115" s="8" t="s">
        <v>341</v>
      </c>
      <c r="B115" s="8" t="str">
        <f aca="false">листопад!B115</f>
        <v>Самойлова О.В.</v>
      </c>
      <c r="C115" s="8" t="s">
        <v>343</v>
      </c>
      <c r="D115" s="27" t="n">
        <f aca="false">листопад!P115</f>
        <v>1555.95</v>
      </c>
      <c r="E115" s="27" t="n">
        <f aca="false">листопад!Q115</f>
        <v>0</v>
      </c>
      <c r="F115" s="27" t="n">
        <f aca="false">листопад!F115</f>
        <v>0</v>
      </c>
      <c r="G115" s="27" t="n">
        <f aca="false">листопад!G115</f>
        <v>34.5</v>
      </c>
      <c r="H115" s="27" t="n">
        <f aca="false">листопад!H115</f>
        <v>0</v>
      </c>
      <c r="I115" s="28" t="n">
        <f aca="false">листопад!I115</f>
        <v>4.1</v>
      </c>
      <c r="J115" s="27" t="n">
        <f aca="false">ROUND(G115*I115,2)</f>
        <v>141.45</v>
      </c>
      <c r="K115" s="27"/>
      <c r="L115" s="27"/>
      <c r="M115" s="27"/>
      <c r="N115" s="27" t="n">
        <f aca="false">ROUND((G115*I115)-K115-L115-M115,2)</f>
        <v>141.45</v>
      </c>
      <c r="O115" s="27"/>
      <c r="P115" s="27" t="n">
        <f aca="false">ROUND(IF(D115=0,IF((N115-E115-O115)&gt;0,(N115-E115-O115),0),IF((D115+N115-O115)&gt;0,(D115+N115-O115),0)),2)</f>
        <v>1697.4</v>
      </c>
      <c r="Q115" s="27" t="n">
        <f aca="false">ROUND(IF(E115=0,IF((D115+N115-O115)&lt;0,ABS(D115+N115-O115),0),IF((N115-E115-O115)&lt;0,ABS(N115-E115-O115),0)),2)</f>
        <v>0</v>
      </c>
      <c r="R115" s="17"/>
      <c r="S115" s="17"/>
    </row>
    <row r="116" customFormat="false" ht="15" hidden="false" customHeight="true" outlineLevel="0" collapsed="false">
      <c r="A116" s="8" t="s">
        <v>344</v>
      </c>
      <c r="B116" s="8" t="str">
        <f aca="false">листопад!B116</f>
        <v>Випенко О.І.</v>
      </c>
      <c r="C116" s="8" t="s">
        <v>346</v>
      </c>
      <c r="D116" s="27" t="n">
        <f aca="false">листопад!P116</f>
        <v>17977.83</v>
      </c>
      <c r="E116" s="27" t="n">
        <f aca="false">листопад!Q116</f>
        <v>0</v>
      </c>
      <c r="F116" s="27" t="n">
        <f aca="false">листопад!F116</f>
        <v>0</v>
      </c>
      <c r="G116" s="27" t="n">
        <f aca="false">листопад!G116</f>
        <v>62.9</v>
      </c>
      <c r="H116" s="27" t="n">
        <f aca="false">листопад!H116</f>
        <v>0</v>
      </c>
      <c r="I116" s="28" t="n">
        <f aca="false">листопад!I116</f>
        <v>4.1</v>
      </c>
      <c r="J116" s="27" t="n">
        <f aca="false">ROUND(G116*I116,2)</f>
        <v>257.89</v>
      </c>
      <c r="K116" s="27"/>
      <c r="L116" s="27"/>
      <c r="M116" s="27"/>
      <c r="N116" s="27" t="n">
        <f aca="false">ROUND((G116*I116)-K116-L116-M116,2)</f>
        <v>257.89</v>
      </c>
      <c r="O116" s="27"/>
      <c r="P116" s="27" t="n">
        <f aca="false">ROUND(IF(D116=0,IF((N116-E116-O116)&gt;0,(N116-E116-O116),0),IF((D116+N116-O116)&gt;0,(D116+N116-O116),0)),2)</f>
        <v>18235.72</v>
      </c>
      <c r="Q116" s="27" t="n">
        <f aca="false">ROUND(IF(E116=0,IF((D116+N116-O116)&lt;0,ABS(D116+N116-O116),0),IF((N116-E116-O116)&lt;0,ABS(N116-E116-O116),0)),2)</f>
        <v>0</v>
      </c>
      <c r="R116" s="17"/>
      <c r="S116" s="17"/>
    </row>
    <row r="117" customFormat="false" ht="15" hidden="false" customHeight="true" outlineLevel="0" collapsed="false">
      <c r="A117" s="8" t="s">
        <v>347</v>
      </c>
      <c r="B117" s="8" t="str">
        <f aca="false">листопад!B117</f>
        <v>Саприкін Ю.О.</v>
      </c>
      <c r="C117" s="8" t="s">
        <v>349</v>
      </c>
      <c r="D117" s="27" t="n">
        <f aca="false">листопад!P117</f>
        <v>4782.24</v>
      </c>
      <c r="E117" s="27" t="n">
        <f aca="false">листопад!Q117</f>
        <v>0</v>
      </c>
      <c r="F117" s="27" t="n">
        <f aca="false">листопад!F117</f>
        <v>0</v>
      </c>
      <c r="G117" s="27" t="n">
        <f aca="false">листопад!G117</f>
        <v>97.2</v>
      </c>
      <c r="H117" s="27" t="n">
        <f aca="false">листопад!H117</f>
        <v>0</v>
      </c>
      <c r="I117" s="28" t="n">
        <f aca="false">листопад!I117</f>
        <v>4.1</v>
      </c>
      <c r="J117" s="27" t="n">
        <f aca="false">ROUND(G117*I117,2)</f>
        <v>398.52</v>
      </c>
      <c r="K117" s="27"/>
      <c r="L117" s="27"/>
      <c r="M117" s="27"/>
      <c r="N117" s="27" t="n">
        <f aca="false">ROUND((G117*I117)-K117-L117-M117,2)</f>
        <v>398.52</v>
      </c>
      <c r="O117" s="27"/>
      <c r="P117" s="27" t="n">
        <f aca="false">ROUND(IF(D117=0,IF((N117-E117-O117)&gt;0,(N117-E117-O117),0),IF((D117+N117-O117)&gt;0,(D117+N117-O117),0)),2)</f>
        <v>5180.76</v>
      </c>
      <c r="Q117" s="27" t="n">
        <f aca="false">ROUND(IF(E117=0,IF((D117+N117-O117)&lt;0,ABS(D117+N117-O117),0),IF((N117-E117-O117)&lt;0,ABS(N117-E117-O117),0)),2)</f>
        <v>0</v>
      </c>
      <c r="R117" s="17"/>
      <c r="S117" s="17"/>
    </row>
    <row r="118" customFormat="false" ht="15" hidden="false" customHeight="true" outlineLevel="0" collapsed="false">
      <c r="A118" s="8" t="s">
        <v>350</v>
      </c>
      <c r="B118" s="8" t="str">
        <f aca="false">листопад!B118</f>
        <v>Мовчан В.М.</v>
      </c>
      <c r="C118" s="8" t="s">
        <v>352</v>
      </c>
      <c r="D118" s="27" t="n">
        <f aca="false">листопад!P118</f>
        <v>2198.68</v>
      </c>
      <c r="E118" s="27" t="n">
        <f aca="false">листопад!Q118</f>
        <v>0</v>
      </c>
      <c r="F118" s="27" t="n">
        <f aca="false">листопад!F118</f>
        <v>0</v>
      </c>
      <c r="G118" s="27" t="n">
        <f aca="false">листопад!G118</f>
        <v>48.75</v>
      </c>
      <c r="H118" s="27" t="n">
        <f aca="false">листопад!H118</f>
        <v>0</v>
      </c>
      <c r="I118" s="28" t="n">
        <f aca="false">листопад!I118</f>
        <v>4.1</v>
      </c>
      <c r="J118" s="27" t="n">
        <f aca="false">ROUND(G118*I118,2)</f>
        <v>199.88</v>
      </c>
      <c r="K118" s="27"/>
      <c r="L118" s="27"/>
      <c r="M118" s="27"/>
      <c r="N118" s="27" t="n">
        <f aca="false">ROUND((G118*I118)-K118-L118-M118,2)</f>
        <v>199.88</v>
      </c>
      <c r="O118" s="27"/>
      <c r="P118" s="27" t="n">
        <f aca="false">ROUND(IF(D118=0,IF((N118-E118-O118)&gt;0,(N118-E118-O118),0),IF((D118+N118-O118)&gt;0,(D118+N118-O118),0)),2)</f>
        <v>2398.56</v>
      </c>
      <c r="Q118" s="27" t="n">
        <f aca="false">ROUND(IF(E118=0,IF((D118+N118-O118)&lt;0,ABS(D118+N118-O118),0),IF((N118-E118-O118)&lt;0,ABS(N118-E118-O118),0)),2)</f>
        <v>0</v>
      </c>
      <c r="R118" s="17"/>
      <c r="S118" s="17"/>
    </row>
    <row r="119" customFormat="false" ht="15" hidden="false" customHeight="true" outlineLevel="0" collapsed="false">
      <c r="A119" s="8" t="s">
        <v>353</v>
      </c>
      <c r="B119" s="8" t="str">
        <f aca="false">листопад!B119</f>
        <v>Величко Н.М.</v>
      </c>
      <c r="C119" s="8" t="s">
        <v>355</v>
      </c>
      <c r="D119" s="27" t="n">
        <f aca="false">листопад!P119</f>
        <v>3058.18</v>
      </c>
      <c r="E119" s="27" t="n">
        <f aca="false">листопад!Q119</f>
        <v>0</v>
      </c>
      <c r="F119" s="27" t="n">
        <f aca="false">листопад!F119</f>
        <v>0</v>
      </c>
      <c r="G119" s="27" t="n">
        <f aca="false">листопад!G119</f>
        <v>63.8</v>
      </c>
      <c r="H119" s="27" t="n">
        <f aca="false">листопад!H119</f>
        <v>0</v>
      </c>
      <c r="I119" s="28" t="n">
        <f aca="false">листопад!I119</f>
        <v>4.1</v>
      </c>
      <c r="J119" s="27" t="n">
        <f aca="false">ROUND(G119*I119,2)</f>
        <v>261.58</v>
      </c>
      <c r="K119" s="27"/>
      <c r="L119" s="27"/>
      <c r="M119" s="27"/>
      <c r="N119" s="27" t="n">
        <f aca="false">ROUND((G119*I119)-K119-L119-M119,2)</f>
        <v>261.58</v>
      </c>
      <c r="O119" s="27"/>
      <c r="P119" s="27" t="n">
        <f aca="false">ROUND(IF(D119=0,IF((N119-E119-O119)&gt;0,(N119-E119-O119),0),IF((D119+N119-O119)&gt;0,(D119+N119-O119),0)),2)</f>
        <v>3319.76</v>
      </c>
      <c r="Q119" s="27" t="n">
        <f aca="false">ROUND(IF(E119=0,IF((D119+N119-O119)&lt;0,ABS(D119+N119-O119),0),IF((N119-E119-O119)&lt;0,ABS(N119-E119-O119),0)),2)</f>
        <v>0</v>
      </c>
      <c r="R119" s="17"/>
      <c r="S119" s="17"/>
    </row>
    <row r="120" customFormat="false" ht="15" hidden="false" customHeight="true" outlineLevel="0" collapsed="false">
      <c r="A120" s="8" t="s">
        <v>356</v>
      </c>
      <c r="B120" s="8" t="str">
        <f aca="false">листопад!B120</f>
        <v>Бухлов С.В.</v>
      </c>
      <c r="C120" s="8" t="s">
        <v>358</v>
      </c>
      <c r="D120" s="27" t="n">
        <f aca="false">листопад!P120</f>
        <v>20057.51</v>
      </c>
      <c r="E120" s="27" t="n">
        <f aca="false">листопад!Q120</f>
        <v>0</v>
      </c>
      <c r="F120" s="27" t="n">
        <f aca="false">листопад!F120</f>
        <v>0</v>
      </c>
      <c r="G120" s="27" t="n">
        <f aca="false">листопад!G120</f>
        <v>62.6</v>
      </c>
      <c r="H120" s="27" t="n">
        <f aca="false">листопад!H120</f>
        <v>0</v>
      </c>
      <c r="I120" s="28" t="n">
        <f aca="false">листопад!I120</f>
        <v>4.1</v>
      </c>
      <c r="J120" s="27" t="n">
        <f aca="false">ROUND(G120*I120,2)</f>
        <v>256.66</v>
      </c>
      <c r="K120" s="27"/>
      <c r="L120" s="27"/>
      <c r="M120" s="27"/>
      <c r="N120" s="27" t="n">
        <f aca="false">ROUND((G120*I120)-K120-L120-M120,2)</f>
        <v>256.66</v>
      </c>
      <c r="O120" s="27"/>
      <c r="P120" s="27" t="n">
        <f aca="false">ROUND(IF(D120=0,IF((N120-E120-O120)&gt;0,(N120-E120-O120),0),IF((D120+N120-O120)&gt;0,(D120+N120-O120),0)),2)</f>
        <v>20314.17</v>
      </c>
      <c r="Q120" s="27" t="n">
        <f aca="false">ROUND(IF(E120=0,IF((D120+N120-O120)&lt;0,ABS(D120+N120-O120),0),IF((N120-E120-O120)&lt;0,ABS(N120-E120-O120),0)),2)</f>
        <v>0</v>
      </c>
      <c r="R120" s="17"/>
      <c r="S120" s="17"/>
    </row>
    <row r="121" customFormat="false" ht="15" hidden="false" customHeight="true" outlineLevel="0" collapsed="false">
      <c r="A121" s="8" t="s">
        <v>359</v>
      </c>
      <c r="B121" s="8" t="str">
        <f aca="false">листопад!B121</f>
        <v>Перепеліцина Т.Ю.</v>
      </c>
      <c r="C121" s="8" t="s">
        <v>361</v>
      </c>
      <c r="D121" s="27" t="n">
        <f aca="false">листопад!P121</f>
        <v>3968.16</v>
      </c>
      <c r="E121" s="27" t="n">
        <f aca="false">листопад!Q121</f>
        <v>0</v>
      </c>
      <c r="F121" s="27" t="n">
        <f aca="false">листопад!F121</f>
        <v>0</v>
      </c>
      <c r="G121" s="27" t="n">
        <f aca="false">листопад!G121</f>
        <v>34.7</v>
      </c>
      <c r="H121" s="27" t="n">
        <f aca="false">листопад!H121</f>
        <v>0</v>
      </c>
      <c r="I121" s="28" t="n">
        <f aca="false">листопад!I121</f>
        <v>4.1</v>
      </c>
      <c r="J121" s="27" t="n">
        <f aca="false">ROUND(G121*I121,2)</f>
        <v>142.27</v>
      </c>
      <c r="K121" s="27"/>
      <c r="L121" s="27"/>
      <c r="M121" s="27"/>
      <c r="N121" s="27" t="n">
        <f aca="false">ROUND((G121*I121)-K121-L121-M121,2)</f>
        <v>142.27</v>
      </c>
      <c r="O121" s="27"/>
      <c r="P121" s="27" t="n">
        <f aca="false">ROUND(IF(D121=0,IF((N121-E121-O121)&gt;0,(N121-E121-O121),0),IF((D121+N121-O121)&gt;0,(D121+N121-O121),0)),2)</f>
        <v>4110.43</v>
      </c>
      <c r="Q121" s="27" t="n">
        <f aca="false">ROUND(IF(E121=0,IF((D121+N121-O121)&lt;0,ABS(D121+N121-O121),0),IF((N121-E121-O121)&lt;0,ABS(N121-E121-O121),0)),2)</f>
        <v>0</v>
      </c>
      <c r="R121" s="17"/>
      <c r="S121" s="17"/>
    </row>
    <row r="122" customFormat="false" ht="15" hidden="false" customHeight="true" outlineLevel="0" collapsed="false">
      <c r="A122" s="8" t="s">
        <v>362</v>
      </c>
      <c r="B122" s="8" t="str">
        <f aca="false">листопад!B122</f>
        <v>Свєтлова Т.Ю.</v>
      </c>
      <c r="C122" s="8" t="s">
        <v>364</v>
      </c>
      <c r="D122" s="27" t="n">
        <f aca="false">листопад!P122</f>
        <v>5482.55</v>
      </c>
      <c r="E122" s="27" t="n">
        <f aca="false">листопад!Q122</f>
        <v>0</v>
      </c>
      <c r="F122" s="27" t="n">
        <f aca="false">листопад!F122</f>
        <v>0</v>
      </c>
      <c r="G122" s="27" t="n">
        <f aca="false">листопад!G122</f>
        <v>49.72</v>
      </c>
      <c r="H122" s="27" t="n">
        <f aca="false">листопад!H122</f>
        <v>0</v>
      </c>
      <c r="I122" s="28" t="n">
        <f aca="false">листопад!I122</f>
        <v>4.1</v>
      </c>
      <c r="J122" s="27" t="n">
        <f aca="false">ROUND(G122*I122,2)</f>
        <v>203.85</v>
      </c>
      <c r="K122" s="27"/>
      <c r="L122" s="27"/>
      <c r="M122" s="27"/>
      <c r="N122" s="27" t="n">
        <f aca="false">ROUND((G122*I122)-K122-L122-M122,2)</f>
        <v>203.85</v>
      </c>
      <c r="O122" s="27"/>
      <c r="P122" s="27" t="n">
        <f aca="false">ROUND(IF(D122=0,IF((N122-E122-O122)&gt;0,(N122-E122-O122),0),IF((D122+N122-O122)&gt;0,(D122+N122-O122),0)),2)</f>
        <v>5686.4</v>
      </c>
      <c r="Q122" s="27" t="n">
        <f aca="false">ROUND(IF(E122=0,IF((D122+N122-O122)&lt;0,ABS(D122+N122-O122),0),IF((N122-E122-O122)&lt;0,ABS(N122-E122-O122),0)),2)</f>
        <v>0</v>
      </c>
      <c r="R122" s="17"/>
      <c r="S122" s="17"/>
    </row>
    <row r="123" customFormat="false" ht="15" hidden="false" customHeight="true" outlineLevel="0" collapsed="false">
      <c r="A123" s="8" t="s">
        <v>365</v>
      </c>
      <c r="B123" s="8" t="str">
        <f aca="false">листопад!B123</f>
        <v>Маркова О.М.</v>
      </c>
      <c r="C123" s="8" t="s">
        <v>367</v>
      </c>
      <c r="D123" s="27" t="n">
        <f aca="false">листопад!P123</f>
        <v>2987.47</v>
      </c>
      <c r="E123" s="27" t="n">
        <f aca="false">листопад!Q123</f>
        <v>0</v>
      </c>
      <c r="F123" s="27" t="n">
        <f aca="false">листопад!F123</f>
        <v>0</v>
      </c>
      <c r="G123" s="27" t="n">
        <f aca="false">листопад!G123</f>
        <v>65.1</v>
      </c>
      <c r="H123" s="27" t="n">
        <f aca="false">листопад!H123</f>
        <v>0</v>
      </c>
      <c r="I123" s="28" t="n">
        <f aca="false">листопад!I123</f>
        <v>4.1</v>
      </c>
      <c r="J123" s="27" t="n">
        <f aca="false">ROUND(G123*I123,2)</f>
        <v>266.91</v>
      </c>
      <c r="K123" s="27"/>
      <c r="L123" s="27"/>
      <c r="M123" s="27"/>
      <c r="N123" s="27" t="n">
        <f aca="false">ROUND((G123*I123)-K123-L123-M123,2)</f>
        <v>266.91</v>
      </c>
      <c r="O123" s="27"/>
      <c r="P123" s="27" t="n">
        <f aca="false">ROUND(IF(D123=0,IF((N123-E123-O123)&gt;0,(N123-E123-O123),0),IF((D123+N123-O123)&gt;0,(D123+N123-O123),0)),2)</f>
        <v>3254.38</v>
      </c>
      <c r="Q123" s="27" t="n">
        <f aca="false">ROUND(IF(E123=0,IF((D123+N123-O123)&lt;0,ABS(D123+N123-O123),0),IF((N123-E123-O123)&lt;0,ABS(N123-E123-O123),0)),2)</f>
        <v>0</v>
      </c>
      <c r="R123" s="17"/>
      <c r="S123" s="17"/>
    </row>
    <row r="124" customFormat="false" ht="15" hidden="false" customHeight="true" outlineLevel="0" collapsed="false">
      <c r="A124" s="8" t="s">
        <v>368</v>
      </c>
      <c r="B124" s="8" t="str">
        <f aca="false">листопад!B124</f>
        <v>Ракитська А.М.</v>
      </c>
      <c r="C124" s="8" t="s">
        <v>370</v>
      </c>
      <c r="D124" s="27" t="n">
        <f aca="false">листопад!P124</f>
        <v>2797.02</v>
      </c>
      <c r="E124" s="27" t="n">
        <f aca="false">листопад!Q124</f>
        <v>0</v>
      </c>
      <c r="F124" s="27" t="n">
        <f aca="false">листопад!F124</f>
        <v>0</v>
      </c>
      <c r="G124" s="27" t="n">
        <f aca="false">листопад!G124</f>
        <v>62.18</v>
      </c>
      <c r="H124" s="27" t="n">
        <f aca="false">листопад!H124</f>
        <v>0</v>
      </c>
      <c r="I124" s="28" t="n">
        <f aca="false">листопад!I124</f>
        <v>4.1</v>
      </c>
      <c r="J124" s="27" t="n">
        <f aca="false">ROUND(G124*I124,2)</f>
        <v>254.94</v>
      </c>
      <c r="K124" s="27"/>
      <c r="L124" s="27"/>
      <c r="M124" s="27"/>
      <c r="N124" s="27" t="n">
        <f aca="false">ROUND((G124*I124)-K124-L124-M124,2)</f>
        <v>254.94</v>
      </c>
      <c r="O124" s="27"/>
      <c r="P124" s="27" t="n">
        <f aca="false">ROUND(IF(D124=0,IF((N124-E124-O124)&gt;0,(N124-E124-O124),0),IF((D124+N124-O124)&gt;0,(D124+N124-O124),0)),2)</f>
        <v>3051.96</v>
      </c>
      <c r="Q124" s="27" t="n">
        <f aca="false">ROUND(IF(E124=0,IF((D124+N124-O124)&lt;0,ABS(D124+N124-O124),0),IF((N124-E124-O124)&lt;0,ABS(N124-E124-O124),0)),2)</f>
        <v>0</v>
      </c>
      <c r="R124" s="17"/>
      <c r="S124" s="17"/>
    </row>
    <row r="125" customFormat="false" ht="15" hidden="false" customHeight="true" outlineLevel="0" collapsed="false">
      <c r="A125" s="8" t="s">
        <v>371</v>
      </c>
      <c r="B125" s="8" t="str">
        <f aca="false">листопад!B125</f>
        <v>Гусак К.С.</v>
      </c>
      <c r="C125" s="8" t="s">
        <v>373</v>
      </c>
      <c r="D125" s="27" t="n">
        <f aca="false">листопад!P125</f>
        <v>8264.01</v>
      </c>
      <c r="E125" s="27" t="n">
        <f aca="false">листопад!Q125</f>
        <v>0</v>
      </c>
      <c r="F125" s="27" t="n">
        <f aca="false">листопад!F125</f>
        <v>0</v>
      </c>
      <c r="G125" s="27" t="n">
        <f aca="false">листопад!G125</f>
        <v>35.1</v>
      </c>
      <c r="H125" s="27" t="n">
        <f aca="false">листопад!H125</f>
        <v>0</v>
      </c>
      <c r="I125" s="28" t="n">
        <f aca="false">листопад!I125</f>
        <v>4.1</v>
      </c>
      <c r="J125" s="27" t="n">
        <f aca="false">ROUND(G125*I125,2)</f>
        <v>143.91</v>
      </c>
      <c r="K125" s="27"/>
      <c r="L125" s="27"/>
      <c r="M125" s="27"/>
      <c r="N125" s="27" t="n">
        <f aca="false">ROUND((G125*I125)-K125-L125-M125,2)</f>
        <v>143.91</v>
      </c>
      <c r="O125" s="27"/>
      <c r="P125" s="27" t="n">
        <f aca="false">ROUND(IF(D125=0,IF((N125-E125-O125)&gt;0,(N125-E125-O125),0),IF((D125+N125-O125)&gt;0,(D125+N125-O125),0)),2)</f>
        <v>8407.92</v>
      </c>
      <c r="Q125" s="27" t="n">
        <f aca="false">ROUND(IF(E125=0,IF((D125+N125-O125)&lt;0,ABS(D125+N125-O125),0),IF((N125-E125-O125)&lt;0,ABS(N125-E125-O125),0)),2)</f>
        <v>0</v>
      </c>
      <c r="R125" s="17"/>
      <c r="S125" s="17"/>
    </row>
    <row r="126" customFormat="false" ht="15" hidden="false" customHeight="true" outlineLevel="0" collapsed="false">
      <c r="A126" s="8" t="s">
        <v>374</v>
      </c>
      <c r="B126" s="8" t="str">
        <f aca="false">листопад!B126</f>
        <v>Пісоченко М.Г.</v>
      </c>
      <c r="C126" s="8" t="s">
        <v>376</v>
      </c>
      <c r="D126" s="27" t="n">
        <f aca="false">листопад!P126</f>
        <v>2450.16</v>
      </c>
      <c r="E126" s="27" t="n">
        <f aca="false">листопад!Q126</f>
        <v>0</v>
      </c>
      <c r="F126" s="27" t="n">
        <f aca="false">листопад!F126</f>
        <v>0</v>
      </c>
      <c r="G126" s="27" t="n">
        <f aca="false">листопад!G126</f>
        <v>49.8</v>
      </c>
      <c r="H126" s="27" t="n">
        <f aca="false">листопад!H126</f>
        <v>0</v>
      </c>
      <c r="I126" s="28" t="n">
        <f aca="false">листопад!I126</f>
        <v>4.1</v>
      </c>
      <c r="J126" s="27" t="n">
        <f aca="false">ROUND(G126*I126,2)</f>
        <v>204.18</v>
      </c>
      <c r="K126" s="27"/>
      <c r="L126" s="27"/>
      <c r="M126" s="27"/>
      <c r="N126" s="27" t="n">
        <f aca="false">ROUND((G126*I126)-K126-L126-M126,2)</f>
        <v>204.18</v>
      </c>
      <c r="O126" s="27"/>
      <c r="P126" s="27" t="n">
        <f aca="false">ROUND(IF(D126=0,IF((N126-E126-O126)&gt;0,(N126-E126-O126),0),IF((D126+N126-O126)&gt;0,(D126+N126-O126),0)),2)</f>
        <v>2654.34</v>
      </c>
      <c r="Q126" s="27" t="n">
        <f aca="false">ROUND(IF(E126=0,IF((D126+N126-O126)&lt;0,ABS(D126+N126-O126),0),IF((N126-E126-O126)&lt;0,ABS(N126-E126-O126),0)),2)</f>
        <v>0</v>
      </c>
      <c r="R126" s="17"/>
      <c r="S126" s="17"/>
    </row>
    <row r="127" customFormat="false" ht="15" hidden="false" customHeight="true" outlineLevel="0" collapsed="false">
      <c r="A127" s="8" t="s">
        <v>377</v>
      </c>
      <c r="B127" s="8" t="str">
        <f aca="false">листопад!B127</f>
        <v>Столяр О.М.</v>
      </c>
      <c r="C127" s="8" t="s">
        <v>379</v>
      </c>
      <c r="D127" s="27" t="n">
        <f aca="false">листопад!P127</f>
        <v>5890.06</v>
      </c>
      <c r="E127" s="27" t="n">
        <f aca="false">листопад!Q127</f>
        <v>0</v>
      </c>
      <c r="F127" s="27" t="n">
        <f aca="false">листопад!F127</f>
        <v>0</v>
      </c>
      <c r="G127" s="27" t="n">
        <f aca="false">листопад!G127</f>
        <v>65.3</v>
      </c>
      <c r="H127" s="27" t="n">
        <f aca="false">листопад!H127</f>
        <v>0</v>
      </c>
      <c r="I127" s="28" t="n">
        <f aca="false">листопад!I127</f>
        <v>4.1</v>
      </c>
      <c r="J127" s="27" t="n">
        <f aca="false">ROUND(G127*I127,2)</f>
        <v>267.73</v>
      </c>
      <c r="K127" s="27"/>
      <c r="L127" s="27"/>
      <c r="M127" s="27"/>
      <c r="N127" s="27" t="n">
        <f aca="false">ROUND((G127*I127)-K127-L127-M127,2)</f>
        <v>267.73</v>
      </c>
      <c r="O127" s="27"/>
      <c r="P127" s="27" t="n">
        <f aca="false">ROUND(IF(D127=0,IF((N127-E127-O127)&gt;0,(N127-E127-O127),0),IF((D127+N127-O127)&gt;0,(D127+N127-O127),0)),2)</f>
        <v>6157.79</v>
      </c>
      <c r="Q127" s="27" t="n">
        <f aca="false">ROUND(IF(E127=0,IF((D127+N127-O127)&lt;0,ABS(D127+N127-O127),0),IF((N127-E127-O127)&lt;0,ABS(N127-E127-O127),0)),2)</f>
        <v>0</v>
      </c>
      <c r="R127" s="17"/>
      <c r="S127" s="17"/>
    </row>
    <row r="128" customFormat="false" ht="15" hidden="false" customHeight="true" outlineLevel="0" collapsed="false">
      <c r="A128" s="8" t="s">
        <v>380</v>
      </c>
      <c r="B128" s="8" t="str">
        <f aca="false">листопад!B128</f>
        <v>Рєзніков В.П.</v>
      </c>
      <c r="C128" s="8" t="s">
        <v>382</v>
      </c>
      <c r="D128" s="27" t="n">
        <f aca="false">листопад!P128</f>
        <v>2492.69</v>
      </c>
      <c r="E128" s="27" t="n">
        <f aca="false">листопад!Q128</f>
        <v>0</v>
      </c>
      <c r="F128" s="27" t="n">
        <f aca="false">листопад!F128</f>
        <v>0</v>
      </c>
      <c r="G128" s="27" t="n">
        <f aca="false">листопад!G128</f>
        <v>62.44</v>
      </c>
      <c r="H128" s="27" t="n">
        <f aca="false">листопад!H128</f>
        <v>0</v>
      </c>
      <c r="I128" s="28" t="n">
        <f aca="false">листопад!I128</f>
        <v>4.1</v>
      </c>
      <c r="J128" s="27" t="n">
        <f aca="false">ROUND(G128*I128,2)</f>
        <v>256</v>
      </c>
      <c r="K128" s="27"/>
      <c r="L128" s="27"/>
      <c r="M128" s="27"/>
      <c r="N128" s="27" t="n">
        <f aca="false">ROUND((G128*I128)-K128-L128-M128,2)</f>
        <v>256</v>
      </c>
      <c r="O128" s="27"/>
      <c r="P128" s="27" t="n">
        <f aca="false">ROUND(IF(D128=0,IF((N128-E128-O128)&gt;0,(N128-E128-O128),0),IF((D128+N128-O128)&gt;0,(D128+N128-O128),0)),2)</f>
        <v>2748.69</v>
      </c>
      <c r="Q128" s="27" t="n">
        <f aca="false">ROUND(IF(E128=0,IF((D128+N128-O128)&lt;0,ABS(D128+N128-O128),0),IF((N128-E128-O128)&lt;0,ABS(N128-E128-O128),0)),2)</f>
        <v>0</v>
      </c>
      <c r="R128" s="17"/>
      <c r="S128" s="17"/>
    </row>
    <row r="129" customFormat="false" ht="15" hidden="false" customHeight="true" outlineLevel="0" collapsed="false">
      <c r="A129" s="8" t="s">
        <v>383</v>
      </c>
      <c r="B129" s="8" t="str">
        <f aca="false">листопад!B129</f>
        <v>Золотоверха Я.І.</v>
      </c>
      <c r="C129" s="8" t="s">
        <v>385</v>
      </c>
      <c r="D129" s="27" t="n">
        <f aca="false">листопад!P129</f>
        <v>1605.56</v>
      </c>
      <c r="E129" s="27" t="n">
        <f aca="false">листопад!Q129</f>
        <v>0</v>
      </c>
      <c r="F129" s="27" t="n">
        <f aca="false">листопад!F129</f>
        <v>0</v>
      </c>
      <c r="G129" s="27" t="n">
        <f aca="false">листопад!G129</f>
        <v>35.6</v>
      </c>
      <c r="H129" s="27" t="n">
        <f aca="false">листопад!H129</f>
        <v>0</v>
      </c>
      <c r="I129" s="28" t="n">
        <f aca="false">листопад!I129</f>
        <v>4.1</v>
      </c>
      <c r="J129" s="27" t="n">
        <f aca="false">ROUND(G129*I129,2)</f>
        <v>145.96</v>
      </c>
      <c r="K129" s="27"/>
      <c r="L129" s="27"/>
      <c r="M129" s="27"/>
      <c r="N129" s="27" t="n">
        <f aca="false">ROUND((G129*I129)-K129-L129-M129,2)</f>
        <v>145.96</v>
      </c>
      <c r="O129" s="27"/>
      <c r="P129" s="27" t="n">
        <f aca="false">ROUND(IF(D129=0,IF((N129-E129-O129)&gt;0,(N129-E129-O129),0),IF((D129+N129-O129)&gt;0,(D129+N129-O129),0)),2)</f>
        <v>1751.52</v>
      </c>
      <c r="Q129" s="27" t="n">
        <f aca="false">ROUND(IF(E129=0,IF((D129+N129-O129)&lt;0,ABS(D129+N129-O129),0),IF((N129-E129-O129)&lt;0,ABS(N129-E129-O129),0)),2)</f>
        <v>0</v>
      </c>
      <c r="R129" s="17"/>
      <c r="S129" s="17"/>
    </row>
    <row r="130" customFormat="false" ht="15" hidden="false" customHeight="true" outlineLevel="0" collapsed="false">
      <c r="A130" s="8" t="s">
        <v>386</v>
      </c>
      <c r="B130" s="8" t="str">
        <f aca="false">листопад!B130</f>
        <v>Бурлаков А.В.</v>
      </c>
      <c r="C130" s="8" t="s">
        <v>388</v>
      </c>
      <c r="D130" s="27" t="n">
        <f aca="false">листопад!P130</f>
        <v>2445.01</v>
      </c>
      <c r="E130" s="27" t="n">
        <f aca="false">листопад!Q130</f>
        <v>0</v>
      </c>
      <c r="F130" s="27" t="n">
        <f aca="false">листопад!F130</f>
        <v>0</v>
      </c>
      <c r="G130" s="27" t="n">
        <f aca="false">листопад!G130</f>
        <v>49.7</v>
      </c>
      <c r="H130" s="27" t="n">
        <f aca="false">листопад!H130</f>
        <v>0</v>
      </c>
      <c r="I130" s="28" t="n">
        <f aca="false">листопад!I130</f>
        <v>4.1</v>
      </c>
      <c r="J130" s="27" t="n">
        <f aca="false">ROUND(G130*I130,2)</f>
        <v>203.77</v>
      </c>
      <c r="K130" s="27"/>
      <c r="L130" s="27"/>
      <c r="M130" s="27"/>
      <c r="N130" s="27" t="n">
        <f aca="false">ROUND((G130*I130)-K130-L130-M130,2)</f>
        <v>203.77</v>
      </c>
      <c r="O130" s="27"/>
      <c r="P130" s="27" t="n">
        <f aca="false">ROUND(IF(D130=0,IF((N130-E130-O130)&gt;0,(N130-E130-O130),0),IF((D130+N130-O130)&gt;0,(D130+N130-O130),0)),2)</f>
        <v>2648.78</v>
      </c>
      <c r="Q130" s="27" t="n">
        <f aca="false">ROUND(IF(E130=0,IF((D130+N130-O130)&lt;0,ABS(D130+N130-O130),0),IF((N130-E130-O130)&lt;0,ABS(N130-E130-O130),0)),2)</f>
        <v>0</v>
      </c>
      <c r="R130" s="17"/>
      <c r="S130" s="17"/>
    </row>
    <row r="131" customFormat="false" ht="15" hidden="false" customHeight="true" outlineLevel="0" collapsed="false">
      <c r="A131" s="8" t="s">
        <v>389</v>
      </c>
      <c r="B131" s="8" t="str">
        <f aca="false">листопад!B131</f>
        <v>Сикула О.Ю.</v>
      </c>
      <c r="C131" s="8" t="s">
        <v>391</v>
      </c>
      <c r="D131" s="27" t="n">
        <f aca="false">листопад!P131</f>
        <v>6938.32</v>
      </c>
      <c r="E131" s="27" t="n">
        <f aca="false">листопад!Q131</f>
        <v>0</v>
      </c>
      <c r="F131" s="27" t="n">
        <f aca="false">листопад!F131</f>
        <v>0</v>
      </c>
      <c r="G131" s="27" t="n">
        <f aca="false">листопад!G131</f>
        <v>65.15</v>
      </c>
      <c r="H131" s="27" t="n">
        <f aca="false">листопад!H131</f>
        <v>0</v>
      </c>
      <c r="I131" s="28" t="n">
        <f aca="false">листопад!I131</f>
        <v>4.1</v>
      </c>
      <c r="J131" s="27" t="n">
        <f aca="false">ROUND(G131*I131,2)</f>
        <v>267.12</v>
      </c>
      <c r="K131" s="27"/>
      <c r="L131" s="27"/>
      <c r="M131" s="27"/>
      <c r="N131" s="27" t="n">
        <f aca="false">ROUND((G131*I131)-K131-L131-M131,2)</f>
        <v>267.12</v>
      </c>
      <c r="O131" s="27"/>
      <c r="P131" s="27" t="n">
        <f aca="false">ROUND(IF(D131=0,IF((N131-E131-O131)&gt;0,(N131-E131-O131),0),IF((D131+N131-O131)&gt;0,(D131+N131-O131),0)),2)</f>
        <v>7205.44</v>
      </c>
      <c r="Q131" s="27" t="n">
        <f aca="false">ROUND(IF(E131=0,IF((D131+N131-O131)&lt;0,ABS(D131+N131-O131),0),IF((N131-E131-O131)&lt;0,ABS(N131-E131-O131),0)),2)</f>
        <v>0</v>
      </c>
      <c r="R131" s="17"/>
      <c r="S131" s="17"/>
    </row>
    <row r="132" customFormat="false" ht="15" hidden="false" customHeight="true" outlineLevel="0" collapsed="false">
      <c r="A132" s="8" t="s">
        <v>392</v>
      </c>
      <c r="B132" s="8" t="str">
        <f aca="false">листопад!B132</f>
        <v>Арістов О.О.</v>
      </c>
      <c r="C132" s="8" t="s">
        <v>394</v>
      </c>
      <c r="D132" s="27" t="n">
        <f aca="false">листопад!P132</f>
        <v>3099.6</v>
      </c>
      <c r="E132" s="27" t="n">
        <f aca="false">листопад!Q132</f>
        <v>0</v>
      </c>
      <c r="F132" s="27" t="n">
        <f aca="false">листопад!F132</f>
        <v>0</v>
      </c>
      <c r="G132" s="27" t="n">
        <f aca="false">листопад!G132</f>
        <v>63</v>
      </c>
      <c r="H132" s="27" t="n">
        <f aca="false">листопад!H132</f>
        <v>0</v>
      </c>
      <c r="I132" s="28" t="n">
        <f aca="false">листопад!I132</f>
        <v>4.1</v>
      </c>
      <c r="J132" s="27" t="n">
        <f aca="false">ROUND(G132*I132,2)</f>
        <v>258.3</v>
      </c>
      <c r="K132" s="27"/>
      <c r="L132" s="27"/>
      <c r="M132" s="27"/>
      <c r="N132" s="27" t="n">
        <f aca="false">ROUND((G132*I132)-K132-L132-M132,2)</f>
        <v>258.3</v>
      </c>
      <c r="O132" s="27"/>
      <c r="P132" s="27" t="n">
        <f aca="false">ROUND(IF(D132=0,IF((N132-E132-O132)&gt;0,(N132-E132-O132),0),IF((D132+N132-O132)&gt;0,(D132+N132-O132),0)),2)</f>
        <v>3357.9</v>
      </c>
      <c r="Q132" s="27" t="n">
        <f aca="false">ROUND(IF(E132=0,IF((D132+N132-O132)&lt;0,ABS(D132+N132-O132),0),IF((N132-E132-O132)&lt;0,ABS(N132-E132-O132),0)),2)</f>
        <v>0</v>
      </c>
      <c r="R132" s="17"/>
      <c r="S132" s="17"/>
    </row>
    <row r="133" customFormat="false" ht="15" hidden="false" customHeight="true" outlineLevel="0" collapsed="false">
      <c r="A133" s="8" t="s">
        <v>395</v>
      </c>
      <c r="B133" s="8" t="str">
        <f aca="false">листопад!B133</f>
        <v>Бондаренко Т.О.</v>
      </c>
      <c r="C133" s="8" t="s">
        <v>397</v>
      </c>
      <c r="D133" s="27" t="n">
        <f aca="false">листопад!P133</f>
        <v>1564.97</v>
      </c>
      <c r="E133" s="27" t="n">
        <f aca="false">листопад!Q133</f>
        <v>0</v>
      </c>
      <c r="F133" s="27" t="n">
        <f aca="false">листопад!F133</f>
        <v>0</v>
      </c>
      <c r="G133" s="27" t="n">
        <f aca="false">листопад!G133</f>
        <v>34.7</v>
      </c>
      <c r="H133" s="27" t="n">
        <f aca="false">листопад!H133</f>
        <v>0</v>
      </c>
      <c r="I133" s="28" t="n">
        <f aca="false">листопад!I133</f>
        <v>4.1</v>
      </c>
      <c r="J133" s="27" t="n">
        <f aca="false">ROUND(G133*I133,2)</f>
        <v>142.27</v>
      </c>
      <c r="K133" s="27"/>
      <c r="L133" s="27"/>
      <c r="M133" s="27"/>
      <c r="N133" s="27" t="n">
        <f aca="false">ROUND((G133*I133)-K133-L133-M133,2)</f>
        <v>142.27</v>
      </c>
      <c r="O133" s="27"/>
      <c r="P133" s="27" t="n">
        <f aca="false">ROUND(IF(D133=0,IF((N133-E133-O133)&gt;0,(N133-E133-O133),0),IF((D133+N133-O133)&gt;0,(D133+N133-O133),0)),2)</f>
        <v>1707.24</v>
      </c>
      <c r="Q133" s="27" t="n">
        <f aca="false">ROUND(IF(E133=0,IF((D133+N133-O133)&lt;0,ABS(D133+N133-O133),0),IF((N133-E133-O133)&lt;0,ABS(N133-E133-O133),0)),2)</f>
        <v>0</v>
      </c>
      <c r="R133" s="17"/>
      <c r="S133" s="17"/>
    </row>
    <row r="134" customFormat="false" ht="15" hidden="false" customHeight="true" outlineLevel="0" collapsed="false">
      <c r="A134" s="8" t="s">
        <v>398</v>
      </c>
      <c r="B134" s="8" t="str">
        <f aca="false">листопад!B134</f>
        <v>Гайчев П.В.</v>
      </c>
      <c r="C134" s="8" t="s">
        <v>400</v>
      </c>
      <c r="D134" s="27" t="n">
        <f aca="false">листопад!P134</f>
        <v>2420.64</v>
      </c>
      <c r="E134" s="27" t="n">
        <f aca="false">листопад!Q134</f>
        <v>0</v>
      </c>
      <c r="F134" s="27" t="n">
        <f aca="false">листопад!F134</f>
        <v>0</v>
      </c>
      <c r="G134" s="27" t="n">
        <f aca="false">листопад!G134</f>
        <v>49.2</v>
      </c>
      <c r="H134" s="27" t="n">
        <f aca="false">листопад!H134</f>
        <v>0</v>
      </c>
      <c r="I134" s="28" t="n">
        <f aca="false">листопад!I134</f>
        <v>4.1</v>
      </c>
      <c r="J134" s="27" t="n">
        <f aca="false">ROUND(G134*I134,2)</f>
        <v>201.72</v>
      </c>
      <c r="K134" s="27"/>
      <c r="L134" s="27"/>
      <c r="M134" s="27"/>
      <c r="N134" s="27" t="n">
        <f aca="false">ROUND((G134*I134)-K134-L134-M134,2)</f>
        <v>201.72</v>
      </c>
      <c r="O134" s="27"/>
      <c r="P134" s="27" t="n">
        <f aca="false">ROUND(IF(D134=0,IF((N134-E134-O134)&gt;0,(N134-E134-O134),0),IF((D134+N134-O134)&gt;0,(D134+N134-O134),0)),2)</f>
        <v>2622.36</v>
      </c>
      <c r="Q134" s="27" t="n">
        <f aca="false">ROUND(IF(E134=0,IF((D134+N134-O134)&lt;0,ABS(D134+N134-O134),0),IF((N134-E134-O134)&lt;0,ABS(N134-E134-O134),0)),2)</f>
        <v>0</v>
      </c>
      <c r="R134" s="17"/>
      <c r="S134" s="17"/>
    </row>
    <row r="135" customFormat="false" ht="15" hidden="false" customHeight="true" outlineLevel="0" collapsed="false">
      <c r="A135" s="8" t="s">
        <v>401</v>
      </c>
      <c r="B135" s="8" t="str">
        <f aca="false">листопад!B135</f>
        <v>Радченко О.С.</v>
      </c>
      <c r="C135" s="8" t="s">
        <v>403</v>
      </c>
      <c r="D135" s="27" t="n">
        <f aca="false">листопад!P135</f>
        <v>2938.32</v>
      </c>
      <c r="E135" s="27" t="n">
        <f aca="false">листопад!Q135</f>
        <v>0</v>
      </c>
      <c r="F135" s="27" t="n">
        <f aca="false">листопад!F135</f>
        <v>0</v>
      </c>
      <c r="G135" s="27" t="n">
        <f aca="false">листопад!G135</f>
        <v>65.15</v>
      </c>
      <c r="H135" s="27" t="n">
        <f aca="false">листопад!H135</f>
        <v>0</v>
      </c>
      <c r="I135" s="28" t="n">
        <f aca="false">листопад!I135</f>
        <v>4.1</v>
      </c>
      <c r="J135" s="27" t="n">
        <f aca="false">ROUND(G135*I135,2)</f>
        <v>267.12</v>
      </c>
      <c r="K135" s="27"/>
      <c r="L135" s="27"/>
      <c r="M135" s="27"/>
      <c r="N135" s="27" t="n">
        <f aca="false">ROUND((G135*I135)-K135-L135-M135,2)</f>
        <v>267.12</v>
      </c>
      <c r="O135" s="27"/>
      <c r="P135" s="27" t="n">
        <f aca="false">ROUND(IF(D135=0,IF((N135-E135-O135)&gt;0,(N135-E135-O135),0),IF((D135+N135-O135)&gt;0,(D135+N135-O135),0)),2)</f>
        <v>3205.44</v>
      </c>
      <c r="Q135" s="27" t="n">
        <f aca="false">ROUND(IF(E135=0,IF((D135+N135-O135)&lt;0,ABS(D135+N135-O135),0),IF((N135-E135-O135)&lt;0,ABS(N135-E135-O135),0)),2)</f>
        <v>0</v>
      </c>
      <c r="R135" s="17"/>
      <c r="S135" s="17"/>
    </row>
    <row r="136" customFormat="false" ht="15" hidden="false" customHeight="true" outlineLevel="0" collapsed="false">
      <c r="A136" s="8" t="s">
        <v>404</v>
      </c>
      <c r="B136" s="8" t="str">
        <f aca="false">листопад!B136</f>
        <v>Шилін С.М.</v>
      </c>
      <c r="C136" s="8" t="s">
        <v>406</v>
      </c>
      <c r="D136" s="27" t="n">
        <f aca="false">листопад!P136</f>
        <v>4315.04</v>
      </c>
      <c r="E136" s="27" t="n">
        <f aca="false">листопад!Q136</f>
        <v>0</v>
      </c>
      <c r="F136" s="27" t="n">
        <f aca="false">листопад!F136</f>
        <v>0</v>
      </c>
      <c r="G136" s="27" t="n">
        <f aca="false">листопад!G136</f>
        <v>62.3</v>
      </c>
      <c r="H136" s="27" t="n">
        <f aca="false">листопад!H136</f>
        <v>0</v>
      </c>
      <c r="I136" s="28" t="n">
        <f aca="false">листопад!I136</f>
        <v>4.1</v>
      </c>
      <c r="J136" s="27" t="n">
        <f aca="false">ROUND(G136*I136,2)</f>
        <v>255.43</v>
      </c>
      <c r="K136" s="27"/>
      <c r="L136" s="27"/>
      <c r="M136" s="27"/>
      <c r="N136" s="27" t="n">
        <f aca="false">ROUND((G136*I136)-K136-L136-M136,2)</f>
        <v>255.43</v>
      </c>
      <c r="O136" s="27"/>
      <c r="P136" s="27" t="n">
        <f aca="false">ROUND(IF(D136=0,IF((N136-E136-O136)&gt;0,(N136-E136-O136),0),IF((D136+N136-O136)&gt;0,(D136+N136-O136),0)),2)</f>
        <v>4570.47</v>
      </c>
      <c r="Q136" s="27" t="n">
        <f aca="false">ROUND(IF(E136=0,IF((D136+N136-O136)&lt;0,ABS(D136+N136-O136),0),IF((N136-E136-O136)&lt;0,ABS(N136-E136-O136),0)),2)</f>
        <v>0</v>
      </c>
      <c r="R136" s="17"/>
      <c r="S136" s="17"/>
    </row>
    <row r="137" customFormat="false" ht="15" hidden="false" customHeight="true" outlineLevel="0" collapsed="false">
      <c r="A137" s="8" t="s">
        <v>407</v>
      </c>
      <c r="B137" s="8" t="str">
        <f aca="false">листопад!B137</f>
        <v>Корякін Л.М.</v>
      </c>
      <c r="C137" s="8" t="s">
        <v>409</v>
      </c>
      <c r="D137" s="27" t="n">
        <f aca="false">листопад!P137</f>
        <v>3115.57</v>
      </c>
      <c r="E137" s="27" t="n">
        <f aca="false">листопад!Q137</f>
        <v>0</v>
      </c>
      <c r="F137" s="27" t="n">
        <f aca="false">листопад!F137</f>
        <v>0</v>
      </c>
      <c r="G137" s="27" t="n">
        <f aca="false">листопад!G137</f>
        <v>35.3</v>
      </c>
      <c r="H137" s="27" t="n">
        <f aca="false">листопад!H137</f>
        <v>0</v>
      </c>
      <c r="I137" s="28" t="n">
        <f aca="false">листопад!I137</f>
        <v>4.1</v>
      </c>
      <c r="J137" s="27" t="n">
        <f aca="false">ROUND(G137*I137,2)</f>
        <v>144.73</v>
      </c>
      <c r="K137" s="27"/>
      <c r="L137" s="27"/>
      <c r="M137" s="27"/>
      <c r="N137" s="27" t="n">
        <f aca="false">ROUND((G137*I137)-K137-L137-M137,2)</f>
        <v>144.73</v>
      </c>
      <c r="O137" s="27"/>
      <c r="P137" s="27" t="n">
        <f aca="false">ROUND(IF(D137=0,IF((N137-E137-O137)&gt;0,(N137-E137-O137),0),IF((D137+N137-O137)&gt;0,(D137+N137-O137),0)),2)</f>
        <v>3260.3</v>
      </c>
      <c r="Q137" s="27" t="n">
        <f aca="false">ROUND(IF(E137=0,IF((D137+N137-O137)&lt;0,ABS(D137+N137-O137),0),IF((N137-E137-O137)&lt;0,ABS(N137-E137-O137),0)),2)</f>
        <v>0</v>
      </c>
      <c r="R137" s="17"/>
      <c r="S137" s="17"/>
    </row>
    <row r="138" customFormat="false" ht="15" hidden="false" customHeight="true" outlineLevel="0" collapsed="false">
      <c r="A138" s="8" t="s">
        <v>410</v>
      </c>
      <c r="B138" s="8" t="str">
        <f aca="false">листопад!B138</f>
        <v>Кривошеєва Л.М.</v>
      </c>
      <c r="C138" s="8" t="s">
        <v>412</v>
      </c>
      <c r="D138" s="27" t="n">
        <f aca="false">листопад!P138</f>
        <v>4745.12</v>
      </c>
      <c r="E138" s="27" t="n">
        <f aca="false">листопад!Q138</f>
        <v>0</v>
      </c>
      <c r="F138" s="27" t="n">
        <f aca="false">листопад!F138</f>
        <v>0</v>
      </c>
      <c r="G138" s="27" t="n">
        <f aca="false">листопад!G138</f>
        <v>49.78</v>
      </c>
      <c r="H138" s="27" t="n">
        <f aca="false">листопад!H138</f>
        <v>0</v>
      </c>
      <c r="I138" s="28" t="n">
        <f aca="false">листопад!I138</f>
        <v>4.1</v>
      </c>
      <c r="J138" s="27" t="n">
        <f aca="false">ROUND(G138*I138,2)</f>
        <v>204.1</v>
      </c>
      <c r="K138" s="27"/>
      <c r="L138" s="27"/>
      <c r="M138" s="27"/>
      <c r="N138" s="27" t="n">
        <f aca="false">ROUND((G138*I138)-K138-L138-M138,2)</f>
        <v>204.1</v>
      </c>
      <c r="O138" s="27"/>
      <c r="P138" s="27" t="n">
        <f aca="false">ROUND(IF(D138=0,IF((N138-E138-O138)&gt;0,(N138-E138-O138),0),IF((D138+N138-O138)&gt;0,(D138+N138-O138),0)),2)</f>
        <v>4949.22</v>
      </c>
      <c r="Q138" s="27" t="n">
        <f aca="false">ROUND(IF(E138=0,IF((D138+N138-O138)&lt;0,ABS(D138+N138-O138),0),IF((N138-E138-O138)&lt;0,ABS(N138-E138-O138),0)),2)</f>
        <v>0</v>
      </c>
      <c r="R138" s="17"/>
      <c r="S138" s="17"/>
    </row>
    <row r="139" customFormat="false" ht="15" hidden="false" customHeight="true" outlineLevel="0" collapsed="false">
      <c r="A139" s="8" t="s">
        <v>413</v>
      </c>
      <c r="B139" s="8" t="str">
        <f aca="false">листопад!B139</f>
        <v>Харченко І.С.</v>
      </c>
      <c r="C139" s="8" t="s">
        <v>415</v>
      </c>
      <c r="D139" s="27" t="n">
        <f aca="false">листопад!P139</f>
        <v>2696.34</v>
      </c>
      <c r="E139" s="27" t="n">
        <f aca="false">листопад!Q139</f>
        <v>0</v>
      </c>
      <c r="F139" s="27" t="n">
        <f aca="false">листопад!F139</f>
        <v>0</v>
      </c>
      <c r="G139" s="27" t="n">
        <f aca="false">листопад!G139</f>
        <v>65.93</v>
      </c>
      <c r="H139" s="27" t="n">
        <f aca="false">листопад!H139</f>
        <v>0</v>
      </c>
      <c r="I139" s="28" t="n">
        <f aca="false">листопад!I139</f>
        <v>4.1</v>
      </c>
      <c r="J139" s="27" t="n">
        <f aca="false">ROUND(G139*I139,2)</f>
        <v>270.31</v>
      </c>
      <c r="K139" s="27"/>
      <c r="L139" s="27"/>
      <c r="M139" s="27"/>
      <c r="N139" s="27" t="n">
        <f aca="false">ROUND((G139*I139)-K139-L139-M139,2)</f>
        <v>270.31</v>
      </c>
      <c r="O139" s="27"/>
      <c r="P139" s="27" t="n">
        <f aca="false">ROUND(IF(D139=0,IF((N139-E139-O139)&gt;0,(N139-E139-O139),0),IF((D139+N139-O139)&gt;0,(D139+N139-O139),0)),2)</f>
        <v>2966.65</v>
      </c>
      <c r="Q139" s="27" t="n">
        <f aca="false">ROUND(IF(E139=0,IF((D139+N139-O139)&lt;0,ABS(D139+N139-O139),0),IF((N139-E139-O139)&lt;0,ABS(N139-E139-O139),0)),2)</f>
        <v>0</v>
      </c>
      <c r="R139" s="17"/>
      <c r="S139" s="17"/>
    </row>
    <row r="140" customFormat="false" ht="15" hidden="false" customHeight="true" outlineLevel="0" collapsed="false">
      <c r="A140" s="8" t="s">
        <v>416</v>
      </c>
      <c r="B140" s="8" t="str">
        <f aca="false">листопад!B140</f>
        <v>Куриленко І.О.</v>
      </c>
      <c r="C140" s="8" t="s">
        <v>418</v>
      </c>
      <c r="D140" s="27" t="n">
        <f aca="false">листопад!P140</f>
        <v>2556.8</v>
      </c>
      <c r="E140" s="27" t="n">
        <f aca="false">листопад!Q140</f>
        <v>0</v>
      </c>
      <c r="F140" s="27" t="n">
        <f aca="false">листопад!F140</f>
        <v>0</v>
      </c>
      <c r="G140" s="27" t="n">
        <f aca="false">листопад!G140</f>
        <v>62.36</v>
      </c>
      <c r="H140" s="27" t="n">
        <f aca="false">листопад!H140</f>
        <v>0</v>
      </c>
      <c r="I140" s="28" t="n">
        <f aca="false">листопад!I140</f>
        <v>4.1</v>
      </c>
      <c r="J140" s="27" t="n">
        <f aca="false">ROUND(G140*I140,2)</f>
        <v>255.68</v>
      </c>
      <c r="K140" s="27"/>
      <c r="L140" s="27"/>
      <c r="M140" s="27"/>
      <c r="N140" s="27" t="n">
        <f aca="false">ROUND((G140*I140)-K140-L140-M140,2)</f>
        <v>255.68</v>
      </c>
      <c r="O140" s="27"/>
      <c r="P140" s="27" t="n">
        <f aca="false">ROUND(IF(D140=0,IF((N140-E140-O140)&gt;0,(N140-E140-O140),0),IF((D140+N140-O140)&gt;0,(D140+N140-O140),0)),2)</f>
        <v>2812.48</v>
      </c>
      <c r="Q140" s="27" t="n">
        <f aca="false">ROUND(IF(E140=0,IF((D140+N140-O140)&lt;0,ABS(D140+N140-O140),0),IF((N140-E140-O140)&lt;0,ABS(N140-E140-O140),0)),2)</f>
        <v>0</v>
      </c>
      <c r="R140" s="17"/>
      <c r="S140" s="17"/>
    </row>
    <row r="141" customFormat="false" ht="15" hidden="false" customHeight="true" outlineLevel="0" collapsed="false">
      <c r="A141" s="8" t="s">
        <v>419</v>
      </c>
      <c r="B141" s="8" t="str">
        <f aca="false">листопад!B141</f>
        <v>Єлсукова В.М.</v>
      </c>
      <c r="C141" s="8" t="s">
        <v>421</v>
      </c>
      <c r="D141" s="27" t="n">
        <f aca="false">листопад!P141</f>
        <v>8490.69</v>
      </c>
      <c r="E141" s="27" t="n">
        <f aca="false">листопад!Q141</f>
        <v>0</v>
      </c>
      <c r="F141" s="27" t="n">
        <f aca="false">листопад!F141</f>
        <v>0</v>
      </c>
      <c r="G141" s="27" t="n">
        <f aca="false">листопад!G141</f>
        <v>35.1</v>
      </c>
      <c r="H141" s="27" t="n">
        <f aca="false">листопад!H141</f>
        <v>0</v>
      </c>
      <c r="I141" s="28" t="n">
        <f aca="false">листопад!I141</f>
        <v>4.1</v>
      </c>
      <c r="J141" s="27" t="n">
        <f aca="false">ROUND(G141*I141,2)</f>
        <v>143.91</v>
      </c>
      <c r="K141" s="27"/>
      <c r="L141" s="27"/>
      <c r="M141" s="27"/>
      <c r="N141" s="27" t="n">
        <f aca="false">ROUND((G141*I141)-K141-L141-M141,2)</f>
        <v>143.91</v>
      </c>
      <c r="O141" s="27"/>
      <c r="P141" s="27" t="n">
        <f aca="false">ROUND(IF(D141=0,IF((N141-E141-O141)&gt;0,(N141-E141-O141),0),IF((D141+N141-O141)&gt;0,(D141+N141-O141),0)),2)</f>
        <v>8634.6</v>
      </c>
      <c r="Q141" s="27" t="n">
        <f aca="false">ROUND(IF(E141=0,IF((D141+N141-O141)&lt;0,ABS(D141+N141-O141),0),IF((N141-E141-O141)&lt;0,ABS(N141-E141-O141),0)),2)</f>
        <v>0</v>
      </c>
      <c r="R141" s="17"/>
      <c r="S141" s="17"/>
    </row>
    <row r="142" customFormat="false" ht="15" hidden="false" customHeight="true" outlineLevel="0" collapsed="false">
      <c r="A142" s="8" t="s">
        <v>422</v>
      </c>
      <c r="B142" s="8" t="str">
        <f aca="false">листопад!B142</f>
        <v>Пімонова М.В.</v>
      </c>
      <c r="C142" s="8" t="s">
        <v>424</v>
      </c>
      <c r="D142" s="27" t="n">
        <f aca="false">листопад!P142</f>
        <v>10505.64</v>
      </c>
      <c r="E142" s="27" t="n">
        <f aca="false">листопад!Q142</f>
        <v>0</v>
      </c>
      <c r="F142" s="27" t="n">
        <f aca="false">листопад!F142</f>
        <v>0</v>
      </c>
      <c r="G142" s="27" t="n">
        <f aca="false">листопад!G142</f>
        <v>49.47</v>
      </c>
      <c r="H142" s="27" t="n">
        <f aca="false">листопад!H142</f>
        <v>0</v>
      </c>
      <c r="I142" s="28" t="n">
        <f aca="false">листопад!I142</f>
        <v>4.1</v>
      </c>
      <c r="J142" s="27" t="n">
        <f aca="false">ROUND(G142*I142,2)</f>
        <v>202.83</v>
      </c>
      <c r="K142" s="27"/>
      <c r="L142" s="27"/>
      <c r="M142" s="27"/>
      <c r="N142" s="27" t="n">
        <f aca="false">ROUND((G142*I142)-K142-L142-M142,2)</f>
        <v>202.83</v>
      </c>
      <c r="O142" s="27"/>
      <c r="P142" s="27" t="n">
        <f aca="false">ROUND(IF(D142=0,IF((N142-E142-O142)&gt;0,(N142-E142-O142),0),IF((D142+N142-O142)&gt;0,(D142+N142-O142),0)),2)</f>
        <v>10708.47</v>
      </c>
      <c r="Q142" s="27" t="n">
        <f aca="false">ROUND(IF(E142=0,IF((D142+N142-O142)&lt;0,ABS(D142+N142-O142),0),IF((N142-E142-O142)&lt;0,ABS(N142-E142-O142),0)),2)</f>
        <v>0</v>
      </c>
      <c r="R142" s="17"/>
      <c r="S142" s="17"/>
    </row>
    <row r="143" customFormat="false" ht="15" hidden="false" customHeight="true" outlineLevel="0" collapsed="false">
      <c r="A143" s="8" t="s">
        <v>425</v>
      </c>
      <c r="B143" s="8" t="str">
        <f aca="false">листопад!B143</f>
        <v>Осипенко В.В.</v>
      </c>
      <c r="C143" s="8" t="s">
        <v>427</v>
      </c>
      <c r="D143" s="27" t="n">
        <f aca="false">листопад!P143</f>
        <v>13725.86</v>
      </c>
      <c r="E143" s="27" t="n">
        <f aca="false">листопад!Q143</f>
        <v>0</v>
      </c>
      <c r="F143" s="27" t="n">
        <f aca="false">листопад!F143</f>
        <v>0</v>
      </c>
      <c r="G143" s="27" t="n">
        <f aca="false">листопад!G143</f>
        <v>65.65</v>
      </c>
      <c r="H143" s="27" t="n">
        <f aca="false">листопад!H143</f>
        <v>0</v>
      </c>
      <c r="I143" s="28" t="n">
        <f aca="false">листопад!I143</f>
        <v>4.1</v>
      </c>
      <c r="J143" s="27" t="n">
        <f aca="false">ROUND(G143*I143,2)</f>
        <v>269.17</v>
      </c>
      <c r="K143" s="27"/>
      <c r="L143" s="27"/>
      <c r="M143" s="27"/>
      <c r="N143" s="27" t="n">
        <f aca="false">ROUND((G143*I143)-K143-L143-M143,2)</f>
        <v>269.17</v>
      </c>
      <c r="O143" s="27"/>
      <c r="P143" s="27" t="n">
        <f aca="false">ROUND(IF(D143=0,IF((N143-E143-O143)&gt;0,(N143-E143-O143),0),IF((D143+N143-O143)&gt;0,(D143+N143-O143),0)),2)</f>
        <v>13995.03</v>
      </c>
      <c r="Q143" s="27" t="n">
        <f aca="false">ROUND(IF(E143=0,IF((D143+N143-O143)&lt;0,ABS(D143+N143-O143),0),IF((N143-E143-O143)&lt;0,ABS(N143-E143-O143),0)),2)</f>
        <v>0</v>
      </c>
      <c r="R143" s="17"/>
      <c r="S143" s="17"/>
    </row>
    <row r="144" customFormat="false" ht="15" hidden="false" customHeight="true" outlineLevel="0" collapsed="false">
      <c r="A144" s="8" t="s">
        <v>428</v>
      </c>
      <c r="B144" s="8" t="str">
        <f aca="false">листопад!B144</f>
        <v>Друзь О.О.</v>
      </c>
      <c r="C144" s="8" t="s">
        <v>430</v>
      </c>
      <c r="D144" s="27" t="n">
        <f aca="false">листопад!P144</f>
        <v>13748.26</v>
      </c>
      <c r="E144" s="27" t="n">
        <f aca="false">листопад!Q144</f>
        <v>0</v>
      </c>
      <c r="F144" s="27" t="n">
        <f aca="false">листопад!F144</f>
        <v>0</v>
      </c>
      <c r="G144" s="27" t="n">
        <f aca="false">листопад!G144</f>
        <v>62.1</v>
      </c>
      <c r="H144" s="27" t="n">
        <f aca="false">листопад!H144</f>
        <v>0</v>
      </c>
      <c r="I144" s="28" t="n">
        <f aca="false">листопад!I144</f>
        <v>4.1</v>
      </c>
      <c r="J144" s="27" t="n">
        <f aca="false">ROUND(G144*I144,2)</f>
        <v>254.61</v>
      </c>
      <c r="K144" s="27"/>
      <c r="L144" s="27"/>
      <c r="M144" s="27"/>
      <c r="N144" s="27" t="n">
        <f aca="false">ROUND((G144*I144)-K144-L144-M144,2)</f>
        <v>254.61</v>
      </c>
      <c r="O144" s="27"/>
      <c r="P144" s="27" t="n">
        <f aca="false">ROUND(IF(D144=0,IF((N144-E144-O144)&gt;0,(N144-E144-O144),0),IF((D144+N144-O144)&gt;0,(D144+N144-O144),0)),2)</f>
        <v>14002.87</v>
      </c>
      <c r="Q144" s="27" t="n">
        <f aca="false">ROUND(IF(E144=0,IF((D144+N144-O144)&lt;0,ABS(D144+N144-O144),0),IF((N144-E144-O144)&lt;0,ABS(N144-E144-O144),0)),2)</f>
        <v>0</v>
      </c>
      <c r="R144" s="17"/>
      <c r="S144" s="17"/>
    </row>
    <row r="145" customFormat="false" ht="15" hidden="false" customHeight="true" outlineLevel="0" collapsed="false">
      <c r="A145" s="8" t="s">
        <v>431</v>
      </c>
      <c r="B145" s="8" t="str">
        <f aca="false">листопад!B145</f>
        <v>Вовченко Р.І.</v>
      </c>
      <c r="C145" s="8" t="s">
        <v>433</v>
      </c>
      <c r="D145" s="27" t="n">
        <f aca="false">листопад!P145</f>
        <v>5126.24</v>
      </c>
      <c r="E145" s="27" t="n">
        <f aca="false">листопад!Q145</f>
        <v>0</v>
      </c>
      <c r="F145" s="27" t="n">
        <f aca="false">листопад!F145</f>
        <v>0</v>
      </c>
      <c r="G145" s="27" t="n">
        <f aca="false">листопад!G145</f>
        <v>35.2</v>
      </c>
      <c r="H145" s="27" t="n">
        <f aca="false">листопад!H145</f>
        <v>0</v>
      </c>
      <c r="I145" s="28" t="n">
        <f aca="false">листопад!I145</f>
        <v>4.1</v>
      </c>
      <c r="J145" s="27" t="n">
        <f aca="false">ROUND(G145*I145,2)</f>
        <v>144.32</v>
      </c>
      <c r="K145" s="27"/>
      <c r="L145" s="27"/>
      <c r="M145" s="27"/>
      <c r="N145" s="27" t="n">
        <f aca="false">ROUND((G145*I145)-K145-L145-M145,2)</f>
        <v>144.32</v>
      </c>
      <c r="O145" s="27"/>
      <c r="P145" s="27" t="n">
        <f aca="false">ROUND(IF(D145=0,IF((N145-E145-O145)&gt;0,(N145-E145-O145),0),IF((D145+N145-O145)&gt;0,(D145+N145-O145),0)),2)</f>
        <v>5270.56</v>
      </c>
      <c r="Q145" s="27" t="n">
        <f aca="false">ROUND(IF(E145=0,IF((D145+N145-O145)&lt;0,ABS(D145+N145-O145),0),IF((N145-E145-O145)&lt;0,ABS(N145-E145-O145),0)),2)</f>
        <v>0</v>
      </c>
      <c r="R145" s="17"/>
      <c r="S145" s="17"/>
    </row>
    <row r="146" customFormat="false" ht="15" hidden="false" customHeight="true" outlineLevel="0" collapsed="false">
      <c r="A146" s="8" t="s">
        <v>434</v>
      </c>
      <c r="B146" s="8" t="str">
        <f aca="false">листопад!B146</f>
        <v>Плакун Д.В.</v>
      </c>
      <c r="C146" s="8" t="s">
        <v>436</v>
      </c>
      <c r="D146" s="27" t="n">
        <f aca="false">листопад!P146</f>
        <v>2659.67</v>
      </c>
      <c r="E146" s="27" t="n">
        <f aca="false">листопад!Q146</f>
        <v>0</v>
      </c>
      <c r="F146" s="27" t="n">
        <f aca="false">листопад!F146</f>
        <v>0</v>
      </c>
      <c r="G146" s="27" t="n">
        <f aca="false">листопад!G146</f>
        <v>49.9</v>
      </c>
      <c r="H146" s="27" t="n">
        <f aca="false">листопад!H146</f>
        <v>0</v>
      </c>
      <c r="I146" s="28" t="n">
        <f aca="false">листопад!I146</f>
        <v>4.1</v>
      </c>
      <c r="J146" s="27" t="n">
        <f aca="false">ROUND(G146*I146,2)</f>
        <v>204.59</v>
      </c>
      <c r="K146" s="27"/>
      <c r="L146" s="27"/>
      <c r="M146" s="27"/>
      <c r="N146" s="27" t="n">
        <f aca="false">ROUND((G146*I146)-K146-L146-M146,2)</f>
        <v>204.59</v>
      </c>
      <c r="O146" s="27"/>
      <c r="P146" s="27" t="n">
        <f aca="false">ROUND(IF(D146=0,IF((N146-E146-O146)&gt;0,(N146-E146-O146),0),IF((D146+N146-O146)&gt;0,(D146+N146-O146),0)),2)</f>
        <v>2864.26</v>
      </c>
      <c r="Q146" s="27" t="n">
        <f aca="false">ROUND(IF(E146=0,IF((D146+N146-O146)&lt;0,ABS(D146+N146-O146),0),IF((N146-E146-O146)&lt;0,ABS(N146-E146-O146),0)),2)</f>
        <v>0</v>
      </c>
      <c r="R146" s="17"/>
      <c r="S146" s="17"/>
    </row>
    <row r="147" customFormat="false" ht="15" hidden="false" customHeight="true" outlineLevel="0" collapsed="false">
      <c r="A147" s="8" t="s">
        <v>437</v>
      </c>
      <c r="B147" s="8" t="str">
        <f aca="false">листопад!B147</f>
        <v>Гаврилова Ю.О.</v>
      </c>
      <c r="C147" s="8" t="s">
        <v>439</v>
      </c>
      <c r="D147" s="27" t="n">
        <f aca="false">листопад!P147</f>
        <v>7603.32</v>
      </c>
      <c r="E147" s="27" t="n">
        <f aca="false">листопад!Q147</f>
        <v>0</v>
      </c>
      <c r="F147" s="27" t="n">
        <f aca="false">листопад!F147</f>
        <v>0</v>
      </c>
      <c r="G147" s="27" t="n">
        <f aca="false">листопад!G147</f>
        <v>65.8</v>
      </c>
      <c r="H147" s="27" t="n">
        <f aca="false">листопад!H147</f>
        <v>0</v>
      </c>
      <c r="I147" s="28" t="n">
        <f aca="false">листопад!I147</f>
        <v>4.1</v>
      </c>
      <c r="J147" s="27" t="n">
        <f aca="false">ROUND(G147*I147,2)</f>
        <v>269.78</v>
      </c>
      <c r="K147" s="27"/>
      <c r="L147" s="27"/>
      <c r="M147" s="27"/>
      <c r="N147" s="27" t="n">
        <f aca="false">ROUND((G147*I147)-K147-L147-M147,2)</f>
        <v>269.78</v>
      </c>
      <c r="O147" s="27"/>
      <c r="P147" s="27" t="n">
        <f aca="false">ROUND(IF(D147=0,IF((N147-E147-O147)&gt;0,(N147-E147-O147),0),IF((D147+N147-O147)&gt;0,(D147+N147-O147),0)),2)</f>
        <v>7873.1</v>
      </c>
      <c r="Q147" s="27" t="n">
        <f aca="false">ROUND(IF(E147=0,IF((D147+N147-O147)&lt;0,ABS(D147+N147-O147),0),IF((N147-E147-O147)&lt;0,ABS(N147-E147-O147),0)),2)</f>
        <v>0</v>
      </c>
      <c r="R147" s="17"/>
      <c r="S147" s="17"/>
    </row>
    <row r="148" customFormat="false" ht="15" hidden="false" customHeight="true" outlineLevel="0" collapsed="false">
      <c r="A148" s="8" t="s">
        <v>440</v>
      </c>
      <c r="B148" s="8" t="str">
        <f aca="false">листопад!B148</f>
        <v>Корзун Г.М.</v>
      </c>
      <c r="C148" s="8" t="s">
        <v>442</v>
      </c>
      <c r="D148" s="27" t="n">
        <f aca="false">листопад!P148</f>
        <v>4107.16</v>
      </c>
      <c r="E148" s="27" t="n">
        <f aca="false">листопад!Q148</f>
        <v>0</v>
      </c>
      <c r="F148" s="27" t="n">
        <f aca="false">листопад!F148</f>
        <v>0</v>
      </c>
      <c r="G148" s="27" t="n">
        <f aca="false">листопад!G148</f>
        <v>63.2</v>
      </c>
      <c r="H148" s="27" t="n">
        <f aca="false">листопад!H148</f>
        <v>0</v>
      </c>
      <c r="I148" s="28" t="n">
        <f aca="false">листопад!I148</f>
        <v>4.1</v>
      </c>
      <c r="J148" s="27" t="n">
        <f aca="false">ROUND(G148*I148,2)</f>
        <v>259.12</v>
      </c>
      <c r="K148" s="27"/>
      <c r="L148" s="27"/>
      <c r="M148" s="27"/>
      <c r="N148" s="27" t="n">
        <f aca="false">ROUND((G148*I148)-K148-L148-M148,2)</f>
        <v>259.12</v>
      </c>
      <c r="O148" s="27"/>
      <c r="P148" s="27" t="n">
        <f aca="false">ROUND(IF(D148=0,IF((N148-E148-O148)&gt;0,(N148-E148-O148),0),IF((D148+N148-O148)&gt;0,(D148+N148-O148),0)),2)</f>
        <v>4366.28</v>
      </c>
      <c r="Q148" s="27" t="n">
        <f aca="false">ROUND(IF(E148=0,IF((D148+N148-O148)&lt;0,ABS(D148+N148-O148),0),IF((N148-E148-O148)&lt;0,ABS(N148-E148-O148),0)),2)</f>
        <v>0</v>
      </c>
      <c r="R148" s="17"/>
      <c r="S148" s="17"/>
    </row>
    <row r="149" customFormat="false" ht="15" hidden="false" customHeight="true" outlineLevel="0" collapsed="false">
      <c r="A149" s="8" t="s">
        <v>443</v>
      </c>
      <c r="B149" s="8" t="str">
        <f aca="false">листопад!B149</f>
        <v>Бондаренко Л.Л.</v>
      </c>
      <c r="C149" s="8" t="s">
        <v>445</v>
      </c>
      <c r="D149" s="27" t="n">
        <f aca="false">листопад!P149</f>
        <v>5579.98</v>
      </c>
      <c r="E149" s="27" t="n">
        <f aca="false">листопад!Q149</f>
        <v>0</v>
      </c>
      <c r="F149" s="27" t="n">
        <f aca="false">листопад!F149</f>
        <v>0</v>
      </c>
      <c r="G149" s="27" t="n">
        <f aca="false">листопад!G149</f>
        <v>34.9</v>
      </c>
      <c r="H149" s="27" t="n">
        <f aca="false">листопад!H149</f>
        <v>0</v>
      </c>
      <c r="I149" s="28" t="n">
        <f aca="false">листопад!I149</f>
        <v>4.1</v>
      </c>
      <c r="J149" s="27" t="n">
        <f aca="false">ROUND(G149*I149,2)</f>
        <v>143.09</v>
      </c>
      <c r="K149" s="27"/>
      <c r="L149" s="27"/>
      <c r="M149" s="27"/>
      <c r="N149" s="27" t="n">
        <f aca="false">ROUND((G149*I149)-K149-L149-M149,2)</f>
        <v>143.09</v>
      </c>
      <c r="O149" s="27"/>
      <c r="P149" s="27" t="n">
        <f aca="false">ROUND(IF(D149=0,IF((N149-E149-O149)&gt;0,(N149-E149-O149),0),IF((D149+N149-O149)&gt;0,(D149+N149-O149),0)),2)</f>
        <v>5723.07</v>
      </c>
      <c r="Q149" s="27" t="n">
        <f aca="false">ROUND(IF(E149=0,IF((D149+N149-O149)&lt;0,ABS(D149+N149-O149),0),IF((N149-E149-O149)&lt;0,ABS(N149-E149-O149),0)),2)</f>
        <v>0</v>
      </c>
      <c r="R149" s="17"/>
      <c r="S149" s="17"/>
    </row>
    <row r="150" customFormat="false" ht="15" hidden="false" customHeight="true" outlineLevel="0" collapsed="false">
      <c r="A150" s="8" t="s">
        <v>446</v>
      </c>
      <c r="B150" s="8" t="str">
        <f aca="false">листопад!B150</f>
        <v>Капелюш Н.А.</v>
      </c>
      <c r="C150" s="8" t="s">
        <v>448</v>
      </c>
      <c r="D150" s="27" t="n">
        <f aca="false">листопад!P150</f>
        <v>11778.48</v>
      </c>
      <c r="E150" s="27" t="n">
        <f aca="false">листопад!Q150</f>
        <v>0</v>
      </c>
      <c r="F150" s="27" t="n">
        <f aca="false">листопад!F150</f>
        <v>0</v>
      </c>
      <c r="G150" s="27" t="n">
        <f aca="false">листопад!G150</f>
        <v>50.4</v>
      </c>
      <c r="H150" s="27" t="n">
        <f aca="false">листопад!H150</f>
        <v>0</v>
      </c>
      <c r="I150" s="28" t="n">
        <f aca="false">листопад!I150</f>
        <v>4.1</v>
      </c>
      <c r="J150" s="27" t="n">
        <f aca="false">ROUND(G150*I150,2)</f>
        <v>206.64</v>
      </c>
      <c r="K150" s="27"/>
      <c r="L150" s="27"/>
      <c r="M150" s="27"/>
      <c r="N150" s="27" t="n">
        <f aca="false">ROUND((G150*I150)-K150-L150-M150,2)</f>
        <v>206.64</v>
      </c>
      <c r="O150" s="27"/>
      <c r="P150" s="27" t="n">
        <f aca="false">ROUND(IF(D150=0,IF((N150-E150-O150)&gt;0,(N150-E150-O150),0),IF((D150+N150-O150)&gt;0,(D150+N150-O150),0)),2)</f>
        <v>11985.12</v>
      </c>
      <c r="Q150" s="27" t="n">
        <f aca="false">ROUND(IF(E150=0,IF((D150+N150-O150)&lt;0,ABS(D150+N150-O150),0),IF((N150-E150-O150)&lt;0,ABS(N150-E150-O150),0)),2)</f>
        <v>0</v>
      </c>
      <c r="R150" s="17"/>
      <c r="S150" s="17"/>
    </row>
    <row r="151" customFormat="false" ht="15" hidden="false" customHeight="true" outlineLevel="0" collapsed="false">
      <c r="A151" s="8" t="s">
        <v>449</v>
      </c>
      <c r="B151" s="8" t="str">
        <f aca="false">листопад!B151</f>
        <v>Кістрінь Л.П.</v>
      </c>
      <c r="C151" s="8" t="s">
        <v>451</v>
      </c>
      <c r="D151" s="27" t="n">
        <f aca="false">листопад!P151</f>
        <v>15559.29</v>
      </c>
      <c r="E151" s="27" t="n">
        <f aca="false">листопад!Q151</f>
        <v>0</v>
      </c>
      <c r="F151" s="27" t="n">
        <f aca="false">листопад!F151</f>
        <v>0</v>
      </c>
      <c r="G151" s="27" t="n">
        <f aca="false">листопад!G151</f>
        <v>65.2</v>
      </c>
      <c r="H151" s="27" t="n">
        <f aca="false">листопад!H151</f>
        <v>0</v>
      </c>
      <c r="I151" s="28" t="n">
        <f aca="false">листопад!I151</f>
        <v>4.1</v>
      </c>
      <c r="J151" s="27" t="n">
        <f aca="false">ROUND(G151*I151,2)</f>
        <v>267.32</v>
      </c>
      <c r="K151" s="27"/>
      <c r="L151" s="27"/>
      <c r="M151" s="27"/>
      <c r="N151" s="27" t="n">
        <f aca="false">ROUND((G151*I151)-K151-L151-M151,2)</f>
        <v>267.32</v>
      </c>
      <c r="O151" s="27"/>
      <c r="P151" s="27" t="n">
        <f aca="false">ROUND(IF(D151=0,IF((N151-E151-O151)&gt;0,(N151-E151-O151),0),IF((D151+N151-O151)&gt;0,(D151+N151-O151),0)),2)</f>
        <v>15826.61</v>
      </c>
      <c r="Q151" s="27" t="n">
        <f aca="false">ROUND(IF(E151=0,IF((D151+N151-O151)&lt;0,ABS(D151+N151-O151),0),IF((N151-E151-O151)&lt;0,ABS(N151-E151-O151),0)),2)</f>
        <v>0</v>
      </c>
      <c r="R151" s="17"/>
      <c r="S151" s="17"/>
    </row>
    <row r="152" customFormat="false" ht="15" hidden="false" customHeight="true" outlineLevel="0" collapsed="false">
      <c r="A152" s="8" t="s">
        <v>452</v>
      </c>
      <c r="B152" s="8" t="str">
        <f aca="false">листопад!B152</f>
        <v>Козьміна І.В.</v>
      </c>
      <c r="C152" s="8" t="s">
        <v>454</v>
      </c>
      <c r="D152" s="27" t="n">
        <f aca="false">листопад!P152</f>
        <v>4765.32</v>
      </c>
      <c r="E152" s="27" t="n">
        <f aca="false">листопад!Q152</f>
        <v>0</v>
      </c>
      <c r="F152" s="27" t="n">
        <f aca="false">листопад!F152</f>
        <v>0</v>
      </c>
      <c r="G152" s="27" t="n">
        <f aca="false">листопад!G152</f>
        <v>64.57</v>
      </c>
      <c r="H152" s="27" t="n">
        <f aca="false">листопад!H152</f>
        <v>0</v>
      </c>
      <c r="I152" s="28" t="n">
        <f aca="false">листопад!I152</f>
        <v>4.1</v>
      </c>
      <c r="J152" s="27" t="n">
        <f aca="false">ROUND(G152*I152,2)</f>
        <v>264.74</v>
      </c>
      <c r="K152" s="27"/>
      <c r="L152" s="27"/>
      <c r="M152" s="27"/>
      <c r="N152" s="27" t="n">
        <f aca="false">ROUND((G152*I152)-K152-L152-M152,2)</f>
        <v>264.74</v>
      </c>
      <c r="O152" s="27"/>
      <c r="P152" s="27" t="n">
        <f aca="false">ROUND(IF(D152=0,IF((N152-E152-O152)&gt;0,(N152-E152-O152),0),IF((D152+N152-O152)&gt;0,(D152+N152-O152),0)),2)</f>
        <v>5030.06</v>
      </c>
      <c r="Q152" s="27" t="n">
        <f aca="false">ROUND(IF(E152=0,IF((D152+N152-O152)&lt;0,ABS(D152+N152-O152),0),IF((N152-E152-O152)&lt;0,ABS(N152-E152-O152),0)),2)</f>
        <v>0</v>
      </c>
      <c r="R152" s="17"/>
      <c r="S152" s="17"/>
    </row>
    <row r="153" customFormat="false" ht="15" hidden="false" customHeight="true" outlineLevel="0" collapsed="false">
      <c r="A153" s="8" t="s">
        <v>455</v>
      </c>
      <c r="B153" s="8" t="str">
        <f aca="false">листопад!B153</f>
        <v>Чала С.С.</v>
      </c>
      <c r="C153" s="8" t="s">
        <v>457</v>
      </c>
      <c r="D153" s="27" t="n">
        <f aca="false">листопад!P153</f>
        <v>13236.58</v>
      </c>
      <c r="E153" s="27" t="n">
        <f aca="false">листопад!Q153</f>
        <v>0</v>
      </c>
      <c r="F153" s="27" t="n">
        <f aca="false">листопад!F153</f>
        <v>0</v>
      </c>
      <c r="G153" s="27" t="n">
        <f aca="false">листопад!G153</f>
        <v>48.7</v>
      </c>
      <c r="H153" s="27" t="n">
        <f aca="false">листопад!H153</f>
        <v>0</v>
      </c>
      <c r="I153" s="28" t="n">
        <f aca="false">листопад!I153</f>
        <v>4.1</v>
      </c>
      <c r="J153" s="27" t="n">
        <f aca="false">ROUND(G153*I153,2)</f>
        <v>199.67</v>
      </c>
      <c r="K153" s="27"/>
      <c r="L153" s="27"/>
      <c r="M153" s="27"/>
      <c r="N153" s="27" t="n">
        <f aca="false">ROUND((G153*I153)-K153-L153-M153,2)</f>
        <v>199.67</v>
      </c>
      <c r="O153" s="27"/>
      <c r="P153" s="27" t="n">
        <f aca="false">ROUND(IF(D153=0,IF((N153-E153-O153)&gt;0,(N153-E153-O153),0),IF((D153+N153-O153)&gt;0,(D153+N153-O153),0)),2)</f>
        <v>13436.25</v>
      </c>
      <c r="Q153" s="27" t="n">
        <f aca="false">ROUND(IF(E153=0,IF((D153+N153-O153)&lt;0,ABS(D153+N153-O153),0),IF((N153-E153-O153)&lt;0,ABS(N153-E153-O153),0)),2)</f>
        <v>0</v>
      </c>
      <c r="R153" s="17"/>
      <c r="S153" s="17"/>
    </row>
    <row r="154" customFormat="false" ht="15" hidden="false" customHeight="true" outlineLevel="0" collapsed="false">
      <c r="A154" s="8" t="s">
        <v>458</v>
      </c>
      <c r="B154" s="8" t="str">
        <f aca="false">листопад!B154</f>
        <v>Свєтайлова І.М.</v>
      </c>
      <c r="C154" s="8" t="s">
        <v>460</v>
      </c>
      <c r="D154" s="27" t="n">
        <f aca="false">листопад!P154</f>
        <v>2531.78</v>
      </c>
      <c r="E154" s="27" t="n">
        <f aca="false">листопад!Q154</f>
        <v>0</v>
      </c>
      <c r="F154" s="27" t="n">
        <f aca="false">листопад!F154</f>
        <v>0</v>
      </c>
      <c r="G154" s="27" t="n">
        <f aca="false">листопад!G154</f>
        <v>35.1</v>
      </c>
      <c r="H154" s="27" t="n">
        <f aca="false">листопад!H154</f>
        <v>0</v>
      </c>
      <c r="I154" s="28" t="n">
        <f aca="false">листопад!I154</f>
        <v>4.1</v>
      </c>
      <c r="J154" s="27" t="n">
        <f aca="false">ROUND(G154*I154,2)</f>
        <v>143.91</v>
      </c>
      <c r="K154" s="27"/>
      <c r="L154" s="27"/>
      <c r="M154" s="27"/>
      <c r="N154" s="27" t="n">
        <f aca="false">ROUND((G154*I154)-K154-L154-M154,2)</f>
        <v>143.91</v>
      </c>
      <c r="O154" s="27"/>
      <c r="P154" s="27" t="n">
        <f aca="false">ROUND(IF(D154=0,IF((N154-E154-O154)&gt;0,(N154-E154-O154),0),IF((D154+N154-O154)&gt;0,(D154+N154-O154),0)),2)</f>
        <v>2675.69</v>
      </c>
      <c r="Q154" s="27" t="n">
        <f aca="false">ROUND(IF(E154=0,IF((D154+N154-O154)&lt;0,ABS(D154+N154-O154),0),IF((N154-E154-O154)&lt;0,ABS(N154-E154-O154),0)),2)</f>
        <v>0</v>
      </c>
      <c r="R154" s="17"/>
      <c r="S154" s="17"/>
    </row>
    <row r="155" customFormat="false" ht="15" hidden="false" customHeight="true" outlineLevel="0" collapsed="false">
      <c r="A155" s="8" t="s">
        <v>461</v>
      </c>
      <c r="B155" s="8" t="str">
        <f aca="false">листопад!B155</f>
        <v>Неделько Д.І.</v>
      </c>
      <c r="C155" s="8" t="s">
        <v>463</v>
      </c>
      <c r="D155" s="27" t="n">
        <f aca="false">листопад!P155</f>
        <v>9005.24</v>
      </c>
      <c r="E155" s="27" t="n">
        <f aca="false">листопад!Q155</f>
        <v>0</v>
      </c>
      <c r="F155" s="27" t="n">
        <f aca="false">листопад!F155</f>
        <v>0</v>
      </c>
      <c r="G155" s="27" t="n">
        <f aca="false">листопад!G155</f>
        <v>53.57</v>
      </c>
      <c r="H155" s="27" t="n">
        <f aca="false">листопад!H155</f>
        <v>0</v>
      </c>
      <c r="I155" s="28" t="n">
        <f aca="false">листопад!I155</f>
        <v>4.1</v>
      </c>
      <c r="J155" s="27" t="n">
        <f aca="false">ROUND(G155*I155,2)</f>
        <v>219.64</v>
      </c>
      <c r="K155" s="27"/>
      <c r="L155" s="27"/>
      <c r="M155" s="27"/>
      <c r="N155" s="27" t="n">
        <f aca="false">ROUND((G155*I155)-K155-L155-M155,2)</f>
        <v>219.64</v>
      </c>
      <c r="O155" s="27"/>
      <c r="P155" s="27" t="n">
        <f aca="false">ROUND(IF(D155=0,IF((N155-E155-O155)&gt;0,(N155-E155-O155),0),IF((D155+N155-O155)&gt;0,(D155+N155-O155),0)),2)</f>
        <v>9224.88</v>
      </c>
      <c r="Q155" s="27" t="n">
        <f aca="false">ROUND(IF(E155=0,IF((D155+N155-O155)&lt;0,ABS(D155+N155-O155),0),IF((N155-E155-O155)&lt;0,ABS(N155-E155-O155),0)),2)</f>
        <v>0</v>
      </c>
      <c r="R155" s="17"/>
      <c r="S155" s="17"/>
    </row>
    <row r="156" customFormat="false" ht="15" hidden="false" customHeight="true" outlineLevel="0" collapsed="false">
      <c r="A156" s="8" t="s">
        <v>464</v>
      </c>
      <c r="B156" s="8" t="str">
        <f aca="false">листопад!B156</f>
        <v>Самойленко Л.К.</v>
      </c>
      <c r="C156" s="8" t="s">
        <v>466</v>
      </c>
      <c r="D156" s="27" t="n">
        <f aca="false">листопад!P156</f>
        <v>604.69</v>
      </c>
      <c r="E156" s="27" t="n">
        <f aca="false">листопад!Q156</f>
        <v>0</v>
      </c>
      <c r="F156" s="27" t="n">
        <f aca="false">листопад!F156</f>
        <v>0</v>
      </c>
      <c r="G156" s="27" t="n">
        <f aca="false">листопад!G156</f>
        <v>65.7</v>
      </c>
      <c r="H156" s="27" t="n">
        <f aca="false">листопад!H156</f>
        <v>0</v>
      </c>
      <c r="I156" s="28" t="n">
        <f aca="false">листопад!I156</f>
        <v>4.1</v>
      </c>
      <c r="J156" s="27" t="n">
        <f aca="false">ROUND(G156*I156,2)</f>
        <v>269.37</v>
      </c>
      <c r="K156" s="27"/>
      <c r="L156" s="27"/>
      <c r="M156" s="27"/>
      <c r="N156" s="27" t="n">
        <f aca="false">ROUND((G156*I156)-K156-L156-M156,2)</f>
        <v>269.37</v>
      </c>
      <c r="O156" s="27"/>
      <c r="P156" s="27" t="n">
        <f aca="false">ROUND(IF(D156=0,IF((N156-E156-O156)&gt;0,(N156-E156-O156),0),IF((D156+N156-O156)&gt;0,(D156+N156-O156),0)),2)</f>
        <v>874.06</v>
      </c>
      <c r="Q156" s="27" t="n">
        <f aca="false">ROUND(IF(E156=0,IF((D156+N156-O156)&lt;0,ABS(D156+N156-O156),0),IF((N156-E156-O156)&lt;0,ABS(N156-E156-O156),0)),2)</f>
        <v>0</v>
      </c>
      <c r="R156" s="17"/>
      <c r="S156" s="17"/>
    </row>
    <row r="157" customFormat="false" ht="15" hidden="false" customHeight="true" outlineLevel="0" collapsed="false">
      <c r="A157" s="8" t="s">
        <v>467</v>
      </c>
      <c r="B157" s="8" t="str">
        <f aca="false">листопад!B157</f>
        <v>Павлов Ю.В.</v>
      </c>
      <c r="C157" s="8" t="s">
        <v>469</v>
      </c>
      <c r="D157" s="27" t="n">
        <f aca="false">листопад!P157</f>
        <v>4670.48</v>
      </c>
      <c r="E157" s="27" t="n">
        <f aca="false">листопад!Q157</f>
        <v>0</v>
      </c>
      <c r="F157" s="27" t="n">
        <f aca="false">листопад!F157</f>
        <v>0</v>
      </c>
      <c r="G157" s="27" t="n">
        <f aca="false">листопад!G157</f>
        <v>49.78</v>
      </c>
      <c r="H157" s="27" t="n">
        <f aca="false">листопад!H157</f>
        <v>0</v>
      </c>
      <c r="I157" s="28" t="n">
        <f aca="false">листопад!I157</f>
        <v>4.1</v>
      </c>
      <c r="J157" s="27" t="n">
        <f aca="false">ROUND(G157*I157,2)</f>
        <v>204.1</v>
      </c>
      <c r="K157" s="27"/>
      <c r="L157" s="27"/>
      <c r="M157" s="27"/>
      <c r="N157" s="27" t="n">
        <f aca="false">ROUND((G157*I157)-K157-L157-M157,2)</f>
        <v>204.1</v>
      </c>
      <c r="O157" s="27"/>
      <c r="P157" s="27" t="n">
        <f aca="false">ROUND(IF(D157=0,IF((N157-E157-O157)&gt;0,(N157-E157-O157),0),IF((D157+N157-O157)&gt;0,(D157+N157-O157),0)),2)</f>
        <v>4874.58</v>
      </c>
      <c r="Q157" s="27" t="n">
        <f aca="false">ROUND(IF(E157=0,IF((D157+N157-O157)&lt;0,ABS(D157+N157-O157),0),IF((N157-E157-O157)&lt;0,ABS(N157-E157-O157),0)),2)</f>
        <v>0</v>
      </c>
      <c r="R157" s="17"/>
      <c r="S157" s="17"/>
    </row>
    <row r="158" customFormat="false" ht="15" hidden="false" customHeight="true" outlineLevel="0" collapsed="false">
      <c r="A158" s="8" t="s">
        <v>470</v>
      </c>
      <c r="B158" s="8" t="str">
        <f aca="false">листопад!B158</f>
        <v>Коваленко Т.М.</v>
      </c>
      <c r="C158" s="8" t="s">
        <v>472</v>
      </c>
      <c r="D158" s="27" t="n">
        <f aca="false">листопад!P158</f>
        <v>1865.5</v>
      </c>
      <c r="E158" s="27" t="n">
        <f aca="false">листопад!Q158</f>
        <v>0</v>
      </c>
      <c r="F158" s="27" t="n">
        <f aca="false">листопад!F158</f>
        <v>0</v>
      </c>
      <c r="G158" s="27" t="n">
        <f aca="false">листопад!G158</f>
        <v>35</v>
      </c>
      <c r="H158" s="27" t="n">
        <f aca="false">листопад!H158</f>
        <v>0</v>
      </c>
      <c r="I158" s="28" t="n">
        <f aca="false">листопад!I158</f>
        <v>4.1</v>
      </c>
      <c r="J158" s="27" t="n">
        <f aca="false">ROUND(G158*I158,2)</f>
        <v>143.5</v>
      </c>
      <c r="K158" s="27"/>
      <c r="L158" s="27"/>
      <c r="M158" s="27"/>
      <c r="N158" s="27" t="n">
        <f aca="false">ROUND((G158*I158)-K158-L158-M158,2)</f>
        <v>143.5</v>
      </c>
      <c r="O158" s="27"/>
      <c r="P158" s="27" t="n">
        <f aca="false">ROUND(IF(D158=0,IF((N158-E158-O158)&gt;0,(N158-E158-O158),0),IF((D158+N158-O158)&gt;0,(D158+N158-O158),0)),2)</f>
        <v>2009</v>
      </c>
      <c r="Q158" s="27" t="n">
        <f aca="false">ROUND(IF(E158=0,IF((D158+N158-O158)&lt;0,ABS(D158+N158-O158),0),IF((N158-E158-O158)&lt;0,ABS(N158-E158-O158),0)),2)</f>
        <v>0</v>
      </c>
      <c r="R158" s="17"/>
      <c r="S158" s="17"/>
    </row>
    <row r="159" customFormat="false" ht="15" hidden="false" customHeight="true" outlineLevel="0" collapsed="false">
      <c r="A159" s="8" t="s">
        <v>473</v>
      </c>
      <c r="B159" s="8" t="str">
        <f aca="false">листопад!B159</f>
        <v>Рощенко Л.Б.</v>
      </c>
      <c r="C159" s="8" t="s">
        <v>475</v>
      </c>
      <c r="D159" s="27" t="n">
        <f aca="false">листопад!P159</f>
        <v>12694.8</v>
      </c>
      <c r="E159" s="27" t="n">
        <f aca="false">листопад!Q159</f>
        <v>0</v>
      </c>
      <c r="F159" s="27" t="n">
        <f aca="false">листопад!F159</f>
        <v>0</v>
      </c>
      <c r="G159" s="27" t="n">
        <f aca="false">листопад!G159</f>
        <v>62.08</v>
      </c>
      <c r="H159" s="27" t="n">
        <f aca="false">листопад!H159</f>
        <v>0</v>
      </c>
      <c r="I159" s="28" t="n">
        <f aca="false">листопад!I159</f>
        <v>4.1</v>
      </c>
      <c r="J159" s="27" t="n">
        <f aca="false">ROUND(G159*I159,2)</f>
        <v>254.53</v>
      </c>
      <c r="K159" s="27"/>
      <c r="L159" s="27"/>
      <c r="M159" s="27"/>
      <c r="N159" s="27" t="n">
        <f aca="false">ROUND((G159*I159)-K159-L159-M159,2)</f>
        <v>254.53</v>
      </c>
      <c r="O159" s="27"/>
      <c r="P159" s="27" t="n">
        <f aca="false">ROUND(IF(D159=0,IF((N159-E159-O159)&gt;0,(N159-E159-O159),0),IF((D159+N159-O159)&gt;0,(D159+N159-O159),0)),2)</f>
        <v>12949.33</v>
      </c>
      <c r="Q159" s="27" t="n">
        <f aca="false">ROUND(IF(E159=0,IF((D159+N159-O159)&lt;0,ABS(D159+N159-O159),0),IF((N159-E159-O159)&lt;0,ABS(N159-E159-O159),0)),2)</f>
        <v>0</v>
      </c>
      <c r="R159" s="17"/>
      <c r="S159" s="17"/>
    </row>
    <row r="160" customFormat="false" ht="15" hidden="false" customHeight="true" outlineLevel="0" collapsed="false">
      <c r="A160" s="8" t="s">
        <v>476</v>
      </c>
      <c r="B160" s="8" t="str">
        <f aca="false">листопад!B160</f>
        <v>Галушко С.Т.</v>
      </c>
      <c r="C160" s="8" t="s">
        <v>478</v>
      </c>
      <c r="D160" s="27" t="n">
        <f aca="false">листопад!P160</f>
        <v>2700.3</v>
      </c>
      <c r="E160" s="27" t="n">
        <f aca="false">листопад!Q160</f>
        <v>0</v>
      </c>
      <c r="F160" s="27" t="n">
        <f aca="false">листопад!F160</f>
        <v>0</v>
      </c>
      <c r="G160" s="27" t="n">
        <f aca="false">листопад!G160</f>
        <v>65.86</v>
      </c>
      <c r="H160" s="27" t="n">
        <f aca="false">листопад!H160</f>
        <v>0</v>
      </c>
      <c r="I160" s="28" t="n">
        <f aca="false">листопад!I160</f>
        <v>4.1</v>
      </c>
      <c r="J160" s="27" t="n">
        <f aca="false">ROUND(G160*I160,2)</f>
        <v>270.03</v>
      </c>
      <c r="K160" s="27"/>
      <c r="L160" s="27"/>
      <c r="M160" s="27"/>
      <c r="N160" s="27" t="n">
        <f aca="false">ROUND((G160*I160)-K160-L160-M160,2)</f>
        <v>270.03</v>
      </c>
      <c r="O160" s="27"/>
      <c r="P160" s="27" t="n">
        <f aca="false">ROUND(IF(D160=0,IF((N160-E160-O160)&gt;0,(N160-E160-O160),0),IF((D160+N160-O160)&gt;0,(D160+N160-O160),0)),2)</f>
        <v>2970.33</v>
      </c>
      <c r="Q160" s="27" t="n">
        <f aca="false">ROUND(IF(E160=0,IF((D160+N160-O160)&lt;0,ABS(D160+N160-O160),0),IF((N160-E160-O160)&lt;0,ABS(N160-E160-O160),0)),2)</f>
        <v>0</v>
      </c>
      <c r="R160" s="17"/>
      <c r="S160" s="17"/>
    </row>
    <row r="161" customFormat="false" ht="15" hidden="false" customHeight="true" outlineLevel="0" collapsed="false">
      <c r="A161" s="8" t="s">
        <v>479</v>
      </c>
      <c r="B161" s="8" t="str">
        <f aca="false">листопад!B161</f>
        <v>Наумова Л.Я.</v>
      </c>
      <c r="C161" s="8" t="s">
        <v>481</v>
      </c>
      <c r="D161" s="27" t="n">
        <f aca="false">листопад!P161</f>
        <v>2215.2</v>
      </c>
      <c r="E161" s="27" t="n">
        <f aca="false">листопад!Q161</f>
        <v>0</v>
      </c>
      <c r="F161" s="27" t="n">
        <f aca="false">листопад!F161</f>
        <v>0</v>
      </c>
      <c r="G161" s="27" t="n">
        <f aca="false">листопад!G161</f>
        <v>49.95</v>
      </c>
      <c r="H161" s="27" t="n">
        <f aca="false">листопад!H161</f>
        <v>0</v>
      </c>
      <c r="I161" s="28" t="n">
        <f aca="false">листопад!I161</f>
        <v>4.1</v>
      </c>
      <c r="J161" s="27" t="n">
        <f aca="false">ROUND(G161*I161,2)</f>
        <v>204.8</v>
      </c>
      <c r="K161" s="27"/>
      <c r="L161" s="27"/>
      <c r="M161" s="27"/>
      <c r="N161" s="27" t="n">
        <f aca="false">ROUND((G161*I161)-K161-L161-M161,2)</f>
        <v>204.8</v>
      </c>
      <c r="O161" s="27"/>
      <c r="P161" s="27" t="n">
        <f aca="false">ROUND(IF(D161=0,IF((N161-E161-O161)&gt;0,(N161-E161-O161),0),IF((D161+N161-O161)&gt;0,(D161+N161-O161),0)),2)</f>
        <v>2420</v>
      </c>
      <c r="Q161" s="27" t="n">
        <f aca="false">ROUND(IF(E161=0,IF((D161+N161-O161)&lt;0,ABS(D161+N161-O161),0),IF((N161-E161-O161)&lt;0,ABS(N161-E161-O161),0)),2)</f>
        <v>0</v>
      </c>
      <c r="R161" s="17"/>
      <c r="S161" s="17"/>
    </row>
    <row r="162" customFormat="false" ht="15" hidden="false" customHeight="true" outlineLevel="0" collapsed="false">
      <c r="A162" s="8" t="s">
        <v>482</v>
      </c>
      <c r="B162" s="8" t="str">
        <f aca="false">листопад!B162</f>
        <v>Грєк В.С.</v>
      </c>
      <c r="C162" s="8" t="s">
        <v>484</v>
      </c>
      <c r="D162" s="27" t="n">
        <f aca="false">листопад!P162</f>
        <v>127.99</v>
      </c>
      <c r="E162" s="27" t="n">
        <f aca="false">листопад!Q162</f>
        <v>0</v>
      </c>
      <c r="F162" s="27" t="n">
        <f aca="false">листопад!F162</f>
        <v>0</v>
      </c>
      <c r="G162" s="27" t="n">
        <f aca="false">листопад!G162</f>
        <v>33.9</v>
      </c>
      <c r="H162" s="27" t="n">
        <f aca="false">листопад!H162</f>
        <v>0</v>
      </c>
      <c r="I162" s="28" t="n">
        <f aca="false">листопад!I162</f>
        <v>4.1</v>
      </c>
      <c r="J162" s="27" t="n">
        <f aca="false">ROUND(G162*I162,2)</f>
        <v>138.99</v>
      </c>
      <c r="K162" s="27"/>
      <c r="L162" s="27"/>
      <c r="M162" s="27"/>
      <c r="N162" s="27" t="n">
        <f aca="false">ROUND((G162*I162)-K162-L162-M162,2)</f>
        <v>138.99</v>
      </c>
      <c r="O162" s="27"/>
      <c r="P162" s="27" t="n">
        <f aca="false">ROUND(IF(D162=0,IF((N162-E162-O162)&gt;0,(N162-E162-O162),0),IF((D162+N162-O162)&gt;0,(D162+N162-O162),0)),2)</f>
        <v>266.98</v>
      </c>
      <c r="Q162" s="27" t="n">
        <f aca="false">ROUND(IF(E162=0,IF((D162+N162-O162)&lt;0,ABS(D162+N162-O162),0),IF((N162-E162-O162)&lt;0,ABS(N162-E162-O162),0)),2)</f>
        <v>0</v>
      </c>
      <c r="R162" s="17"/>
      <c r="S162" s="17"/>
    </row>
    <row r="163" customFormat="false" ht="15" hidden="false" customHeight="true" outlineLevel="0" collapsed="false">
      <c r="A163" s="8" t="s">
        <v>485</v>
      </c>
      <c r="B163" s="8" t="str">
        <f aca="false">листопад!B163</f>
        <v>Пермінов О.А.</v>
      </c>
      <c r="C163" s="8" t="s">
        <v>487</v>
      </c>
      <c r="D163" s="27" t="n">
        <f aca="false">листопад!P163</f>
        <v>3684.76</v>
      </c>
      <c r="E163" s="27" t="n">
        <f aca="false">листопад!Q163</f>
        <v>0</v>
      </c>
      <c r="F163" s="27" t="n">
        <f aca="false">листопад!F163</f>
        <v>0</v>
      </c>
      <c r="G163" s="27" t="n">
        <f aca="false">листопад!G163</f>
        <v>62.43</v>
      </c>
      <c r="H163" s="27" t="n">
        <f aca="false">листопад!H163</f>
        <v>0</v>
      </c>
      <c r="I163" s="28" t="n">
        <f aca="false">листопад!I163</f>
        <v>4.1</v>
      </c>
      <c r="J163" s="27" t="n">
        <f aca="false">ROUND(G163*I163,2)</f>
        <v>255.96</v>
      </c>
      <c r="K163" s="27"/>
      <c r="L163" s="27"/>
      <c r="M163" s="27"/>
      <c r="N163" s="27" t="n">
        <f aca="false">ROUND((G163*I163)-K163-L163-M163,2)</f>
        <v>255.96</v>
      </c>
      <c r="O163" s="27"/>
      <c r="P163" s="27" t="n">
        <f aca="false">ROUND(IF(D163=0,IF((N163-E163-O163)&gt;0,(N163-E163-O163),0),IF((D163+N163-O163)&gt;0,(D163+N163-O163),0)),2)</f>
        <v>3940.72</v>
      </c>
      <c r="Q163" s="27" t="n">
        <f aca="false">ROUND(IF(E163=0,IF((D163+N163-O163)&lt;0,ABS(D163+N163-O163),0),IF((N163-E163-O163)&lt;0,ABS(N163-E163-O163),0)),2)</f>
        <v>0</v>
      </c>
      <c r="R163" s="17"/>
      <c r="S163" s="17"/>
    </row>
    <row r="164" customFormat="false" ht="15" hidden="false" customHeight="true" outlineLevel="0" collapsed="false">
      <c r="A164" s="8" t="s">
        <v>488</v>
      </c>
      <c r="B164" s="8" t="str">
        <f aca="false">листопад!B164</f>
        <v>Рябчук Л.П.</v>
      </c>
      <c r="C164" s="8" t="s">
        <v>490</v>
      </c>
      <c r="D164" s="27" t="n">
        <f aca="false">листопад!P164</f>
        <v>9888.16</v>
      </c>
      <c r="E164" s="27" t="n">
        <f aca="false">листопад!Q164</f>
        <v>0</v>
      </c>
      <c r="F164" s="27" t="n">
        <f aca="false">листопад!F164</f>
        <v>0</v>
      </c>
      <c r="G164" s="27" t="n">
        <f aca="false">листопад!G164</f>
        <v>64.8</v>
      </c>
      <c r="H164" s="27" t="n">
        <f aca="false">листопад!H164</f>
        <v>0</v>
      </c>
      <c r="I164" s="28" t="n">
        <f aca="false">листопад!I164</f>
        <v>4.1</v>
      </c>
      <c r="J164" s="27" t="n">
        <f aca="false">ROUND(G164*I164,2)</f>
        <v>265.68</v>
      </c>
      <c r="K164" s="27"/>
      <c r="L164" s="27"/>
      <c r="M164" s="27"/>
      <c r="N164" s="27" t="n">
        <f aca="false">ROUND((G164*I164)-K164-L164-M164,2)</f>
        <v>265.68</v>
      </c>
      <c r="O164" s="27"/>
      <c r="P164" s="27" t="n">
        <f aca="false">ROUND(IF(D164=0,IF((N164-E164-O164)&gt;0,(N164-E164-O164),0),IF((D164+N164-O164)&gt;0,(D164+N164-O164),0)),2)</f>
        <v>10153.84</v>
      </c>
      <c r="Q164" s="27" t="n">
        <f aca="false">ROUND(IF(E164=0,IF((D164+N164-O164)&lt;0,ABS(D164+N164-O164),0),IF((N164-E164-O164)&lt;0,ABS(N164-E164-O164),0)),2)</f>
        <v>0</v>
      </c>
      <c r="R164" s="17"/>
      <c r="S164" s="17"/>
    </row>
    <row r="165" customFormat="false" ht="15" hidden="false" customHeight="true" outlineLevel="0" collapsed="false">
      <c r="A165" s="8" t="s">
        <v>491</v>
      </c>
      <c r="B165" s="8" t="str">
        <f aca="false">листопад!B165</f>
        <v>Копасова Л.Б.</v>
      </c>
      <c r="C165" s="8" t="s">
        <v>493</v>
      </c>
      <c r="D165" s="27" t="n">
        <f aca="false">листопад!P165</f>
        <v>2227.94</v>
      </c>
      <c r="E165" s="27" t="n">
        <f aca="false">листопад!Q165</f>
        <v>0</v>
      </c>
      <c r="F165" s="27" t="n">
        <f aca="false">листопад!F165</f>
        <v>0</v>
      </c>
      <c r="G165" s="27" t="n">
        <f aca="false">листопад!G165</f>
        <v>49.4</v>
      </c>
      <c r="H165" s="27" t="n">
        <f aca="false">листопад!H165</f>
        <v>0</v>
      </c>
      <c r="I165" s="28" t="n">
        <f aca="false">листопад!I165</f>
        <v>4.1</v>
      </c>
      <c r="J165" s="27" t="n">
        <f aca="false">ROUND(G165*I165,2)</f>
        <v>202.54</v>
      </c>
      <c r="K165" s="27"/>
      <c r="L165" s="27"/>
      <c r="M165" s="27"/>
      <c r="N165" s="27" t="n">
        <f aca="false">ROUND((G165*I165)-K165-L165-M165,2)</f>
        <v>202.54</v>
      </c>
      <c r="O165" s="27"/>
      <c r="P165" s="27" t="n">
        <f aca="false">ROUND(IF(D165=0,IF((N165-E165-O165)&gt;0,(N165-E165-O165),0),IF((D165+N165-O165)&gt;0,(D165+N165-O165),0)),2)</f>
        <v>2430.48</v>
      </c>
      <c r="Q165" s="27" t="n">
        <f aca="false">ROUND(IF(E165=0,IF((D165+N165-O165)&lt;0,ABS(D165+N165-O165),0),IF((N165-E165-O165)&lt;0,ABS(N165-E165-O165),0)),2)</f>
        <v>0</v>
      </c>
      <c r="R165" s="17"/>
      <c r="S165" s="17"/>
    </row>
    <row r="166" customFormat="false" ht="15" hidden="false" customHeight="true" outlineLevel="0" collapsed="false">
      <c r="A166" s="8" t="s">
        <v>494</v>
      </c>
      <c r="B166" s="8" t="str">
        <f aca="false">листопад!B166</f>
        <v>Киричинська Г.Я.</v>
      </c>
      <c r="C166" s="8" t="s">
        <v>496</v>
      </c>
      <c r="D166" s="27" t="n">
        <f aca="false">листопад!P166</f>
        <v>5208.16</v>
      </c>
      <c r="E166" s="27" t="n">
        <f aca="false">листопад!Q166</f>
        <v>0</v>
      </c>
      <c r="F166" s="27" t="n">
        <f aca="false">листопад!F166</f>
        <v>0</v>
      </c>
      <c r="G166" s="27" t="n">
        <f aca="false">листопад!G166</f>
        <v>35.1</v>
      </c>
      <c r="H166" s="27" t="n">
        <f aca="false">листопад!H166</f>
        <v>0</v>
      </c>
      <c r="I166" s="28" t="n">
        <f aca="false">листопад!I166</f>
        <v>4.1</v>
      </c>
      <c r="J166" s="27" t="n">
        <f aca="false">ROUND(G166*I166,2)</f>
        <v>143.91</v>
      </c>
      <c r="K166" s="27"/>
      <c r="L166" s="27"/>
      <c r="M166" s="27"/>
      <c r="N166" s="27" t="n">
        <f aca="false">ROUND((G166*I166)-K166-L166-M166,2)</f>
        <v>143.91</v>
      </c>
      <c r="O166" s="27"/>
      <c r="P166" s="27" t="n">
        <f aca="false">ROUND(IF(D166=0,IF((N166-E166-O166)&gt;0,(N166-E166-O166),0),IF((D166+N166-O166)&gt;0,(D166+N166-O166),0)),2)</f>
        <v>5352.07</v>
      </c>
      <c r="Q166" s="27" t="n">
        <f aca="false">ROUND(IF(E166=0,IF((D166+N166-O166)&lt;0,ABS(D166+N166-O166),0),IF((N166-E166-O166)&lt;0,ABS(N166-E166-O166),0)),2)</f>
        <v>0</v>
      </c>
      <c r="R166" s="17"/>
      <c r="S166" s="17"/>
    </row>
    <row r="167" customFormat="false" ht="15" hidden="false" customHeight="true" outlineLevel="0" collapsed="false">
      <c r="A167" s="8" t="s">
        <v>497</v>
      </c>
      <c r="B167" s="8" t="str">
        <f aca="false">листопад!B167</f>
        <v>Бутрій К.В.</v>
      </c>
      <c r="C167" s="8" t="s">
        <v>499</v>
      </c>
      <c r="D167" s="27" t="n">
        <f aca="false">листопад!P167</f>
        <v>3905.12</v>
      </c>
      <c r="E167" s="27" t="n">
        <f aca="false">листопад!Q167</f>
        <v>0</v>
      </c>
      <c r="F167" s="27" t="n">
        <f aca="false">листопад!F167</f>
        <v>0</v>
      </c>
      <c r="G167" s="27" t="n">
        <f aca="false">листопад!G167</f>
        <v>62.4</v>
      </c>
      <c r="H167" s="27" t="n">
        <f aca="false">листопад!H167</f>
        <v>0</v>
      </c>
      <c r="I167" s="28" t="n">
        <f aca="false">листопад!I167</f>
        <v>4.1</v>
      </c>
      <c r="J167" s="27" t="n">
        <f aca="false">ROUND(G167*I167,2)</f>
        <v>255.84</v>
      </c>
      <c r="K167" s="27"/>
      <c r="L167" s="27"/>
      <c r="M167" s="27"/>
      <c r="N167" s="27" t="n">
        <f aca="false">ROUND((G167*I167)-K167-L167-M167,2)</f>
        <v>255.84</v>
      </c>
      <c r="O167" s="27"/>
      <c r="P167" s="27" t="n">
        <f aca="false">ROUND(IF(D167=0,IF((N167-E167-O167)&gt;0,(N167-E167-O167),0),IF((D167+N167-O167)&gt;0,(D167+N167-O167),0)),2)</f>
        <v>4160.96</v>
      </c>
      <c r="Q167" s="27" t="n">
        <f aca="false">ROUND(IF(E167=0,IF((D167+N167-O167)&lt;0,ABS(D167+N167-O167),0),IF((N167-E167-O167)&lt;0,ABS(N167-E167-O167),0)),2)</f>
        <v>0</v>
      </c>
      <c r="R167" s="17"/>
      <c r="S167" s="17"/>
    </row>
    <row r="168" customFormat="false" ht="15" hidden="false" customHeight="true" outlineLevel="0" collapsed="false">
      <c r="A168" s="8" t="s">
        <v>500</v>
      </c>
      <c r="B168" s="8" t="str">
        <f aca="false">листопад!B168</f>
        <v>Кузьома Г.І.</v>
      </c>
      <c r="C168" s="8" t="s">
        <v>502</v>
      </c>
      <c r="D168" s="27" t="n">
        <f aca="false">листопад!P168</f>
        <v>2954.05</v>
      </c>
      <c r="E168" s="27" t="n">
        <f aca="false">листопад!Q168</f>
        <v>0</v>
      </c>
      <c r="F168" s="27" t="n">
        <f aca="false">листопад!F168</f>
        <v>0</v>
      </c>
      <c r="G168" s="27" t="n">
        <f aca="false">листопад!G168</f>
        <v>65.5</v>
      </c>
      <c r="H168" s="27" t="n">
        <f aca="false">листопад!H168</f>
        <v>0</v>
      </c>
      <c r="I168" s="28" t="n">
        <f aca="false">листопад!I168</f>
        <v>4.1</v>
      </c>
      <c r="J168" s="27" t="n">
        <f aca="false">ROUND(G168*I168,2)</f>
        <v>268.55</v>
      </c>
      <c r="K168" s="27"/>
      <c r="L168" s="27"/>
      <c r="M168" s="27"/>
      <c r="N168" s="27" t="n">
        <f aca="false">ROUND((G168*I168)-K168-L168-M168,2)</f>
        <v>268.55</v>
      </c>
      <c r="O168" s="27"/>
      <c r="P168" s="27" t="n">
        <f aca="false">ROUND(IF(D168=0,IF((N168-E168-O168)&gt;0,(N168-E168-O168),0),IF((D168+N168-O168)&gt;0,(D168+N168-O168),0)),2)</f>
        <v>3222.6</v>
      </c>
      <c r="Q168" s="27" t="n">
        <f aca="false">ROUND(IF(E168=0,IF((D168+N168-O168)&lt;0,ABS(D168+N168-O168),0),IF((N168-E168-O168)&lt;0,ABS(N168-E168-O168),0)),2)</f>
        <v>0</v>
      </c>
      <c r="R168" s="17"/>
      <c r="S168" s="17"/>
    </row>
    <row r="169" customFormat="false" ht="15" hidden="false" customHeight="true" outlineLevel="0" collapsed="false">
      <c r="A169" s="8" t="s">
        <v>503</v>
      </c>
      <c r="B169" s="8" t="str">
        <f aca="false">листопад!B169</f>
        <v>Павленко В.М.</v>
      </c>
      <c r="C169" s="8" t="s">
        <v>505</v>
      </c>
      <c r="D169" s="27" t="n">
        <f aca="false">листопад!P169</f>
        <v>2457</v>
      </c>
      <c r="E169" s="27" t="n">
        <f aca="false">листопад!Q169</f>
        <v>0</v>
      </c>
      <c r="F169" s="27" t="n">
        <f aca="false">листопад!F169</f>
        <v>0</v>
      </c>
      <c r="G169" s="27" t="n">
        <f aca="false">листопад!G169</f>
        <v>49.94</v>
      </c>
      <c r="H169" s="27" t="n">
        <f aca="false">листопад!H169</f>
        <v>0</v>
      </c>
      <c r="I169" s="28" t="n">
        <f aca="false">листопад!I169</f>
        <v>4.1</v>
      </c>
      <c r="J169" s="27" t="n">
        <f aca="false">ROUND(G169*I169,2)</f>
        <v>204.75</v>
      </c>
      <c r="K169" s="27"/>
      <c r="L169" s="27"/>
      <c r="M169" s="27"/>
      <c r="N169" s="27" t="n">
        <f aca="false">ROUND((G169*I169)-K169-L169-M169,2)</f>
        <v>204.75</v>
      </c>
      <c r="O169" s="27"/>
      <c r="P169" s="27" t="n">
        <f aca="false">ROUND(IF(D169=0,IF((N169-E169-O169)&gt;0,(N169-E169-O169),0),IF((D169+N169-O169)&gt;0,(D169+N169-O169),0)),2)</f>
        <v>2661.75</v>
      </c>
      <c r="Q169" s="27" t="n">
        <f aca="false">ROUND(IF(E169=0,IF((D169+N169-O169)&lt;0,ABS(D169+N169-O169),0),IF((N169-E169-O169)&lt;0,ABS(N169-E169-O169),0)),2)</f>
        <v>0</v>
      </c>
      <c r="R169" s="17"/>
      <c r="S169" s="17"/>
    </row>
    <row r="170" customFormat="false" ht="15" hidden="false" customHeight="true" outlineLevel="0" collapsed="false">
      <c r="A170" s="8" t="s">
        <v>506</v>
      </c>
      <c r="B170" s="8" t="str">
        <f aca="false">листопад!B170</f>
        <v>Качуровська С.А.</v>
      </c>
      <c r="C170" s="8" t="s">
        <v>508</v>
      </c>
      <c r="D170" s="27" t="n">
        <f aca="false">листопад!P170</f>
        <v>1578.5</v>
      </c>
      <c r="E170" s="27" t="n">
        <f aca="false">листопад!Q170</f>
        <v>0</v>
      </c>
      <c r="F170" s="27" t="n">
        <f aca="false">листопад!F170</f>
        <v>0</v>
      </c>
      <c r="G170" s="27" t="n">
        <f aca="false">листопад!G170</f>
        <v>35</v>
      </c>
      <c r="H170" s="27" t="n">
        <f aca="false">листопад!H170</f>
        <v>0</v>
      </c>
      <c r="I170" s="28" t="n">
        <f aca="false">листопад!I170</f>
        <v>4.1</v>
      </c>
      <c r="J170" s="27" t="n">
        <f aca="false">ROUND(G170*I170,2)</f>
        <v>143.5</v>
      </c>
      <c r="K170" s="27"/>
      <c r="L170" s="27"/>
      <c r="M170" s="27"/>
      <c r="N170" s="27" t="n">
        <f aca="false">ROUND((G170*I170)-K170-L170-M170,2)</f>
        <v>143.5</v>
      </c>
      <c r="O170" s="27"/>
      <c r="P170" s="27" t="n">
        <f aca="false">ROUND(IF(D170=0,IF((N170-E170-O170)&gt;0,(N170-E170-O170),0),IF((D170+N170-O170)&gt;0,(D170+N170-O170),0)),2)</f>
        <v>1722</v>
      </c>
      <c r="Q170" s="27" t="n">
        <f aca="false">ROUND(IF(E170=0,IF((D170+N170-O170)&lt;0,ABS(D170+N170-O170),0),IF((N170-E170-O170)&lt;0,ABS(N170-E170-O170),0)),2)</f>
        <v>0</v>
      </c>
      <c r="R170" s="17"/>
      <c r="S170" s="17"/>
    </row>
    <row r="171" customFormat="false" ht="15" hidden="false" customHeight="true" outlineLevel="0" collapsed="false">
      <c r="A171" s="8" t="s">
        <v>509</v>
      </c>
      <c r="B171" s="8" t="str">
        <f aca="false">листопад!B171</f>
        <v>Білецький Б.Г.</v>
      </c>
      <c r="C171" s="8" t="s">
        <v>511</v>
      </c>
      <c r="D171" s="27" t="n">
        <f aca="false">листопад!P171</f>
        <v>2812.48</v>
      </c>
      <c r="E171" s="27" t="n">
        <f aca="false">листопад!Q171</f>
        <v>0</v>
      </c>
      <c r="F171" s="27" t="n">
        <f aca="false">листопад!F171</f>
        <v>0</v>
      </c>
      <c r="G171" s="27" t="n">
        <f aca="false">листопад!G171</f>
        <v>62.36</v>
      </c>
      <c r="H171" s="27" t="n">
        <f aca="false">листопад!H171</f>
        <v>0</v>
      </c>
      <c r="I171" s="28" t="n">
        <f aca="false">листопад!I171</f>
        <v>4.1</v>
      </c>
      <c r="J171" s="27" t="n">
        <f aca="false">ROUND(G171*I171,2)</f>
        <v>255.68</v>
      </c>
      <c r="K171" s="27"/>
      <c r="L171" s="27"/>
      <c r="M171" s="27"/>
      <c r="N171" s="27" t="n">
        <f aca="false">ROUND((G171*I171)-K171-L171-M171,2)</f>
        <v>255.68</v>
      </c>
      <c r="O171" s="27"/>
      <c r="P171" s="27" t="n">
        <f aca="false">ROUND(IF(D171=0,IF((N171-E171-O171)&gt;0,(N171-E171-O171),0),IF((D171+N171-O171)&gt;0,(D171+N171-O171),0)),2)</f>
        <v>3068.16</v>
      </c>
      <c r="Q171" s="27" t="n">
        <f aca="false">ROUND(IF(E171=0,IF((D171+N171-O171)&lt;0,ABS(D171+N171-O171),0),IF((N171-E171-O171)&lt;0,ABS(N171-E171-O171),0)),2)</f>
        <v>0</v>
      </c>
      <c r="R171" s="17"/>
      <c r="S171" s="17"/>
    </row>
    <row r="172" customFormat="false" ht="15" hidden="false" customHeight="true" outlineLevel="0" collapsed="false">
      <c r="A172" s="8" t="s">
        <v>512</v>
      </c>
      <c r="B172" s="8" t="str">
        <f aca="false">листопад!B172</f>
        <v>Кузнєцова В.В.</v>
      </c>
      <c r="C172" s="8" t="s">
        <v>514</v>
      </c>
      <c r="D172" s="27" t="n">
        <f aca="false">листопад!P172</f>
        <v>10763.28</v>
      </c>
      <c r="E172" s="27" t="n">
        <f aca="false">листопад!Q172</f>
        <v>0</v>
      </c>
      <c r="F172" s="27" t="n">
        <f aca="false">листопад!F172</f>
        <v>0</v>
      </c>
      <c r="G172" s="27" t="n">
        <f aca="false">листопад!G172</f>
        <v>65.63</v>
      </c>
      <c r="H172" s="27" t="n">
        <f aca="false">листопад!H172</f>
        <v>0</v>
      </c>
      <c r="I172" s="28" t="n">
        <f aca="false">листопад!I172</f>
        <v>4.1</v>
      </c>
      <c r="J172" s="27" t="n">
        <f aca="false">ROUND(G172*I172,2)</f>
        <v>269.08</v>
      </c>
      <c r="K172" s="27"/>
      <c r="L172" s="27"/>
      <c r="M172" s="27"/>
      <c r="N172" s="27" t="n">
        <f aca="false">ROUND((G172*I172)-K172-L172-M172,2)</f>
        <v>269.08</v>
      </c>
      <c r="O172" s="27"/>
      <c r="P172" s="27" t="n">
        <f aca="false">ROUND(IF(D172=0,IF((N172-E172-O172)&gt;0,(N172-E172-O172),0),IF((D172+N172-O172)&gt;0,(D172+N172-O172),0)),2)</f>
        <v>11032.36</v>
      </c>
      <c r="Q172" s="27" t="n">
        <f aca="false">ROUND(IF(E172=0,IF((D172+N172-O172)&lt;0,ABS(D172+N172-O172),0),IF((N172-E172-O172)&lt;0,ABS(N172-E172-O172),0)),2)</f>
        <v>0</v>
      </c>
      <c r="R172" s="17"/>
      <c r="S172" s="17"/>
    </row>
    <row r="173" customFormat="false" ht="15" hidden="false" customHeight="true" outlineLevel="0" collapsed="false">
      <c r="A173" s="8" t="s">
        <v>515</v>
      </c>
      <c r="B173" s="8" t="str">
        <f aca="false">листопад!B173</f>
        <v>Сидоренко Б.Й.</v>
      </c>
      <c r="C173" s="8" t="s">
        <v>517</v>
      </c>
      <c r="D173" s="27" t="n">
        <f aca="false">листопад!P173</f>
        <v>18424.13</v>
      </c>
      <c r="E173" s="27" t="n">
        <f aca="false">листопад!Q173</f>
        <v>0</v>
      </c>
      <c r="F173" s="27" t="n">
        <f aca="false">листопад!F173</f>
        <v>0</v>
      </c>
      <c r="G173" s="27" t="n">
        <f aca="false">листопад!G173</f>
        <v>49.8</v>
      </c>
      <c r="H173" s="27" t="n">
        <f aca="false">листопад!H173</f>
        <v>0</v>
      </c>
      <c r="I173" s="28" t="n">
        <f aca="false">листопад!I173</f>
        <v>4.1</v>
      </c>
      <c r="J173" s="27" t="n">
        <f aca="false">ROUND(G173*I173,2)</f>
        <v>204.18</v>
      </c>
      <c r="K173" s="27"/>
      <c r="L173" s="27"/>
      <c r="M173" s="27"/>
      <c r="N173" s="27" t="n">
        <f aca="false">ROUND((G173*I173)-K173-L173-M173,2)</f>
        <v>204.18</v>
      </c>
      <c r="O173" s="27"/>
      <c r="P173" s="27" t="n">
        <f aca="false">ROUND(IF(D173=0,IF((N173-E173-O173)&gt;0,(N173-E173-O173),0),IF((D173+N173-O173)&gt;0,(D173+N173-O173),0)),2)</f>
        <v>18628.31</v>
      </c>
      <c r="Q173" s="27" t="n">
        <f aca="false">ROUND(IF(E173=0,IF((D173+N173-O173)&lt;0,ABS(D173+N173-O173),0),IF((N173-E173-O173)&lt;0,ABS(N173-E173-O173),0)),2)</f>
        <v>0</v>
      </c>
      <c r="R173" s="17"/>
      <c r="S173" s="17"/>
    </row>
    <row r="174" customFormat="false" ht="15" hidden="false" customHeight="true" outlineLevel="0" collapsed="false">
      <c r="A174" s="8" t="s">
        <v>518</v>
      </c>
      <c r="B174" s="8" t="str">
        <f aca="false">листопад!B174</f>
        <v>Кузнєцова О.А.</v>
      </c>
      <c r="C174" s="8" t="s">
        <v>520</v>
      </c>
      <c r="D174" s="27" t="n">
        <f aca="false">листопад!P174</f>
        <v>5596.5</v>
      </c>
      <c r="E174" s="27" t="n">
        <f aca="false">листопад!Q174</f>
        <v>0</v>
      </c>
      <c r="F174" s="27" t="n">
        <f aca="false">листопад!F174</f>
        <v>0</v>
      </c>
      <c r="G174" s="27" t="n">
        <f aca="false">листопад!G174</f>
        <v>35</v>
      </c>
      <c r="H174" s="27" t="n">
        <f aca="false">листопад!H174</f>
        <v>0</v>
      </c>
      <c r="I174" s="28" t="n">
        <f aca="false">листопад!I174</f>
        <v>4.1</v>
      </c>
      <c r="J174" s="27" t="n">
        <f aca="false">ROUND(G174*I174,2)</f>
        <v>143.5</v>
      </c>
      <c r="K174" s="27"/>
      <c r="L174" s="27"/>
      <c r="M174" s="27"/>
      <c r="N174" s="27" t="n">
        <f aca="false">ROUND((G174*I174)-K174-L174-M174,2)</f>
        <v>143.5</v>
      </c>
      <c r="O174" s="27"/>
      <c r="P174" s="27" t="n">
        <f aca="false">ROUND(IF(D174=0,IF((N174-E174-O174)&gt;0,(N174-E174-O174),0),IF((D174+N174-O174)&gt;0,(D174+N174-O174),0)),2)</f>
        <v>5740</v>
      </c>
      <c r="Q174" s="27" t="n">
        <f aca="false">ROUND(IF(E174=0,IF((D174+N174-O174)&lt;0,ABS(D174+N174-O174),0),IF((N174-E174-O174)&lt;0,ABS(N174-E174-O174),0)),2)</f>
        <v>0</v>
      </c>
      <c r="R174" s="17"/>
      <c r="S174" s="17"/>
    </row>
    <row r="175" customFormat="false" ht="15" hidden="false" customHeight="true" outlineLevel="0" collapsed="false">
      <c r="A175" s="8" t="s">
        <v>521</v>
      </c>
      <c r="B175" s="8" t="str">
        <f aca="false">листопад!B175</f>
        <v>Васильєва О.Г.</v>
      </c>
      <c r="C175" s="8" t="s">
        <v>523</v>
      </c>
      <c r="D175" s="27" t="n">
        <f aca="false">листопад!P175</f>
        <v>4884.37</v>
      </c>
      <c r="E175" s="27" t="n">
        <f aca="false">листопад!Q175</f>
        <v>0</v>
      </c>
      <c r="F175" s="27" t="n">
        <f aca="false">листопад!F175</f>
        <v>0</v>
      </c>
      <c r="G175" s="27" t="n">
        <f aca="false">листопад!G175</f>
        <v>61.7</v>
      </c>
      <c r="H175" s="27" t="n">
        <f aca="false">листопад!H175</f>
        <v>0</v>
      </c>
      <c r="I175" s="28" t="n">
        <f aca="false">листопад!I175</f>
        <v>4.1</v>
      </c>
      <c r="J175" s="27" t="n">
        <f aca="false">ROUND(G175*I175,2)</f>
        <v>252.97</v>
      </c>
      <c r="K175" s="27"/>
      <c r="L175" s="27"/>
      <c r="M175" s="27"/>
      <c r="N175" s="27" t="n">
        <f aca="false">ROUND((G175*I175)-K175-L175-M175,2)</f>
        <v>252.97</v>
      </c>
      <c r="O175" s="27"/>
      <c r="P175" s="27" t="n">
        <f aca="false">ROUND(IF(D175=0,IF((N175-E175-O175)&gt;0,(N175-E175-O175),0),IF((D175+N175-O175)&gt;0,(D175+N175-O175),0)),2)</f>
        <v>5137.34</v>
      </c>
      <c r="Q175" s="27" t="n">
        <f aca="false">ROUND(IF(E175=0,IF((D175+N175-O175)&lt;0,ABS(D175+N175-O175),0),IF((N175-E175-O175)&lt;0,ABS(N175-E175-O175),0)),2)</f>
        <v>0</v>
      </c>
      <c r="R175" s="17"/>
      <c r="S175" s="17"/>
    </row>
    <row r="176" customFormat="false" ht="15" hidden="false" customHeight="true" outlineLevel="0" collapsed="false">
      <c r="A176" s="8" t="s">
        <v>524</v>
      </c>
      <c r="B176" s="8" t="str">
        <f aca="false">листопад!B176</f>
        <v>Кудінова Л.М.</v>
      </c>
      <c r="C176" s="8" t="s">
        <v>526</v>
      </c>
      <c r="D176" s="27" t="n">
        <f aca="false">листопад!P176</f>
        <v>3226.56</v>
      </c>
      <c r="E176" s="27" t="n">
        <f aca="false">листопад!Q176</f>
        <v>0</v>
      </c>
      <c r="F176" s="27" t="n">
        <f aca="false">листопад!F176</f>
        <v>0</v>
      </c>
      <c r="G176" s="27" t="n">
        <f aca="false">листопад!G176</f>
        <v>65.58</v>
      </c>
      <c r="H176" s="27" t="n">
        <f aca="false">листопад!H176</f>
        <v>0</v>
      </c>
      <c r="I176" s="28" t="n">
        <f aca="false">листопад!I176</f>
        <v>4.1</v>
      </c>
      <c r="J176" s="27" t="n">
        <f aca="false">ROUND(G176*I176,2)</f>
        <v>268.88</v>
      </c>
      <c r="K176" s="27"/>
      <c r="L176" s="27"/>
      <c r="M176" s="27"/>
      <c r="N176" s="27" t="n">
        <f aca="false">ROUND((G176*I176)-K176-L176-M176,2)</f>
        <v>268.88</v>
      </c>
      <c r="O176" s="27"/>
      <c r="P176" s="27" t="n">
        <f aca="false">ROUND(IF(D176=0,IF((N176-E176-O176)&gt;0,(N176-E176-O176),0),IF((D176+N176-O176)&gt;0,(D176+N176-O176),0)),2)</f>
        <v>3495.44</v>
      </c>
      <c r="Q176" s="27" t="n">
        <f aca="false">ROUND(IF(E176=0,IF((D176+N176-O176)&lt;0,ABS(D176+N176-O176),0),IF((N176-E176-O176)&lt;0,ABS(N176-E176-O176),0)),2)</f>
        <v>0</v>
      </c>
      <c r="R176" s="17"/>
      <c r="S176" s="17"/>
    </row>
    <row r="177" customFormat="false" ht="15" hidden="false" customHeight="true" outlineLevel="0" collapsed="false">
      <c r="A177" s="8" t="s">
        <v>527</v>
      </c>
      <c r="B177" s="8" t="str">
        <f aca="false">листопад!B177</f>
        <v>Спільний І.В.</v>
      </c>
      <c r="C177" s="8" t="s">
        <v>529</v>
      </c>
      <c r="D177" s="27" t="n">
        <f aca="false">листопад!P177</f>
        <v>2232.45</v>
      </c>
      <c r="E177" s="27" t="n">
        <f aca="false">листопад!Q177</f>
        <v>0</v>
      </c>
      <c r="F177" s="27" t="n">
        <f aca="false">листопад!F177</f>
        <v>0</v>
      </c>
      <c r="G177" s="27" t="n">
        <f aca="false">листопад!G177</f>
        <v>49.5</v>
      </c>
      <c r="H177" s="27" t="n">
        <f aca="false">листопад!H177</f>
        <v>0</v>
      </c>
      <c r="I177" s="28" t="n">
        <f aca="false">листопад!I177</f>
        <v>4.1</v>
      </c>
      <c r="J177" s="27" t="n">
        <f aca="false">ROUND(G177*I177,2)</f>
        <v>202.95</v>
      </c>
      <c r="K177" s="27"/>
      <c r="L177" s="27"/>
      <c r="M177" s="27"/>
      <c r="N177" s="27" t="n">
        <f aca="false">ROUND((G177*I177)-K177-L177-M177,2)</f>
        <v>202.95</v>
      </c>
      <c r="O177" s="27"/>
      <c r="P177" s="27" t="n">
        <f aca="false">ROUND(IF(D177=0,IF((N177-E177-O177)&gt;0,(N177-E177-O177),0),IF((D177+N177-O177)&gt;0,(D177+N177-O177),0)),2)</f>
        <v>2435.4</v>
      </c>
      <c r="Q177" s="27" t="n">
        <f aca="false">ROUND(IF(E177=0,IF((D177+N177-O177)&lt;0,ABS(D177+N177-O177),0),IF((N177-E177-O177)&lt;0,ABS(N177-E177-O177),0)),2)</f>
        <v>0</v>
      </c>
      <c r="R177" s="17"/>
      <c r="S177" s="17"/>
    </row>
    <row r="178" customFormat="false" ht="15" hidden="false" customHeight="true" outlineLevel="0" collapsed="false">
      <c r="A178" s="8" t="s">
        <v>530</v>
      </c>
      <c r="B178" s="8" t="str">
        <f aca="false">листопад!B178</f>
        <v>Кружаліна Т.А.</v>
      </c>
      <c r="C178" s="8" t="s">
        <v>532</v>
      </c>
      <c r="D178" s="27" t="n">
        <f aca="false">листопад!P178</f>
        <v>1583.01</v>
      </c>
      <c r="E178" s="27" t="n">
        <f aca="false">листопад!Q178</f>
        <v>0</v>
      </c>
      <c r="F178" s="27" t="n">
        <f aca="false">листопад!F178</f>
        <v>0</v>
      </c>
      <c r="G178" s="27" t="n">
        <f aca="false">листопад!G178</f>
        <v>35.1</v>
      </c>
      <c r="H178" s="27" t="n">
        <f aca="false">листопад!H178</f>
        <v>0</v>
      </c>
      <c r="I178" s="28" t="n">
        <f aca="false">листопад!I178</f>
        <v>4.1</v>
      </c>
      <c r="J178" s="27" t="n">
        <f aca="false">ROUND(G178*I178,2)</f>
        <v>143.91</v>
      </c>
      <c r="K178" s="27"/>
      <c r="L178" s="27"/>
      <c r="M178" s="27"/>
      <c r="N178" s="27" t="n">
        <f aca="false">ROUND((G178*I178)-K178-L178-M178,2)</f>
        <v>143.91</v>
      </c>
      <c r="O178" s="27"/>
      <c r="P178" s="27" t="n">
        <f aca="false">ROUND(IF(D178=0,IF((N178-E178-O178)&gt;0,(N178-E178-O178),0),IF((D178+N178-O178)&gt;0,(D178+N178-O178),0)),2)</f>
        <v>1726.92</v>
      </c>
      <c r="Q178" s="27" t="n">
        <f aca="false">ROUND(IF(E178=0,IF((D178+N178-O178)&lt;0,ABS(D178+N178-O178),0),IF((N178-E178-O178)&lt;0,ABS(N178-E178-O178),0)),2)</f>
        <v>0</v>
      </c>
      <c r="R178" s="17"/>
      <c r="S178" s="17"/>
    </row>
    <row r="179" customFormat="false" ht="15" hidden="false" customHeight="true" outlineLevel="0" collapsed="false">
      <c r="A179" s="8" t="s">
        <v>533</v>
      </c>
      <c r="B179" s="8" t="str">
        <f aca="false">листопад!B179</f>
        <v>Григоренко Н.Е.</v>
      </c>
      <c r="C179" s="8" t="s">
        <v>535</v>
      </c>
      <c r="D179" s="27" t="n">
        <f aca="false">листопад!P179</f>
        <v>2837.23</v>
      </c>
      <c r="E179" s="27" t="n">
        <f aca="false">листопад!Q179</f>
        <v>0</v>
      </c>
      <c r="F179" s="27" t="n">
        <f aca="false">листопад!F179</f>
        <v>0</v>
      </c>
      <c r="G179" s="27" t="n">
        <f aca="false">листопад!G179</f>
        <v>62.91</v>
      </c>
      <c r="H179" s="27" t="n">
        <f aca="false">листопад!H179</f>
        <v>0</v>
      </c>
      <c r="I179" s="28" t="n">
        <f aca="false">листопад!I179</f>
        <v>4.1</v>
      </c>
      <c r="J179" s="27" t="n">
        <f aca="false">ROUND(G179*I179,2)</f>
        <v>257.93</v>
      </c>
      <c r="K179" s="27"/>
      <c r="L179" s="27"/>
      <c r="M179" s="27"/>
      <c r="N179" s="27" t="n">
        <f aca="false">ROUND((G179*I179)-K179-L179-M179,2)</f>
        <v>257.93</v>
      </c>
      <c r="O179" s="27"/>
      <c r="P179" s="27" t="n">
        <f aca="false">ROUND(IF(D179=0,IF((N179-E179-O179)&gt;0,(N179-E179-O179),0),IF((D179+N179-O179)&gt;0,(D179+N179-O179),0)),2)</f>
        <v>3095.16</v>
      </c>
      <c r="Q179" s="27" t="n">
        <f aca="false">ROUND(IF(E179=0,IF((D179+N179-O179)&lt;0,ABS(D179+N179-O179),0),IF((N179-E179-O179)&lt;0,ABS(N179-E179-O179),0)),2)</f>
        <v>0</v>
      </c>
      <c r="R179" s="17"/>
      <c r="S179" s="17"/>
    </row>
    <row r="180" customFormat="false" ht="15" hidden="false" customHeight="true" outlineLevel="0" collapsed="false">
      <c r="A180" s="8" t="s">
        <v>536</v>
      </c>
      <c r="B180" s="8" t="str">
        <f aca="false">листопад!B180</f>
        <v>Бондарчук В.В.</v>
      </c>
      <c r="C180" s="8" t="s">
        <v>538</v>
      </c>
      <c r="D180" s="27" t="n">
        <f aca="false">листопад!P180</f>
        <v>2977.92</v>
      </c>
      <c r="E180" s="27" t="n">
        <f aca="false">листопад!Q180</f>
        <v>0</v>
      </c>
      <c r="F180" s="27" t="n">
        <f aca="false">листопад!F180</f>
        <v>0</v>
      </c>
      <c r="G180" s="27" t="n">
        <f aca="false">листопад!G180</f>
        <v>66.03</v>
      </c>
      <c r="H180" s="27" t="n">
        <f aca="false">листопад!H180</f>
        <v>0</v>
      </c>
      <c r="I180" s="28" t="n">
        <f aca="false">листопад!I180</f>
        <v>4.1</v>
      </c>
      <c r="J180" s="27" t="n">
        <f aca="false">ROUND(G180*I180,2)</f>
        <v>270.72</v>
      </c>
      <c r="K180" s="27"/>
      <c r="L180" s="27"/>
      <c r="M180" s="27"/>
      <c r="N180" s="27" t="n">
        <f aca="false">ROUND((G180*I180)-K180-L180-M180,2)</f>
        <v>270.72</v>
      </c>
      <c r="O180" s="27"/>
      <c r="P180" s="27" t="n">
        <f aca="false">ROUND(IF(D180=0,IF((N180-E180-O180)&gt;0,(N180-E180-O180),0),IF((D180+N180-O180)&gt;0,(D180+N180-O180),0)),2)</f>
        <v>3248.64</v>
      </c>
      <c r="Q180" s="27" t="n">
        <f aca="false">ROUND(IF(E180=0,IF((D180+N180-O180)&lt;0,ABS(D180+N180-O180),0),IF((N180-E180-O180)&lt;0,ABS(N180-E180-O180),0)),2)</f>
        <v>0</v>
      </c>
      <c r="R180" s="17"/>
      <c r="S180" s="17"/>
    </row>
    <row r="181" customFormat="false" ht="15" hidden="false" customHeight="true" outlineLevel="0" collapsed="false">
      <c r="A181" s="8" t="s">
        <v>539</v>
      </c>
      <c r="B181" s="8" t="str">
        <f aca="false">листопад!B181</f>
        <v>Рябініна Н.І.</v>
      </c>
      <c r="C181" s="8" t="s">
        <v>541</v>
      </c>
      <c r="D181" s="27" t="n">
        <f aca="false">листопад!P181</f>
        <v>2084.45</v>
      </c>
      <c r="E181" s="27" t="n">
        <f aca="false">листопад!Q181</f>
        <v>0</v>
      </c>
      <c r="F181" s="27" t="n">
        <f aca="false">листопад!F181</f>
        <v>0</v>
      </c>
      <c r="G181" s="27" t="n">
        <f aca="false">листопад!G181</f>
        <v>49.9</v>
      </c>
      <c r="H181" s="27" t="n">
        <f aca="false">листопад!H181</f>
        <v>0</v>
      </c>
      <c r="I181" s="28" t="n">
        <f aca="false">листопад!I181</f>
        <v>4.1</v>
      </c>
      <c r="J181" s="27" t="n">
        <f aca="false">ROUND(G181*I181,2)</f>
        <v>204.59</v>
      </c>
      <c r="K181" s="27"/>
      <c r="L181" s="27"/>
      <c r="M181" s="27"/>
      <c r="N181" s="27" t="n">
        <f aca="false">ROUND((G181*I181)-K181-L181-M181,2)</f>
        <v>204.59</v>
      </c>
      <c r="O181" s="27"/>
      <c r="P181" s="27" t="n">
        <f aca="false">ROUND(IF(D181=0,IF((N181-E181-O181)&gt;0,(N181-E181-O181),0),IF((D181+N181-O181)&gt;0,(D181+N181-O181),0)),2)</f>
        <v>2289.04</v>
      </c>
      <c r="Q181" s="27" t="n">
        <f aca="false">ROUND(IF(E181=0,IF((D181+N181-O181)&lt;0,ABS(D181+N181-O181),0),IF((N181-E181-O181)&lt;0,ABS(N181-E181-O181),0)),2)</f>
        <v>0</v>
      </c>
      <c r="R181" s="17"/>
      <c r="S181" s="17"/>
    </row>
    <row r="182" customFormat="false" ht="15" hidden="false" customHeight="true" outlineLevel="0" collapsed="false">
      <c r="A182" s="8" t="s">
        <v>542</v>
      </c>
      <c r="B182" s="8" t="str">
        <f aca="false">листопад!B182</f>
        <v>Шапіро В.І.</v>
      </c>
      <c r="C182" s="8" t="s">
        <v>544</v>
      </c>
      <c r="D182" s="27" t="n">
        <f aca="false">листопад!P182</f>
        <v>1574.87</v>
      </c>
      <c r="E182" s="27" t="n">
        <f aca="false">листопад!Q182</f>
        <v>0</v>
      </c>
      <c r="F182" s="27" t="n">
        <f aca="false">листопад!F182</f>
        <v>0</v>
      </c>
      <c r="G182" s="27" t="n">
        <f aca="false">листопад!G182</f>
        <v>34.92</v>
      </c>
      <c r="H182" s="27" t="n">
        <f aca="false">листопад!H182</f>
        <v>0</v>
      </c>
      <c r="I182" s="28" t="n">
        <f aca="false">листопад!I182</f>
        <v>4.1</v>
      </c>
      <c r="J182" s="27" t="n">
        <f aca="false">ROUND(G182*I182,2)</f>
        <v>143.17</v>
      </c>
      <c r="K182" s="27"/>
      <c r="L182" s="27"/>
      <c r="M182" s="27"/>
      <c r="N182" s="27" t="n">
        <f aca="false">ROUND((G182*I182)-K182-L182-M182,2)</f>
        <v>143.17</v>
      </c>
      <c r="O182" s="27"/>
      <c r="P182" s="27" t="n">
        <f aca="false">ROUND(IF(D182=0,IF((N182-E182-O182)&gt;0,(N182-E182-O182),0),IF((D182+N182-O182)&gt;0,(D182+N182-O182),0)),2)</f>
        <v>1718.04</v>
      </c>
      <c r="Q182" s="27" t="n">
        <f aca="false">ROUND(IF(E182=0,IF((D182+N182-O182)&lt;0,ABS(D182+N182-O182),0),IF((N182-E182-O182)&lt;0,ABS(N182-E182-O182),0)),2)</f>
        <v>0</v>
      </c>
      <c r="R182" s="17"/>
      <c r="S182" s="17"/>
    </row>
    <row r="183" customFormat="false" ht="15" hidden="false" customHeight="true" outlineLevel="0" collapsed="false">
      <c r="A183" s="8" t="s">
        <v>545</v>
      </c>
      <c r="B183" s="8" t="str">
        <f aca="false">листопад!B183</f>
        <v>Крамаренко О.О.</v>
      </c>
      <c r="C183" s="8" t="s">
        <v>547</v>
      </c>
      <c r="D183" s="27" t="n">
        <f aca="false">листопад!P183</f>
        <v>2792.13</v>
      </c>
      <c r="E183" s="27" t="n">
        <f aca="false">листопад!Q183</f>
        <v>0</v>
      </c>
      <c r="F183" s="27" t="n">
        <f aca="false">листопад!F183</f>
        <v>0</v>
      </c>
      <c r="G183" s="27" t="n">
        <f aca="false">листопад!G183</f>
        <v>61.91</v>
      </c>
      <c r="H183" s="27" t="n">
        <f aca="false">листопад!H183</f>
        <v>0</v>
      </c>
      <c r="I183" s="28" t="n">
        <f aca="false">листопад!I183</f>
        <v>4.1</v>
      </c>
      <c r="J183" s="27" t="n">
        <f aca="false">ROUND(G183*I183,2)</f>
        <v>253.83</v>
      </c>
      <c r="K183" s="27"/>
      <c r="L183" s="27"/>
      <c r="M183" s="27"/>
      <c r="N183" s="27" t="n">
        <f aca="false">ROUND((G183*I183)-K183-L183-M183,2)</f>
        <v>253.83</v>
      </c>
      <c r="O183" s="27"/>
      <c r="P183" s="27" t="n">
        <f aca="false">ROUND(IF(D183=0,IF((N183-E183-O183)&gt;0,(N183-E183-O183),0),IF((D183+N183-O183)&gt;0,(D183+N183-O183),0)),2)</f>
        <v>3045.96</v>
      </c>
      <c r="Q183" s="27" t="n">
        <f aca="false">ROUND(IF(E183=0,IF((D183+N183-O183)&lt;0,ABS(D183+N183-O183),0),IF((N183-E183-O183)&lt;0,ABS(N183-E183-O183),0)),2)</f>
        <v>0</v>
      </c>
      <c r="R183" s="17"/>
      <c r="S183" s="17"/>
    </row>
    <row r="184" customFormat="false" ht="15" hidden="false" customHeight="true" outlineLevel="0" collapsed="false">
      <c r="A184" s="8" t="s">
        <v>548</v>
      </c>
      <c r="B184" s="8" t="str">
        <f aca="false">листопад!B184</f>
        <v>Свиридов В.Ф.</v>
      </c>
      <c r="C184" s="8" t="s">
        <v>550</v>
      </c>
      <c r="D184" s="27" t="n">
        <f aca="false">листопад!P184</f>
        <v>15012.43</v>
      </c>
      <c r="E184" s="27" t="n">
        <f aca="false">листопад!Q184</f>
        <v>0</v>
      </c>
      <c r="F184" s="27" t="n">
        <f aca="false">листопад!F184</f>
        <v>0</v>
      </c>
      <c r="G184" s="27" t="n">
        <f aca="false">листопад!G184</f>
        <v>65.15</v>
      </c>
      <c r="H184" s="27" t="n">
        <f aca="false">листопад!H184</f>
        <v>0</v>
      </c>
      <c r="I184" s="28" t="n">
        <f aca="false">листопад!I184</f>
        <v>4.1</v>
      </c>
      <c r="J184" s="27" t="n">
        <f aca="false">ROUND(G184*I184,2)</f>
        <v>267.12</v>
      </c>
      <c r="K184" s="27"/>
      <c r="L184" s="27"/>
      <c r="M184" s="27"/>
      <c r="N184" s="27" t="n">
        <f aca="false">ROUND((G184*I184)-K184-L184-M184,2)</f>
        <v>267.12</v>
      </c>
      <c r="O184" s="27"/>
      <c r="P184" s="27" t="n">
        <f aca="false">ROUND(IF(D184=0,IF((N184-E184-O184)&gt;0,(N184-E184-O184),0),IF((D184+N184-O184)&gt;0,(D184+N184-O184),0)),2)</f>
        <v>15279.55</v>
      </c>
      <c r="Q184" s="27" t="n">
        <f aca="false">ROUND(IF(E184=0,IF((D184+N184-O184)&lt;0,ABS(D184+N184-O184),0),IF((N184-E184-O184)&lt;0,ABS(N184-E184-O184),0)),2)</f>
        <v>0</v>
      </c>
      <c r="R184" s="17"/>
      <c r="S184" s="17"/>
    </row>
    <row r="185" customFormat="false" ht="15" hidden="false" customHeight="true" outlineLevel="0" collapsed="false">
      <c r="A185" s="8" t="s">
        <v>551</v>
      </c>
      <c r="B185" s="8" t="str">
        <f aca="false">листопад!B185</f>
        <v>Домацький В.А.</v>
      </c>
      <c r="C185" s="8" t="s">
        <v>553</v>
      </c>
      <c r="D185" s="27" t="n">
        <f aca="false">листопад!P185</f>
        <v>2255</v>
      </c>
      <c r="E185" s="27" t="n">
        <f aca="false">листопад!Q185</f>
        <v>0</v>
      </c>
      <c r="F185" s="27" t="n">
        <f aca="false">листопад!F185</f>
        <v>0</v>
      </c>
      <c r="G185" s="27" t="n">
        <f aca="false">листопад!G185</f>
        <v>50</v>
      </c>
      <c r="H185" s="27" t="n">
        <f aca="false">листопад!H185</f>
        <v>0</v>
      </c>
      <c r="I185" s="28" t="n">
        <f aca="false">листопад!I185</f>
        <v>4.1</v>
      </c>
      <c r="J185" s="27" t="n">
        <f aca="false">ROUND(G185*I185,2)</f>
        <v>205</v>
      </c>
      <c r="K185" s="27"/>
      <c r="L185" s="27"/>
      <c r="M185" s="27"/>
      <c r="N185" s="27" t="n">
        <f aca="false">ROUND((G185*I185)-K185-L185-M185,2)</f>
        <v>205</v>
      </c>
      <c r="O185" s="27"/>
      <c r="P185" s="27" t="n">
        <f aca="false">ROUND(IF(D185=0,IF((N185-E185-O185)&gt;0,(N185-E185-O185),0),IF((D185+N185-O185)&gt;0,(D185+N185-O185),0)),2)</f>
        <v>2460</v>
      </c>
      <c r="Q185" s="27" t="n">
        <f aca="false">ROUND(IF(E185=0,IF((D185+N185-O185)&lt;0,ABS(D185+N185-O185),0),IF((N185-E185-O185)&lt;0,ABS(N185-E185-O185),0)),2)</f>
        <v>0</v>
      </c>
      <c r="R185" s="17"/>
      <c r="S185" s="17"/>
    </row>
    <row r="186" customFormat="false" ht="15" hidden="false" customHeight="true" outlineLevel="0" collapsed="false">
      <c r="A186" s="8" t="s">
        <v>554</v>
      </c>
      <c r="B186" s="8" t="str">
        <f aca="false">листопад!B186</f>
        <v>Шаповалова І.А.</v>
      </c>
      <c r="C186" s="8" t="s">
        <v>556</v>
      </c>
      <c r="D186" s="27" t="n">
        <f aca="false">листопад!P186</f>
        <v>7770.42</v>
      </c>
      <c r="E186" s="27" t="n">
        <f aca="false">листопад!Q186</f>
        <v>0</v>
      </c>
      <c r="F186" s="27" t="n">
        <f aca="false">листопад!F186</f>
        <v>0</v>
      </c>
      <c r="G186" s="27" t="n">
        <f aca="false">листопад!G186</f>
        <v>35.1</v>
      </c>
      <c r="H186" s="27" t="n">
        <f aca="false">листопад!H186</f>
        <v>0</v>
      </c>
      <c r="I186" s="28" t="n">
        <f aca="false">листопад!I186</f>
        <v>4.1</v>
      </c>
      <c r="J186" s="27" t="n">
        <f aca="false">ROUND(G186*I186,2)</f>
        <v>143.91</v>
      </c>
      <c r="K186" s="27"/>
      <c r="L186" s="27"/>
      <c r="M186" s="27"/>
      <c r="N186" s="27" t="n">
        <f aca="false">ROUND((G186*I186)-K186-L186-M186,2)</f>
        <v>143.91</v>
      </c>
      <c r="O186" s="27"/>
      <c r="P186" s="27" t="n">
        <f aca="false">ROUND(IF(D186=0,IF((N186-E186-O186)&gt;0,(N186-E186-O186),0),IF((D186+N186-O186)&gt;0,(D186+N186-O186),0)),2)</f>
        <v>7914.33</v>
      </c>
      <c r="Q186" s="27" t="n">
        <f aca="false">ROUND(IF(E186=0,IF((D186+N186-O186)&lt;0,ABS(D186+N186-O186),0),IF((N186-E186-O186)&lt;0,ABS(N186-E186-O186),0)),2)</f>
        <v>0</v>
      </c>
      <c r="R186" s="17"/>
      <c r="S186" s="17"/>
    </row>
    <row r="187" customFormat="false" ht="15" hidden="false" customHeight="true" outlineLevel="0" collapsed="false">
      <c r="A187" s="8" t="s">
        <v>557</v>
      </c>
      <c r="B187" s="8" t="str">
        <f aca="false">листопад!B187</f>
        <v>Кононенко О.В.</v>
      </c>
      <c r="C187" s="8" t="s">
        <v>559</v>
      </c>
      <c r="D187" s="27" t="n">
        <f aca="false">листопад!P187</f>
        <v>4286.4</v>
      </c>
      <c r="E187" s="27" t="n">
        <f aca="false">листопад!Q187</f>
        <v>0</v>
      </c>
      <c r="F187" s="27" t="n">
        <f aca="false">листопад!F187</f>
        <v>0</v>
      </c>
      <c r="G187" s="27" t="n">
        <f aca="false">листопад!G187</f>
        <v>61.8</v>
      </c>
      <c r="H187" s="27" t="n">
        <f aca="false">листопад!H187</f>
        <v>0</v>
      </c>
      <c r="I187" s="28" t="n">
        <f aca="false">листопад!I187</f>
        <v>4.1</v>
      </c>
      <c r="J187" s="27" t="n">
        <f aca="false">ROUND(G187*I187,2)</f>
        <v>253.38</v>
      </c>
      <c r="K187" s="27"/>
      <c r="L187" s="27"/>
      <c r="M187" s="27"/>
      <c r="N187" s="27" t="n">
        <f aca="false">ROUND((G187*I187)-K187-L187-M187,2)</f>
        <v>253.38</v>
      </c>
      <c r="O187" s="27"/>
      <c r="P187" s="27" t="n">
        <f aca="false">ROUND(IF(D187=0,IF((N187-E187-O187)&gt;0,(N187-E187-O187),0),IF((D187+N187-O187)&gt;0,(D187+N187-O187),0)),2)</f>
        <v>4539.78</v>
      </c>
      <c r="Q187" s="27" t="n">
        <f aca="false">ROUND(IF(E187=0,IF((D187+N187-O187)&lt;0,ABS(D187+N187-O187),0),IF((N187-E187-O187)&lt;0,ABS(N187-E187-O187),0)),2)</f>
        <v>0</v>
      </c>
      <c r="R187" s="17"/>
      <c r="S187" s="17"/>
    </row>
    <row r="188" customFormat="false" ht="15" hidden="false" customHeight="true" outlineLevel="0" collapsed="false">
      <c r="A188" s="8" t="s">
        <v>560</v>
      </c>
      <c r="B188" s="8" t="str">
        <f aca="false">листопад!B188</f>
        <v>Овчаренко Т.І.</v>
      </c>
      <c r="C188" s="8" t="s">
        <v>562</v>
      </c>
      <c r="D188" s="27" t="n">
        <f aca="false">листопад!P188</f>
        <v>3204.85</v>
      </c>
      <c r="E188" s="27" t="n">
        <f aca="false">листопад!Q188</f>
        <v>0</v>
      </c>
      <c r="F188" s="27" t="n">
        <f aca="false">листопад!F188</f>
        <v>0</v>
      </c>
      <c r="G188" s="27" t="n">
        <f aca="false">листопад!G188</f>
        <v>71.06</v>
      </c>
      <c r="H188" s="27" t="n">
        <f aca="false">листопад!H188</f>
        <v>0</v>
      </c>
      <c r="I188" s="28" t="n">
        <f aca="false">листопад!I188</f>
        <v>4.1</v>
      </c>
      <c r="J188" s="27" t="n">
        <f aca="false">ROUND(G188*I188,2)</f>
        <v>291.35</v>
      </c>
      <c r="K188" s="27"/>
      <c r="L188" s="27"/>
      <c r="M188" s="27"/>
      <c r="N188" s="27" t="n">
        <f aca="false">ROUND((G188*I188)-K188-L188-M188,2)</f>
        <v>291.35</v>
      </c>
      <c r="O188" s="27"/>
      <c r="P188" s="27" t="n">
        <f aca="false">ROUND(IF(D188=0,IF((N188-E188-O188)&gt;0,(N188-E188-O188),0),IF((D188+N188-O188)&gt;0,(D188+N188-O188),0)),2)</f>
        <v>3496.2</v>
      </c>
      <c r="Q188" s="27" t="n">
        <f aca="false">ROUND(IF(E188=0,IF((D188+N188-O188)&lt;0,ABS(D188+N188-O188),0),IF((N188-E188-O188)&lt;0,ABS(N188-E188-O188),0)),2)</f>
        <v>0</v>
      </c>
      <c r="R188" s="17"/>
      <c r="S188" s="17"/>
    </row>
    <row r="189" customFormat="false" ht="15" hidden="false" customHeight="true" outlineLevel="0" collapsed="false">
      <c r="A189" s="8" t="s">
        <v>563</v>
      </c>
      <c r="B189" s="8" t="str">
        <f aca="false">листопад!B189</f>
        <v>Попукайло О.Г.</v>
      </c>
      <c r="C189" s="8" t="s">
        <v>565</v>
      </c>
      <c r="D189" s="27" t="n">
        <f aca="false">листопад!P189</f>
        <v>6971.44</v>
      </c>
      <c r="E189" s="27" t="n">
        <f aca="false">листопад!Q189</f>
        <v>0</v>
      </c>
      <c r="F189" s="27" t="n">
        <f aca="false">листопад!F189</f>
        <v>0</v>
      </c>
      <c r="G189" s="27" t="n">
        <f aca="false">листопад!G189</f>
        <v>49.15</v>
      </c>
      <c r="H189" s="27" t="n">
        <f aca="false">листопад!H189</f>
        <v>0</v>
      </c>
      <c r="I189" s="28" t="n">
        <f aca="false">листопад!I189</f>
        <v>4.1</v>
      </c>
      <c r="J189" s="27" t="n">
        <f aca="false">ROUND(G189*I189,2)</f>
        <v>201.52</v>
      </c>
      <c r="K189" s="27"/>
      <c r="L189" s="27"/>
      <c r="M189" s="27"/>
      <c r="N189" s="27" t="n">
        <f aca="false">ROUND((G189*I189)-K189-L189-M189,2)</f>
        <v>201.52</v>
      </c>
      <c r="O189" s="27"/>
      <c r="P189" s="27" t="n">
        <f aca="false">ROUND(IF(D189=0,IF((N189-E189-O189)&gt;0,(N189-E189-O189),0),IF((D189+N189-O189)&gt;0,(D189+N189-O189),0)),2)</f>
        <v>7172.96</v>
      </c>
      <c r="Q189" s="27" t="n">
        <f aca="false">ROUND(IF(E189=0,IF((D189+N189-O189)&lt;0,ABS(D189+N189-O189),0),IF((N189-E189-O189)&lt;0,ABS(N189-E189-O189),0)),2)</f>
        <v>0</v>
      </c>
      <c r="R189" s="17"/>
      <c r="S189" s="17"/>
    </row>
    <row r="190" customFormat="false" ht="15" hidden="false" customHeight="true" outlineLevel="0" collapsed="false">
      <c r="A190" s="8" t="s">
        <v>566</v>
      </c>
      <c r="B190" s="8" t="str">
        <f aca="false">листопад!B190</f>
        <v>Онищенко А.В.</v>
      </c>
      <c r="C190" s="8" t="s">
        <v>568</v>
      </c>
      <c r="D190" s="27" t="n">
        <f aca="false">листопад!P190</f>
        <v>8594.03</v>
      </c>
      <c r="E190" s="27" t="n">
        <f aca="false">листопад!Q190</f>
        <v>0</v>
      </c>
      <c r="F190" s="27" t="n">
        <f aca="false">листопад!F190</f>
        <v>0</v>
      </c>
      <c r="G190" s="27" t="n">
        <f aca="false">листопад!G190</f>
        <v>53.72</v>
      </c>
      <c r="H190" s="27" t="n">
        <f aca="false">листопад!H190</f>
        <v>0</v>
      </c>
      <c r="I190" s="28" t="n">
        <f aca="false">листопад!I190</f>
        <v>4.1</v>
      </c>
      <c r="J190" s="27" t="n">
        <f aca="false">ROUND(G190*I190,2)</f>
        <v>220.25</v>
      </c>
      <c r="K190" s="27"/>
      <c r="L190" s="27"/>
      <c r="M190" s="27"/>
      <c r="N190" s="27" t="n">
        <f aca="false">ROUND((G190*I190)-K190-L190-M190,2)</f>
        <v>220.25</v>
      </c>
      <c r="O190" s="27"/>
      <c r="P190" s="27" t="n">
        <f aca="false">ROUND(IF(D190=0,IF((N190-E190-O190)&gt;0,(N190-E190-O190),0),IF((D190+N190-O190)&gt;0,(D190+N190-O190),0)),2)</f>
        <v>8814.28</v>
      </c>
      <c r="Q190" s="27" t="n">
        <f aca="false">ROUND(IF(E190=0,IF((D190+N190-O190)&lt;0,ABS(D190+N190-O190),0),IF((N190-E190-O190)&lt;0,ABS(N190-E190-O190),0)),2)</f>
        <v>0</v>
      </c>
      <c r="R190" s="17"/>
      <c r="S190" s="17"/>
    </row>
    <row r="191" customFormat="false" ht="15" hidden="false" customHeight="true" outlineLevel="0" collapsed="false">
      <c r="A191" s="8" t="s">
        <v>569</v>
      </c>
      <c r="B191" s="8" t="str">
        <f aca="false">листопад!B191</f>
        <v>Соколова О.О.</v>
      </c>
      <c r="C191" s="8" t="s">
        <v>571</v>
      </c>
      <c r="D191" s="27" t="n">
        <f aca="false">листопад!P191</f>
        <v>3393.36</v>
      </c>
      <c r="E191" s="27" t="n">
        <f aca="false">листопад!Q191</f>
        <v>0</v>
      </c>
      <c r="F191" s="27" t="n">
        <f aca="false">листопад!F191</f>
        <v>0</v>
      </c>
      <c r="G191" s="27" t="n">
        <f aca="false">листопад!G191</f>
        <v>68.97</v>
      </c>
      <c r="H191" s="27" t="n">
        <f aca="false">листопад!H191</f>
        <v>0</v>
      </c>
      <c r="I191" s="28" t="n">
        <f aca="false">листопад!I191</f>
        <v>4.1</v>
      </c>
      <c r="J191" s="27" t="n">
        <f aca="false">ROUND(G191*I191,2)</f>
        <v>282.78</v>
      </c>
      <c r="K191" s="27"/>
      <c r="L191" s="27"/>
      <c r="M191" s="27"/>
      <c r="N191" s="27" t="n">
        <f aca="false">ROUND((G191*I191)-K191-L191-M191,2)</f>
        <v>282.78</v>
      </c>
      <c r="O191" s="27"/>
      <c r="P191" s="27" t="n">
        <f aca="false">ROUND(IF(D191=0,IF((N191-E191-O191)&gt;0,(N191-E191-O191),0),IF((D191+N191-O191)&gt;0,(D191+N191-O191),0)),2)</f>
        <v>3676.14</v>
      </c>
      <c r="Q191" s="27" t="n">
        <f aca="false">ROUND(IF(E191=0,IF((D191+N191-O191)&lt;0,ABS(D191+N191-O191),0),IF((N191-E191-O191)&lt;0,ABS(N191-E191-O191),0)),2)</f>
        <v>0</v>
      </c>
      <c r="R191" s="17"/>
      <c r="S191" s="17"/>
    </row>
    <row r="192" customFormat="false" ht="15" hidden="false" customHeight="true" outlineLevel="0" collapsed="false">
      <c r="A192" s="8" t="s">
        <v>572</v>
      </c>
      <c r="B192" s="8" t="str">
        <f aca="false">листопад!B192</f>
        <v>Ільіна В.П.</v>
      </c>
      <c r="C192" s="8" t="s">
        <v>574</v>
      </c>
      <c r="D192" s="27" t="n">
        <f aca="false">листопад!P192</f>
        <v>10270.88</v>
      </c>
      <c r="E192" s="27" t="n">
        <f aca="false">листопад!Q192</f>
        <v>0</v>
      </c>
      <c r="F192" s="27" t="n">
        <f aca="false">листопад!F192</f>
        <v>0</v>
      </c>
      <c r="G192" s="27" t="n">
        <f aca="false">листопад!G192</f>
        <v>49.86</v>
      </c>
      <c r="H192" s="27" t="n">
        <f aca="false">листопад!H192</f>
        <v>0</v>
      </c>
      <c r="I192" s="28" t="n">
        <f aca="false">листопад!I192</f>
        <v>4.1</v>
      </c>
      <c r="J192" s="27" t="n">
        <f aca="false">ROUND(G192*I192,2)</f>
        <v>204.43</v>
      </c>
      <c r="K192" s="27"/>
      <c r="L192" s="27"/>
      <c r="M192" s="27"/>
      <c r="N192" s="27" t="n">
        <f aca="false">ROUND((G192*I192)-K192-L192-M192,2)</f>
        <v>204.43</v>
      </c>
      <c r="O192" s="27"/>
      <c r="P192" s="27" t="n">
        <f aca="false">ROUND(IF(D192=0,IF((N192-E192-O192)&gt;0,(N192-E192-O192),0),IF((D192+N192-O192)&gt;0,(D192+N192-O192),0)),2)</f>
        <v>10475.31</v>
      </c>
      <c r="Q192" s="27" t="n">
        <f aca="false">ROUND(IF(E192=0,IF((D192+N192-O192)&lt;0,ABS(D192+N192-O192),0),IF((N192-E192-O192)&lt;0,ABS(N192-E192-O192),0)),2)</f>
        <v>0</v>
      </c>
      <c r="R192" s="17"/>
      <c r="S192" s="17"/>
    </row>
    <row r="193" customFormat="false" ht="15" hidden="false" customHeight="true" outlineLevel="0" collapsed="false">
      <c r="A193" s="8" t="s">
        <v>575</v>
      </c>
      <c r="B193" s="8" t="str">
        <f aca="false">листопад!B193</f>
        <v>Чешок Г.К.</v>
      </c>
      <c r="C193" s="8" t="s">
        <v>577</v>
      </c>
      <c r="D193" s="27" t="n">
        <f aca="false">листопад!P193</f>
        <v>14631.28</v>
      </c>
      <c r="E193" s="27" t="n">
        <f aca="false">листопад!Q193</f>
        <v>0</v>
      </c>
      <c r="F193" s="27" t="n">
        <f aca="false">листопад!F193</f>
        <v>0</v>
      </c>
      <c r="G193" s="27" t="n">
        <f aca="false">листопад!G193</f>
        <v>60.86</v>
      </c>
      <c r="H193" s="27" t="n">
        <f aca="false">листопад!H193</f>
        <v>0</v>
      </c>
      <c r="I193" s="28" t="n">
        <f aca="false">листопад!I193</f>
        <v>4.1</v>
      </c>
      <c r="J193" s="27" t="n">
        <f aca="false">ROUND(G193*I193,2)</f>
        <v>249.53</v>
      </c>
      <c r="K193" s="27"/>
      <c r="L193" s="27"/>
      <c r="M193" s="27"/>
      <c r="N193" s="27" t="n">
        <f aca="false">ROUND((G193*I193)-K193-L193-M193,2)</f>
        <v>249.53</v>
      </c>
      <c r="O193" s="27"/>
      <c r="P193" s="27" t="n">
        <f aca="false">ROUND(IF(D193=0,IF((N193-E193-O193)&gt;0,(N193-E193-O193),0),IF((D193+N193-O193)&gt;0,(D193+N193-O193),0)),2)</f>
        <v>14880.81</v>
      </c>
      <c r="Q193" s="27" t="n">
        <f aca="false">ROUND(IF(E193=0,IF((D193+N193-O193)&lt;0,ABS(D193+N193-O193),0),IF((N193-E193-O193)&lt;0,ABS(N193-E193-O193),0)),2)</f>
        <v>0</v>
      </c>
      <c r="R193" s="17"/>
      <c r="S193" s="17"/>
    </row>
    <row r="194" customFormat="false" ht="15" hidden="false" customHeight="true" outlineLevel="0" collapsed="false">
      <c r="A194" s="8" t="s">
        <v>578</v>
      </c>
      <c r="B194" s="8" t="str">
        <f aca="false">листопад!B194</f>
        <v>Бердников В.А.</v>
      </c>
      <c r="C194" s="8" t="s">
        <v>580</v>
      </c>
      <c r="D194" s="27" t="n">
        <f aca="false">листопад!P194</f>
        <v>11382.59</v>
      </c>
      <c r="E194" s="27" t="n">
        <f aca="false">листопад!Q194</f>
        <v>0</v>
      </c>
      <c r="F194" s="27" t="n">
        <f aca="false">листопад!F194</f>
        <v>0</v>
      </c>
      <c r="G194" s="27" t="n">
        <f aca="false">листопад!G194</f>
        <v>66.75</v>
      </c>
      <c r="H194" s="27" t="n">
        <f aca="false">листопад!H194</f>
        <v>0</v>
      </c>
      <c r="I194" s="28" t="n">
        <f aca="false">листопад!I194</f>
        <v>4.1</v>
      </c>
      <c r="J194" s="27" t="n">
        <f aca="false">ROUND(G194*I194,2)</f>
        <v>273.68</v>
      </c>
      <c r="K194" s="27"/>
      <c r="L194" s="27"/>
      <c r="M194" s="27"/>
      <c r="N194" s="27" t="n">
        <f aca="false">ROUND((G194*I194)-K194-L194-M194,2)</f>
        <v>273.68</v>
      </c>
      <c r="O194" s="27"/>
      <c r="P194" s="27" t="n">
        <f aca="false">ROUND(IF(D194=0,IF((N194-E194-O194)&gt;0,(N194-E194-O194),0),IF((D194+N194-O194)&gt;0,(D194+N194-O194),0)),2)</f>
        <v>11656.27</v>
      </c>
      <c r="Q194" s="27" t="n">
        <f aca="false">ROUND(IF(E194=0,IF((D194+N194-O194)&lt;0,ABS(D194+N194-O194),0),IF((N194-E194-O194)&lt;0,ABS(N194-E194-O194),0)),2)</f>
        <v>0</v>
      </c>
      <c r="R194" s="17"/>
      <c r="S194" s="17"/>
    </row>
    <row r="195" customFormat="false" ht="15" hidden="false" customHeight="true" outlineLevel="0" collapsed="false">
      <c r="A195" s="8" t="s">
        <v>581</v>
      </c>
      <c r="B195" s="8" t="str">
        <f aca="false">листопад!B195</f>
        <v>Щербак Н.В.</v>
      </c>
      <c r="C195" s="8" t="s">
        <v>583</v>
      </c>
      <c r="D195" s="27" t="n">
        <f aca="false">листопад!P195</f>
        <v>16346.45</v>
      </c>
      <c r="E195" s="27" t="n">
        <f aca="false">листопад!Q195</f>
        <v>0</v>
      </c>
      <c r="F195" s="27" t="n">
        <f aca="false">листопад!F195</f>
        <v>0</v>
      </c>
      <c r="G195" s="27" t="n">
        <f aca="false">листопад!G195</f>
        <v>72.49</v>
      </c>
      <c r="H195" s="27" t="n">
        <f aca="false">листопад!H195</f>
        <v>0</v>
      </c>
      <c r="I195" s="28" t="n">
        <f aca="false">листопад!I195</f>
        <v>4.1</v>
      </c>
      <c r="J195" s="27" t="n">
        <f aca="false">ROUND(G195*I195,2)</f>
        <v>297.21</v>
      </c>
      <c r="K195" s="27"/>
      <c r="L195" s="27"/>
      <c r="M195" s="27"/>
      <c r="N195" s="27" t="n">
        <f aca="false">ROUND((G195*I195)-K195-L195-M195,2)</f>
        <v>297.21</v>
      </c>
      <c r="O195" s="27"/>
      <c r="P195" s="27" t="n">
        <f aca="false">ROUND(IF(D195=0,IF((N195-E195-O195)&gt;0,(N195-E195-O195),0),IF((D195+N195-O195)&gt;0,(D195+N195-O195),0)),2)</f>
        <v>16643.66</v>
      </c>
      <c r="Q195" s="27" t="n">
        <f aca="false">ROUND(IF(E195=0,IF((D195+N195-O195)&lt;0,ABS(D195+N195-O195),0),IF((N195-E195-O195)&lt;0,ABS(N195-E195-O195),0)),2)</f>
        <v>0</v>
      </c>
      <c r="R195" s="17"/>
      <c r="S195" s="17"/>
    </row>
    <row r="196" customFormat="false" ht="15" hidden="false" customHeight="true" outlineLevel="0" collapsed="false">
      <c r="A196" s="8" t="s">
        <v>584</v>
      </c>
      <c r="B196" s="8" t="str">
        <f aca="false">листопад!B196</f>
        <v>Рожков Ю.М.</v>
      </c>
      <c r="C196" s="8" t="s">
        <v>586</v>
      </c>
      <c r="D196" s="27" t="n">
        <f aca="false">листопад!P196</f>
        <v>2188.16</v>
      </c>
      <c r="E196" s="27" t="n">
        <f aca="false">листопад!Q196</f>
        <v>0</v>
      </c>
      <c r="F196" s="27" t="n">
        <f aca="false">листопад!F196</f>
        <v>0</v>
      </c>
      <c r="G196" s="27" t="n">
        <f aca="false">листопад!G196</f>
        <v>49.8</v>
      </c>
      <c r="H196" s="27" t="n">
        <f aca="false">листопад!H196</f>
        <v>0</v>
      </c>
      <c r="I196" s="28" t="n">
        <f aca="false">листопад!I196</f>
        <v>4.1</v>
      </c>
      <c r="J196" s="27" t="n">
        <f aca="false">ROUND(G196*I196,2)</f>
        <v>204.18</v>
      </c>
      <c r="K196" s="27"/>
      <c r="L196" s="27"/>
      <c r="M196" s="27"/>
      <c r="N196" s="27" t="n">
        <f aca="false">ROUND((G196*I196)-K196-L196-M196,2)</f>
        <v>204.18</v>
      </c>
      <c r="O196" s="27"/>
      <c r="P196" s="27" t="n">
        <f aca="false">ROUND(IF(D196=0,IF((N196-E196-O196)&gt;0,(N196-E196-O196),0),IF((D196+N196-O196)&gt;0,(D196+N196-O196),0)),2)</f>
        <v>2392.34</v>
      </c>
      <c r="Q196" s="27" t="n">
        <f aca="false">ROUND(IF(E196=0,IF((D196+N196-O196)&lt;0,ABS(D196+N196-O196),0),IF((N196-E196-O196)&lt;0,ABS(N196-E196-O196),0)),2)</f>
        <v>0</v>
      </c>
      <c r="R196" s="17"/>
      <c r="S196" s="17"/>
    </row>
    <row r="197" customFormat="false" ht="15" hidden="false" customHeight="true" outlineLevel="0" collapsed="false">
      <c r="A197" s="8" t="s">
        <v>587</v>
      </c>
      <c r="B197" s="8" t="str">
        <f aca="false">листопад!B197</f>
        <v>Кобець В.В.</v>
      </c>
      <c r="C197" s="8" t="s">
        <v>589</v>
      </c>
      <c r="D197" s="27" t="n">
        <f aca="false">листопад!P197</f>
        <v>10051.75</v>
      </c>
      <c r="E197" s="27" t="n">
        <f aca="false">листопад!Q197</f>
        <v>0</v>
      </c>
      <c r="F197" s="27" t="n">
        <f aca="false">листопад!F197</f>
        <v>0</v>
      </c>
      <c r="G197" s="27" t="n">
        <f aca="false">листопад!G197</f>
        <v>62.36</v>
      </c>
      <c r="H197" s="27" t="n">
        <f aca="false">листопад!H197</f>
        <v>0</v>
      </c>
      <c r="I197" s="28" t="n">
        <f aca="false">листопад!I197</f>
        <v>4.1</v>
      </c>
      <c r="J197" s="27" t="n">
        <f aca="false">ROUND(G197*I197,2)</f>
        <v>255.68</v>
      </c>
      <c r="K197" s="27"/>
      <c r="L197" s="27"/>
      <c r="M197" s="27"/>
      <c r="N197" s="27" t="n">
        <f aca="false">ROUND((G197*I197)-K197-L197-M197,2)</f>
        <v>255.68</v>
      </c>
      <c r="O197" s="27"/>
      <c r="P197" s="27" t="n">
        <f aca="false">ROUND(IF(D197=0,IF((N197-E197-O197)&gt;0,(N197-E197-O197),0),IF((D197+N197-O197)&gt;0,(D197+N197-O197),0)),2)</f>
        <v>10307.43</v>
      </c>
      <c r="Q197" s="27" t="n">
        <f aca="false">ROUND(IF(E197=0,IF((D197+N197-O197)&lt;0,ABS(D197+N197-O197),0),IF((N197-E197-O197)&lt;0,ABS(N197-E197-O197),0)),2)</f>
        <v>0</v>
      </c>
      <c r="R197" s="17"/>
      <c r="S197" s="17"/>
    </row>
    <row r="198" customFormat="false" ht="15" hidden="false" customHeight="true" outlineLevel="0" collapsed="false">
      <c r="A198" s="8" t="s">
        <v>590</v>
      </c>
      <c r="B198" s="8" t="str">
        <f aca="false">листопад!B198</f>
        <v>Щерба Л.О.</v>
      </c>
      <c r="C198" s="8" t="s">
        <v>592</v>
      </c>
      <c r="D198" s="27" t="n">
        <f aca="false">листопад!P198</f>
        <v>3089.35</v>
      </c>
      <c r="E198" s="27" t="n">
        <f aca="false">листопад!Q198</f>
        <v>0</v>
      </c>
      <c r="F198" s="27" t="n">
        <f aca="false">листопад!F198</f>
        <v>0</v>
      </c>
      <c r="G198" s="27" t="n">
        <f aca="false">листопад!G198</f>
        <v>68.5</v>
      </c>
      <c r="H198" s="27" t="n">
        <f aca="false">листопад!H198</f>
        <v>0</v>
      </c>
      <c r="I198" s="28" t="n">
        <f aca="false">листопад!I198</f>
        <v>4.1</v>
      </c>
      <c r="J198" s="27" t="n">
        <f aca="false">ROUND(G198*I198,2)</f>
        <v>280.85</v>
      </c>
      <c r="K198" s="27"/>
      <c r="L198" s="27"/>
      <c r="M198" s="27"/>
      <c r="N198" s="27" t="n">
        <f aca="false">ROUND((G198*I198)-K198-L198-M198,2)</f>
        <v>280.85</v>
      </c>
      <c r="O198" s="27"/>
      <c r="P198" s="27" t="n">
        <f aca="false">ROUND(IF(D198=0,IF((N198-E198-O198)&gt;0,(N198-E198-O198),0),IF((D198+N198-O198)&gt;0,(D198+N198-O198),0)),2)</f>
        <v>3370.2</v>
      </c>
      <c r="Q198" s="27" t="n">
        <f aca="false">ROUND(IF(E198=0,IF((D198+N198-O198)&lt;0,ABS(D198+N198-O198),0),IF((N198-E198-O198)&lt;0,ABS(N198-E198-O198),0)),2)</f>
        <v>0</v>
      </c>
      <c r="R198" s="17"/>
      <c r="S198" s="17"/>
    </row>
    <row r="199" customFormat="false" ht="15" hidden="false" customHeight="true" outlineLevel="0" collapsed="false">
      <c r="A199" s="8" t="s">
        <v>593</v>
      </c>
      <c r="B199" s="8" t="str">
        <f aca="false">листопад!B199</f>
        <v>Сапунова І.В.</v>
      </c>
      <c r="C199" s="8" t="s">
        <v>595</v>
      </c>
      <c r="D199" s="27" t="n">
        <f aca="false">листопад!P199</f>
        <v>14188.24</v>
      </c>
      <c r="E199" s="27" t="n">
        <f aca="false">листопад!Q199</f>
        <v>0</v>
      </c>
      <c r="F199" s="27" t="n">
        <f aca="false">листопад!F199</f>
        <v>0</v>
      </c>
      <c r="G199" s="27" t="n">
        <f aca="false">листопад!G199</f>
        <v>70.42</v>
      </c>
      <c r="H199" s="27" t="n">
        <f aca="false">листопад!H199</f>
        <v>0</v>
      </c>
      <c r="I199" s="28" t="n">
        <f aca="false">листопад!I199</f>
        <v>4.1</v>
      </c>
      <c r="J199" s="27" t="n">
        <f aca="false">ROUND(G199*I199,2)</f>
        <v>288.72</v>
      </c>
      <c r="K199" s="27"/>
      <c r="L199" s="27"/>
      <c r="M199" s="27"/>
      <c r="N199" s="27" t="n">
        <f aca="false">ROUND((G199*I199)-K199-L199-M199,2)</f>
        <v>288.72</v>
      </c>
      <c r="O199" s="27"/>
      <c r="P199" s="27" t="n">
        <f aca="false">ROUND(IF(D199=0,IF((N199-E199-O199)&gt;0,(N199-E199-O199),0),IF((D199+N199-O199)&gt;0,(D199+N199-O199),0)),2)</f>
        <v>14476.96</v>
      </c>
      <c r="Q199" s="27" t="n">
        <f aca="false">ROUND(IF(E199=0,IF((D199+N199-O199)&lt;0,ABS(D199+N199-O199),0),IF((N199-E199-O199)&lt;0,ABS(N199-E199-O199),0)),2)</f>
        <v>0</v>
      </c>
      <c r="R199" s="17"/>
      <c r="S199" s="17"/>
    </row>
    <row r="200" customFormat="false" ht="15" hidden="false" customHeight="true" outlineLevel="0" collapsed="false">
      <c r="A200" s="8" t="s">
        <v>596</v>
      </c>
      <c r="B200" s="8" t="str">
        <f aca="false">листопад!B200</f>
        <v>Саввідіс В.О.</v>
      </c>
      <c r="C200" s="8" t="s">
        <v>598</v>
      </c>
      <c r="D200" s="27" t="n">
        <f aca="false">листопад!P200</f>
        <v>12320.21</v>
      </c>
      <c r="E200" s="27" t="n">
        <f aca="false">листопад!Q200</f>
        <v>0</v>
      </c>
      <c r="F200" s="27" t="n">
        <f aca="false">листопад!F200</f>
        <v>0</v>
      </c>
      <c r="G200" s="27" t="n">
        <f aca="false">листопад!G200</f>
        <v>49.7</v>
      </c>
      <c r="H200" s="27" t="n">
        <f aca="false">листопад!H200</f>
        <v>0</v>
      </c>
      <c r="I200" s="28" t="n">
        <f aca="false">листопад!I200</f>
        <v>4.1</v>
      </c>
      <c r="J200" s="27" t="n">
        <f aca="false">ROUND(G200*I200,2)</f>
        <v>203.77</v>
      </c>
      <c r="K200" s="27"/>
      <c r="L200" s="27"/>
      <c r="M200" s="27"/>
      <c r="N200" s="27" t="n">
        <f aca="false">ROUND((G200*I200)-K200-L200-M200,2)</f>
        <v>203.77</v>
      </c>
      <c r="O200" s="27"/>
      <c r="P200" s="27" t="n">
        <f aca="false">ROUND(IF(D200=0,IF((N200-E200-O200)&gt;0,(N200-E200-O200),0),IF((D200+N200-O200)&gt;0,(D200+N200-O200),0)),2)</f>
        <v>12523.98</v>
      </c>
      <c r="Q200" s="27" t="n">
        <f aca="false">ROUND(IF(E200=0,IF((D200+N200-O200)&lt;0,ABS(D200+N200-O200),0),IF((N200-E200-O200)&lt;0,ABS(N200-E200-O200),0)),2)</f>
        <v>0</v>
      </c>
      <c r="R200" s="17"/>
      <c r="S200" s="17"/>
    </row>
    <row r="201" customFormat="false" ht="15" hidden="false" customHeight="true" outlineLevel="0" collapsed="false">
      <c r="A201" s="8" t="s">
        <v>599</v>
      </c>
      <c r="B201" s="8" t="str">
        <f aca="false">листопад!B201</f>
        <v>Кашина Г.І.</v>
      </c>
      <c r="C201" s="8" t="s">
        <v>601</v>
      </c>
      <c r="D201" s="27" t="n">
        <f aca="false">листопад!P201</f>
        <v>14886.28</v>
      </c>
      <c r="E201" s="27" t="n">
        <f aca="false">листопад!Q201</f>
        <v>0</v>
      </c>
      <c r="F201" s="27" t="n">
        <f aca="false">листопад!F201</f>
        <v>0</v>
      </c>
      <c r="G201" s="27" t="n">
        <f aca="false">листопад!G201</f>
        <v>62.6</v>
      </c>
      <c r="H201" s="27" t="n">
        <f aca="false">листопад!H201</f>
        <v>0</v>
      </c>
      <c r="I201" s="28" t="n">
        <f aca="false">листопад!I201</f>
        <v>4.1</v>
      </c>
      <c r="J201" s="27" t="n">
        <f aca="false">ROUND(G201*I201,2)</f>
        <v>256.66</v>
      </c>
      <c r="K201" s="27"/>
      <c r="L201" s="27"/>
      <c r="M201" s="27"/>
      <c r="N201" s="27" t="n">
        <f aca="false">ROUND((G201*I201)-K201-L201-M201,2)</f>
        <v>256.66</v>
      </c>
      <c r="O201" s="27"/>
      <c r="P201" s="27" t="n">
        <f aca="false">ROUND(IF(D201=0,IF((N201-E201-O201)&gt;0,(N201-E201-O201),0),IF((D201+N201-O201)&gt;0,(D201+N201-O201),0)),2)</f>
        <v>15142.94</v>
      </c>
      <c r="Q201" s="27" t="n">
        <f aca="false">ROUND(IF(E201=0,IF((D201+N201-O201)&lt;0,ABS(D201+N201-O201),0),IF((N201-E201-O201)&lt;0,ABS(N201-E201-O201),0)),2)</f>
        <v>0</v>
      </c>
      <c r="R201" s="17"/>
      <c r="S201" s="17"/>
    </row>
    <row r="202" customFormat="false" ht="15" hidden="false" customHeight="true" outlineLevel="0" collapsed="false">
      <c r="A202" s="8" t="s">
        <v>602</v>
      </c>
      <c r="B202" s="8" t="str">
        <f aca="false">листопад!B202</f>
        <v>Фадеєва Є.А.</v>
      </c>
      <c r="C202" s="8" t="s">
        <v>604</v>
      </c>
      <c r="D202" s="27" t="n">
        <f aca="false">листопад!P202</f>
        <v>3175.04</v>
      </c>
      <c r="E202" s="27" t="n">
        <f aca="false">листопад!Q202</f>
        <v>0</v>
      </c>
      <c r="F202" s="27" t="n">
        <f aca="false">листопад!F202</f>
        <v>0</v>
      </c>
      <c r="G202" s="27" t="n">
        <f aca="false">листопад!G202</f>
        <v>70.4</v>
      </c>
      <c r="H202" s="27" t="n">
        <f aca="false">листопад!H202</f>
        <v>0</v>
      </c>
      <c r="I202" s="28" t="n">
        <f aca="false">листопад!I202</f>
        <v>4.1</v>
      </c>
      <c r="J202" s="27" t="n">
        <f aca="false">ROUND(G202*I202,2)</f>
        <v>288.64</v>
      </c>
      <c r="K202" s="27"/>
      <c r="L202" s="27"/>
      <c r="M202" s="27"/>
      <c r="N202" s="27" t="n">
        <f aca="false">ROUND((G202*I202)-K202-L202-M202,2)</f>
        <v>288.64</v>
      </c>
      <c r="O202" s="27"/>
      <c r="P202" s="27" t="n">
        <f aca="false">ROUND(IF(D202=0,IF((N202-E202-O202)&gt;0,(N202-E202-O202),0),IF((D202+N202-O202)&gt;0,(D202+N202-O202),0)),2)</f>
        <v>3463.68</v>
      </c>
      <c r="Q202" s="27" t="n">
        <f aca="false">ROUND(IF(E202=0,IF((D202+N202-O202)&lt;0,ABS(D202+N202-O202),0),IF((N202-E202-O202)&lt;0,ABS(N202-E202-O202),0)),2)</f>
        <v>0</v>
      </c>
      <c r="R202" s="17"/>
      <c r="S202" s="17"/>
    </row>
    <row r="203" customFormat="false" ht="15" hidden="false" customHeight="true" outlineLevel="0" collapsed="false">
      <c r="A203" s="8" t="s">
        <v>605</v>
      </c>
      <c r="B203" s="8" t="str">
        <f aca="false">листопад!B203</f>
        <v>Бойко О.А.</v>
      </c>
      <c r="C203" s="8" t="s">
        <v>607</v>
      </c>
      <c r="D203" s="27" t="n">
        <f aca="false">листопад!P203</f>
        <v>3166.02</v>
      </c>
      <c r="E203" s="27" t="n">
        <f aca="false">листопад!Q203</f>
        <v>0</v>
      </c>
      <c r="F203" s="27" t="n">
        <f aca="false">листопад!F203</f>
        <v>0</v>
      </c>
      <c r="G203" s="27" t="n">
        <f aca="false">листопад!G203</f>
        <v>70.2</v>
      </c>
      <c r="H203" s="27" t="n">
        <f aca="false">листопад!H203</f>
        <v>0</v>
      </c>
      <c r="I203" s="28" t="n">
        <f aca="false">листопад!I203</f>
        <v>4.1</v>
      </c>
      <c r="J203" s="27" t="n">
        <f aca="false">ROUND(G203*I203,2)</f>
        <v>287.82</v>
      </c>
      <c r="K203" s="27"/>
      <c r="L203" s="27"/>
      <c r="M203" s="27"/>
      <c r="N203" s="27" t="n">
        <f aca="false">ROUND((G203*I203)-K203-L203-M203,2)</f>
        <v>287.82</v>
      </c>
      <c r="O203" s="27"/>
      <c r="P203" s="27" t="n">
        <f aca="false">ROUND(IF(D203=0,IF((N203-E203-O203)&gt;0,(N203-E203-O203),0),IF((D203+N203-O203)&gt;0,(D203+N203-O203),0)),2)</f>
        <v>3453.84</v>
      </c>
      <c r="Q203" s="27" t="n">
        <f aca="false">ROUND(IF(E203=0,IF((D203+N203-O203)&lt;0,ABS(D203+N203-O203),0),IF((N203-E203-O203)&lt;0,ABS(N203-E203-O203),0)),2)</f>
        <v>0</v>
      </c>
      <c r="R203" s="17"/>
      <c r="S203" s="17"/>
    </row>
    <row r="204" customFormat="false" ht="15" hidden="false" customHeight="true" outlineLevel="0" collapsed="false">
      <c r="A204" s="8" t="s">
        <v>608</v>
      </c>
      <c r="B204" s="8" t="str">
        <f aca="false">листопад!B204</f>
        <v>Дудник І.А.</v>
      </c>
      <c r="C204" s="8" t="s">
        <v>610</v>
      </c>
      <c r="D204" s="27" t="n">
        <f aca="false">листопад!P204</f>
        <v>11312.52</v>
      </c>
      <c r="E204" s="27" t="n">
        <f aca="false">листопад!Q204</f>
        <v>0</v>
      </c>
      <c r="F204" s="27" t="n">
        <f aca="false">листопад!F204</f>
        <v>0</v>
      </c>
      <c r="G204" s="27" t="n">
        <f aca="false">листопад!G204</f>
        <v>49.94</v>
      </c>
      <c r="H204" s="27" t="n">
        <f aca="false">листопад!H204</f>
        <v>0</v>
      </c>
      <c r="I204" s="28" t="n">
        <f aca="false">листопад!I204</f>
        <v>4.1</v>
      </c>
      <c r="J204" s="27" t="n">
        <f aca="false">ROUND(G204*I204,2)</f>
        <v>204.75</v>
      </c>
      <c r="K204" s="27"/>
      <c r="L204" s="27"/>
      <c r="M204" s="27"/>
      <c r="N204" s="27" t="n">
        <f aca="false">ROUND((G204*I204)-K204-L204-M204,2)</f>
        <v>204.75</v>
      </c>
      <c r="O204" s="27"/>
      <c r="P204" s="27" t="n">
        <f aca="false">ROUND(IF(D204=0,IF((N204-E204-O204)&gt;0,(N204-E204-O204),0),IF((D204+N204-O204)&gt;0,(D204+N204-O204),0)),2)</f>
        <v>11517.27</v>
      </c>
      <c r="Q204" s="27" t="n">
        <f aca="false">ROUND(IF(E204=0,IF((D204+N204-O204)&lt;0,ABS(D204+N204-O204),0),IF((N204-E204-O204)&lt;0,ABS(N204-E204-O204),0)),2)</f>
        <v>0</v>
      </c>
      <c r="R204" s="17"/>
      <c r="S204" s="17"/>
    </row>
    <row r="205" customFormat="false" ht="15" hidden="false" customHeight="true" outlineLevel="0" collapsed="false">
      <c r="A205" s="8" t="s">
        <v>611</v>
      </c>
      <c r="B205" s="8" t="str">
        <f aca="false">листопад!B205</f>
        <v>Лебедєва Т.В.</v>
      </c>
      <c r="C205" s="8" t="s">
        <v>613</v>
      </c>
      <c r="D205" s="27" t="n">
        <f aca="false">листопад!P205</f>
        <v>12766.93</v>
      </c>
      <c r="E205" s="27" t="n">
        <f aca="false">листопад!Q205</f>
        <v>0</v>
      </c>
      <c r="F205" s="27" t="n">
        <f aca="false">листопад!F205</f>
        <v>0</v>
      </c>
      <c r="G205" s="27" t="n">
        <f aca="false">листопад!G205</f>
        <v>62.3</v>
      </c>
      <c r="H205" s="27" t="n">
        <f aca="false">листопад!H205</f>
        <v>0</v>
      </c>
      <c r="I205" s="28" t="n">
        <f aca="false">листопад!I205</f>
        <v>4.1</v>
      </c>
      <c r="J205" s="27" t="n">
        <f aca="false">ROUND(G205*I205,2)</f>
        <v>255.43</v>
      </c>
      <c r="K205" s="27"/>
      <c r="L205" s="27"/>
      <c r="M205" s="27"/>
      <c r="N205" s="27" t="n">
        <f aca="false">ROUND((G205*I205)-K205-L205-M205,2)</f>
        <v>255.43</v>
      </c>
      <c r="O205" s="27"/>
      <c r="P205" s="27" t="n">
        <f aca="false">ROUND(IF(D205=0,IF((N205-E205-O205)&gt;0,(N205-E205-O205),0),IF((D205+N205-O205)&gt;0,(D205+N205-O205),0)),2)</f>
        <v>13022.36</v>
      </c>
      <c r="Q205" s="27" t="n">
        <f aca="false">ROUND(IF(E205=0,IF((D205+N205-O205)&lt;0,ABS(D205+N205-O205),0),IF((N205-E205-O205)&lt;0,ABS(N205-E205-O205),0)),2)</f>
        <v>0</v>
      </c>
      <c r="R205" s="17"/>
      <c r="S205" s="17"/>
    </row>
    <row r="206" customFormat="false" ht="15" hidden="false" customHeight="true" outlineLevel="0" collapsed="false">
      <c r="A206" s="8" t="s">
        <v>614</v>
      </c>
      <c r="B206" s="8" t="str">
        <f aca="false">листопад!B206</f>
        <v>Криницький Л.С.</v>
      </c>
      <c r="C206" s="8" t="s">
        <v>616</v>
      </c>
      <c r="D206" s="27" t="n">
        <f aca="false">листопад!P206</f>
        <v>2772</v>
      </c>
      <c r="E206" s="27" t="n">
        <f aca="false">листопад!Q206</f>
        <v>0</v>
      </c>
      <c r="F206" s="27" t="n">
        <f aca="false">листопад!F206</f>
        <v>0</v>
      </c>
      <c r="G206" s="27" t="n">
        <f aca="false">листопад!G206</f>
        <v>67.61</v>
      </c>
      <c r="H206" s="27" t="n">
        <f aca="false">листопад!H206</f>
        <v>0</v>
      </c>
      <c r="I206" s="28" t="n">
        <f aca="false">листопад!I206</f>
        <v>4.1</v>
      </c>
      <c r="J206" s="27" t="n">
        <f aca="false">ROUND(G206*I206,2)</f>
        <v>277.2</v>
      </c>
      <c r="K206" s="27"/>
      <c r="L206" s="27"/>
      <c r="M206" s="27"/>
      <c r="N206" s="27" t="n">
        <f aca="false">ROUND((G206*I206)-K206-L206-M206,2)</f>
        <v>277.2</v>
      </c>
      <c r="O206" s="27"/>
      <c r="P206" s="27" t="n">
        <f aca="false">ROUND(IF(D206=0,IF((N206-E206-O206)&gt;0,(N206-E206-O206),0),IF((D206+N206-O206)&gt;0,(D206+N206-O206),0)),2)</f>
        <v>3049.2</v>
      </c>
      <c r="Q206" s="27" t="n">
        <f aca="false">ROUND(IF(E206=0,IF((D206+N206-O206)&lt;0,ABS(D206+N206-O206),0),IF((N206-E206-O206)&lt;0,ABS(N206-E206-O206),0)),2)</f>
        <v>0</v>
      </c>
      <c r="R206" s="17"/>
      <c r="S206" s="17"/>
    </row>
    <row r="207" customFormat="false" ht="15" hidden="false" customHeight="true" outlineLevel="0" collapsed="false">
      <c r="A207" s="8" t="s">
        <v>617</v>
      </c>
      <c r="B207" s="8" t="str">
        <f aca="false">листопад!B207</f>
        <v>Сафонов В.В.</v>
      </c>
      <c r="C207" s="8" t="s">
        <v>619</v>
      </c>
      <c r="D207" s="27" t="n">
        <f aca="false">листопад!P207</f>
        <v>15480.06</v>
      </c>
      <c r="E207" s="27" t="n">
        <f aca="false">листопад!Q207</f>
        <v>0</v>
      </c>
      <c r="F207" s="27" t="n">
        <f aca="false">листопад!F207</f>
        <v>0</v>
      </c>
      <c r="G207" s="27" t="n">
        <f aca="false">листопад!G207</f>
        <v>70.38</v>
      </c>
      <c r="H207" s="27" t="n">
        <f aca="false">листопад!H207</f>
        <v>0</v>
      </c>
      <c r="I207" s="28" t="n">
        <f aca="false">листопад!I207</f>
        <v>4.1</v>
      </c>
      <c r="J207" s="27" t="n">
        <f aca="false">ROUND(G207*I207,2)</f>
        <v>288.56</v>
      </c>
      <c r="K207" s="27"/>
      <c r="L207" s="27"/>
      <c r="M207" s="27"/>
      <c r="N207" s="27" t="n">
        <f aca="false">ROUND((G207*I207)-K207-L207-M207,2)</f>
        <v>288.56</v>
      </c>
      <c r="O207" s="27"/>
      <c r="P207" s="27" t="n">
        <f aca="false">ROUND(IF(D207=0,IF((N207-E207-O207)&gt;0,(N207-E207-O207),0),IF((D207+N207-O207)&gt;0,(D207+N207-O207),0)),2)</f>
        <v>15768.62</v>
      </c>
      <c r="Q207" s="27" t="n">
        <f aca="false">ROUND(IF(E207=0,IF((D207+N207-O207)&lt;0,ABS(D207+N207-O207),0),IF((N207-E207-O207)&lt;0,ABS(N207-E207-O207),0)),2)</f>
        <v>0</v>
      </c>
      <c r="R207" s="17"/>
      <c r="S207" s="17"/>
    </row>
    <row r="208" customFormat="false" ht="15" hidden="false" customHeight="true" outlineLevel="0" collapsed="false">
      <c r="A208" s="8" t="s">
        <v>620</v>
      </c>
      <c r="B208" s="8" t="str">
        <f aca="false">листопад!B208</f>
        <v>Мільковська Р.Г.</v>
      </c>
      <c r="C208" s="8" t="s">
        <v>622</v>
      </c>
      <c r="D208" s="27" t="n">
        <f aca="false">листопад!P208</f>
        <v>11081.51</v>
      </c>
      <c r="E208" s="27" t="n">
        <f aca="false">листопад!Q208</f>
        <v>0</v>
      </c>
      <c r="F208" s="27" t="n">
        <f aca="false">листопад!F208</f>
        <v>0</v>
      </c>
      <c r="G208" s="27" t="n">
        <f aca="false">листопад!G208</f>
        <v>49.88</v>
      </c>
      <c r="H208" s="27" t="n">
        <f aca="false">листопад!H208</f>
        <v>0</v>
      </c>
      <c r="I208" s="28" t="n">
        <f aca="false">листопад!I208</f>
        <v>4.1</v>
      </c>
      <c r="J208" s="27" t="n">
        <f aca="false">ROUND(G208*I208,2)</f>
        <v>204.51</v>
      </c>
      <c r="K208" s="27"/>
      <c r="L208" s="27"/>
      <c r="M208" s="27"/>
      <c r="N208" s="27" t="n">
        <f aca="false">ROUND((G208*I208)-K208-L208-M208,2)</f>
        <v>204.51</v>
      </c>
      <c r="O208" s="27"/>
      <c r="P208" s="27" t="n">
        <f aca="false">ROUND(IF(D208=0,IF((N208-E208-O208)&gt;0,(N208-E208-O208),0),IF((D208+N208-O208)&gt;0,(D208+N208-O208),0)),2)</f>
        <v>11286.02</v>
      </c>
      <c r="Q208" s="27" t="n">
        <f aca="false">ROUND(IF(E208=0,IF((D208+N208-O208)&lt;0,ABS(D208+N208-O208),0),IF((N208-E208-O208)&lt;0,ABS(N208-E208-O208),0)),2)</f>
        <v>0</v>
      </c>
      <c r="R208" s="17"/>
      <c r="S208" s="17"/>
    </row>
    <row r="209" customFormat="false" ht="15" hidden="false" customHeight="true" outlineLevel="0" collapsed="false">
      <c r="A209" s="8" t="s">
        <v>623</v>
      </c>
      <c r="B209" s="8" t="str">
        <f aca="false">листопад!B209</f>
        <v>Заранкін С.М.</v>
      </c>
      <c r="C209" s="8" t="s">
        <v>625</v>
      </c>
      <c r="D209" s="27" t="n">
        <f aca="false">листопад!P209</f>
        <v>12920.4</v>
      </c>
      <c r="E209" s="27" t="n">
        <f aca="false">листопад!Q209</f>
        <v>0</v>
      </c>
      <c r="F209" s="27" t="n">
        <f aca="false">листопад!F209</f>
        <v>0</v>
      </c>
      <c r="G209" s="27" t="n">
        <f aca="false">листопад!G209</f>
        <v>62.02</v>
      </c>
      <c r="H209" s="27" t="n">
        <f aca="false">листопад!H209</f>
        <v>0</v>
      </c>
      <c r="I209" s="28" t="n">
        <f aca="false">листопад!I209</f>
        <v>4.1</v>
      </c>
      <c r="J209" s="27" t="n">
        <f aca="false">ROUND(G209*I209,2)</f>
        <v>254.28</v>
      </c>
      <c r="K209" s="27"/>
      <c r="L209" s="27"/>
      <c r="M209" s="27"/>
      <c r="N209" s="27" t="n">
        <f aca="false">ROUND((G209*I209)-K209-L209-M209,2)</f>
        <v>254.28</v>
      </c>
      <c r="O209" s="27"/>
      <c r="P209" s="27" t="n">
        <f aca="false">ROUND(IF(D209=0,IF((N209-E209-O209)&gt;0,(N209-E209-O209),0),IF((D209+N209-O209)&gt;0,(D209+N209-O209),0)),2)</f>
        <v>13174.68</v>
      </c>
      <c r="Q209" s="27" t="n">
        <f aca="false">ROUND(IF(E209=0,IF((D209+N209-O209)&lt;0,ABS(D209+N209-O209),0),IF((N209-E209-O209)&lt;0,ABS(N209-E209-O209),0)),2)</f>
        <v>0</v>
      </c>
      <c r="R209" s="17"/>
      <c r="S209" s="17"/>
    </row>
    <row r="210" customFormat="false" ht="15" hidden="false" customHeight="true" outlineLevel="0" collapsed="false">
      <c r="A210" s="8" t="s">
        <v>626</v>
      </c>
      <c r="B210" s="8" t="str">
        <f aca="false">листопад!B210</f>
        <v>Сіянко О.М.</v>
      </c>
      <c r="C210" s="8" t="s">
        <v>628</v>
      </c>
      <c r="D210" s="27" t="n">
        <f aca="false">листопад!P210</f>
        <v>6174.68</v>
      </c>
      <c r="E210" s="27" t="n">
        <f aca="false">листопад!Q210</f>
        <v>0</v>
      </c>
      <c r="F210" s="27" t="n">
        <f aca="false">листопад!F210</f>
        <v>0</v>
      </c>
      <c r="G210" s="27" t="n">
        <f aca="false">листопад!G210</f>
        <v>67.6</v>
      </c>
      <c r="H210" s="27" t="n">
        <f aca="false">листопад!H210</f>
        <v>0</v>
      </c>
      <c r="I210" s="28" t="n">
        <f aca="false">листопад!I210</f>
        <v>4.1</v>
      </c>
      <c r="J210" s="27" t="n">
        <f aca="false">ROUND(G210*I210,2)</f>
        <v>277.16</v>
      </c>
      <c r="K210" s="27"/>
      <c r="L210" s="27"/>
      <c r="M210" s="27"/>
      <c r="N210" s="27" t="n">
        <f aca="false">ROUND((G210*I210)-K210-L210-M210,2)</f>
        <v>277.16</v>
      </c>
      <c r="O210" s="27"/>
      <c r="P210" s="27" t="n">
        <f aca="false">ROUND(IF(D210=0,IF((N210-E210-O210)&gt;0,(N210-E210-O210),0),IF((D210+N210-O210)&gt;0,(D210+N210-O210),0)),2)</f>
        <v>6451.84</v>
      </c>
      <c r="Q210" s="27" t="n">
        <f aca="false">ROUND(IF(E210=0,IF((D210+N210-O210)&lt;0,ABS(D210+N210-O210),0),IF((N210-E210-O210)&lt;0,ABS(N210-E210-O210),0)),2)</f>
        <v>0</v>
      </c>
      <c r="R210" s="17"/>
      <c r="S210" s="17"/>
    </row>
    <row r="211" customFormat="false" ht="15" hidden="false" customHeight="true" outlineLevel="0" collapsed="false">
      <c r="A211" s="8" t="s">
        <v>629</v>
      </c>
      <c r="B211" s="8" t="str">
        <f aca="false">листопад!B211</f>
        <v>Осипов В.В.</v>
      </c>
      <c r="C211" s="8" t="s">
        <v>631</v>
      </c>
      <c r="D211" s="27" t="n">
        <f aca="false">листопад!P211</f>
        <v>13034.48</v>
      </c>
      <c r="E211" s="27" t="n">
        <f aca="false">листопад!Q211</f>
        <v>0</v>
      </c>
      <c r="F211" s="27" t="n">
        <f aca="false">листопад!F211</f>
        <v>0</v>
      </c>
      <c r="G211" s="27" t="n">
        <f aca="false">листопад!G211</f>
        <v>70.42</v>
      </c>
      <c r="H211" s="27" t="n">
        <f aca="false">листопад!H211</f>
        <v>0</v>
      </c>
      <c r="I211" s="28" t="n">
        <f aca="false">листопад!I211</f>
        <v>4.1</v>
      </c>
      <c r="J211" s="27" t="n">
        <f aca="false">ROUND(G211*I211,2)</f>
        <v>288.72</v>
      </c>
      <c r="K211" s="27"/>
      <c r="L211" s="27"/>
      <c r="M211" s="27"/>
      <c r="N211" s="27" t="n">
        <f aca="false">ROUND((G211*I211)-K211-L211-M211,2)</f>
        <v>288.72</v>
      </c>
      <c r="O211" s="27"/>
      <c r="P211" s="27" t="n">
        <f aca="false">ROUND(IF(D211=0,IF((N211-E211-O211)&gt;0,(N211-E211-O211),0),IF((D211+N211-O211)&gt;0,(D211+N211-O211),0)),2)</f>
        <v>13323.2</v>
      </c>
      <c r="Q211" s="27" t="n">
        <f aca="false">ROUND(IF(E211=0,IF((D211+N211-O211)&lt;0,ABS(D211+N211-O211),0),IF((N211-E211-O211)&lt;0,ABS(N211-E211-O211),0)),2)</f>
        <v>0</v>
      </c>
      <c r="R211" s="17"/>
      <c r="S211" s="17"/>
    </row>
    <row r="212" customFormat="false" ht="15" hidden="false" customHeight="true" outlineLevel="0" collapsed="false">
      <c r="A212" s="8" t="s">
        <v>632</v>
      </c>
      <c r="B212" s="8" t="str">
        <f aca="false">листопад!B212</f>
        <v>Перепьолкін А.Л.</v>
      </c>
      <c r="C212" s="8" t="s">
        <v>634</v>
      </c>
      <c r="D212" s="27" t="n">
        <f aca="false">листопад!P212</f>
        <v>2245.98</v>
      </c>
      <c r="E212" s="27" t="n">
        <f aca="false">листопад!Q212</f>
        <v>0</v>
      </c>
      <c r="F212" s="27" t="n">
        <f aca="false">листопад!F212</f>
        <v>0</v>
      </c>
      <c r="G212" s="27" t="n">
        <f aca="false">листопад!G212</f>
        <v>49.8</v>
      </c>
      <c r="H212" s="27" t="n">
        <f aca="false">листопад!H212</f>
        <v>0</v>
      </c>
      <c r="I212" s="28" t="n">
        <f aca="false">листопад!I212</f>
        <v>4.1</v>
      </c>
      <c r="J212" s="27" t="n">
        <f aca="false">ROUND(G212*I212,2)</f>
        <v>204.18</v>
      </c>
      <c r="K212" s="27"/>
      <c r="L212" s="27"/>
      <c r="M212" s="27"/>
      <c r="N212" s="27" t="n">
        <f aca="false">ROUND((G212*I212)-K212-L212-M212,2)</f>
        <v>204.18</v>
      </c>
      <c r="O212" s="27"/>
      <c r="P212" s="27" t="n">
        <f aca="false">ROUND(IF(D212=0,IF((N212-E212-O212)&gt;0,(N212-E212-O212),0),IF((D212+N212-O212)&gt;0,(D212+N212-O212),0)),2)</f>
        <v>2450.16</v>
      </c>
      <c r="Q212" s="27" t="n">
        <f aca="false">ROUND(IF(E212=0,IF((D212+N212-O212)&lt;0,ABS(D212+N212-O212),0),IF((N212-E212-O212)&lt;0,ABS(N212-E212-O212),0)),2)</f>
        <v>0</v>
      </c>
      <c r="R212" s="17"/>
      <c r="S212" s="17"/>
    </row>
    <row r="213" customFormat="false" ht="15" hidden="false" customHeight="true" outlineLevel="0" collapsed="false">
      <c r="A213" s="8" t="s">
        <v>635</v>
      </c>
      <c r="B213" s="8" t="str">
        <f aca="false">листопад!B213</f>
        <v>Синегрибова В.В.</v>
      </c>
      <c r="C213" s="8" t="s">
        <v>637</v>
      </c>
      <c r="D213" s="27" t="n">
        <f aca="false">листопад!P213</f>
        <v>4057.89</v>
      </c>
      <c r="E213" s="27" t="n">
        <f aca="false">листопад!Q213</f>
        <v>0</v>
      </c>
      <c r="F213" s="27" t="n">
        <f aca="false">листопад!F213</f>
        <v>0</v>
      </c>
      <c r="G213" s="27" t="n">
        <f aca="false">листопад!G213</f>
        <v>62.7</v>
      </c>
      <c r="H213" s="27" t="n">
        <f aca="false">листопад!H213</f>
        <v>0</v>
      </c>
      <c r="I213" s="28" t="n">
        <f aca="false">листопад!I213</f>
        <v>4.1</v>
      </c>
      <c r="J213" s="27" t="n">
        <f aca="false">ROUND(G213*I213,2)</f>
        <v>257.07</v>
      </c>
      <c r="K213" s="27"/>
      <c r="L213" s="27"/>
      <c r="M213" s="27"/>
      <c r="N213" s="27" t="n">
        <f aca="false">ROUND((G213*I213)-K213-L213-M213,2)</f>
        <v>257.07</v>
      </c>
      <c r="O213" s="27"/>
      <c r="P213" s="27" t="n">
        <f aca="false">ROUND(IF(D213=0,IF((N213-E213-O213)&gt;0,(N213-E213-O213),0),IF((D213+N213-O213)&gt;0,(D213+N213-O213),0)),2)</f>
        <v>4314.96</v>
      </c>
      <c r="Q213" s="27" t="n">
        <f aca="false">ROUND(IF(E213=0,IF((D213+N213-O213)&lt;0,ABS(D213+N213-O213),0),IF((N213-E213-O213)&lt;0,ABS(N213-E213-O213),0)),2)</f>
        <v>0</v>
      </c>
      <c r="R213" s="17"/>
      <c r="S213" s="17"/>
    </row>
    <row r="214" customFormat="false" ht="15" hidden="false" customHeight="true" outlineLevel="0" collapsed="false">
      <c r="A214" s="8" t="s">
        <v>638</v>
      </c>
      <c r="B214" s="8" t="str">
        <f aca="false">листопад!B214</f>
        <v>Юдін М.В.</v>
      </c>
      <c r="C214" s="8" t="s">
        <v>640</v>
      </c>
      <c r="D214" s="27" t="n">
        <f aca="false">листопад!P214</f>
        <v>3066.8</v>
      </c>
      <c r="E214" s="27" t="n">
        <f aca="false">листопад!Q214</f>
        <v>0</v>
      </c>
      <c r="F214" s="27" t="n">
        <f aca="false">листопад!F214</f>
        <v>0</v>
      </c>
      <c r="G214" s="27" t="n">
        <f aca="false">листопад!G214</f>
        <v>68</v>
      </c>
      <c r="H214" s="27" t="n">
        <f aca="false">листопад!H214</f>
        <v>0</v>
      </c>
      <c r="I214" s="28" t="n">
        <f aca="false">листопад!I214</f>
        <v>4.1</v>
      </c>
      <c r="J214" s="27" t="n">
        <f aca="false">ROUND(G214*I214,2)</f>
        <v>278.8</v>
      </c>
      <c r="K214" s="27"/>
      <c r="L214" s="27"/>
      <c r="M214" s="27"/>
      <c r="N214" s="27" t="n">
        <f aca="false">ROUND((G214*I214)-K214-L214-M214,2)</f>
        <v>278.8</v>
      </c>
      <c r="O214" s="27"/>
      <c r="P214" s="27" t="n">
        <f aca="false">ROUND(IF(D214=0,IF((N214-E214-O214)&gt;0,(N214-E214-O214),0),IF((D214+N214-O214)&gt;0,(D214+N214-O214),0)),2)</f>
        <v>3345.6</v>
      </c>
      <c r="Q214" s="27" t="n">
        <f aca="false">ROUND(IF(E214=0,IF((D214+N214-O214)&lt;0,ABS(D214+N214-O214),0),IF((N214-E214-O214)&lt;0,ABS(N214-E214-O214),0)),2)</f>
        <v>0</v>
      </c>
      <c r="R214" s="17"/>
      <c r="S214" s="17"/>
    </row>
    <row r="215" customFormat="false" ht="15" hidden="false" customHeight="true" outlineLevel="0" collapsed="false">
      <c r="A215" s="8" t="s">
        <v>641</v>
      </c>
      <c r="B215" s="8" t="str">
        <f aca="false">листопад!B215</f>
        <v>Сергєєва Н.О.</v>
      </c>
      <c r="C215" s="8" t="s">
        <v>643</v>
      </c>
      <c r="D215" s="27" t="n">
        <f aca="false">листопад!P215</f>
        <v>3237.53</v>
      </c>
      <c r="E215" s="27" t="n">
        <f aca="false">листопад!Q215</f>
        <v>0</v>
      </c>
      <c r="F215" s="27" t="n">
        <f aca="false">листопад!F215</f>
        <v>0</v>
      </c>
      <c r="G215" s="27" t="n">
        <f aca="false">листопад!G215</f>
        <v>72.1</v>
      </c>
      <c r="H215" s="27" t="n">
        <f aca="false">листопад!H215</f>
        <v>0</v>
      </c>
      <c r="I215" s="28" t="n">
        <f aca="false">листопад!I215</f>
        <v>4.1</v>
      </c>
      <c r="J215" s="27" t="n">
        <f aca="false">ROUND(G215*I215,2)</f>
        <v>295.61</v>
      </c>
      <c r="K215" s="27"/>
      <c r="L215" s="27"/>
      <c r="M215" s="27"/>
      <c r="N215" s="27" t="n">
        <f aca="false">ROUND((G215*I215)-K215-L215-M215,2)</f>
        <v>295.61</v>
      </c>
      <c r="O215" s="27"/>
      <c r="P215" s="27" t="n">
        <f aca="false">ROUND(IF(D215=0,IF((N215-E215-O215)&gt;0,(N215-E215-O215),0),IF((D215+N215-O215)&gt;0,(D215+N215-O215),0)),2)</f>
        <v>3533.14</v>
      </c>
      <c r="Q215" s="27" t="n">
        <f aca="false">ROUND(IF(E215=0,IF((D215+N215-O215)&lt;0,ABS(D215+N215-O215),0),IF((N215-E215-O215)&lt;0,ABS(N215-E215-O215),0)),2)</f>
        <v>0</v>
      </c>
      <c r="R215" s="17"/>
      <c r="S215" s="17"/>
    </row>
    <row r="216" customFormat="false" ht="15" hidden="false" customHeight="true" outlineLevel="0" collapsed="false">
      <c r="A216" s="8" t="s">
        <v>644</v>
      </c>
      <c r="B216" s="8" t="str">
        <f aca="false">листопад!B216</f>
        <v>Рева І.П.</v>
      </c>
      <c r="C216" s="8" t="s">
        <v>646</v>
      </c>
      <c r="D216" s="27" t="n">
        <f aca="false">листопад!P216</f>
        <v>2242.35</v>
      </c>
      <c r="E216" s="27" t="n">
        <f aca="false">листопад!Q216</f>
        <v>0</v>
      </c>
      <c r="F216" s="27" t="n">
        <f aca="false">листопад!F216</f>
        <v>0</v>
      </c>
      <c r="G216" s="27" t="n">
        <f aca="false">листопад!G216</f>
        <v>49.72</v>
      </c>
      <c r="H216" s="27" t="n">
        <f aca="false">листопад!H216</f>
        <v>0</v>
      </c>
      <c r="I216" s="28" t="n">
        <f aca="false">листопад!I216</f>
        <v>4.1</v>
      </c>
      <c r="J216" s="27" t="n">
        <f aca="false">ROUND(G216*I216,2)</f>
        <v>203.85</v>
      </c>
      <c r="K216" s="27"/>
      <c r="L216" s="27"/>
      <c r="M216" s="27"/>
      <c r="N216" s="27" t="n">
        <f aca="false">ROUND((G216*I216)-K216-L216-M216,2)</f>
        <v>203.85</v>
      </c>
      <c r="O216" s="27"/>
      <c r="P216" s="27" t="n">
        <f aca="false">ROUND(IF(D216=0,IF((N216-E216-O216)&gt;0,(N216-E216-O216),0),IF((D216+N216-O216)&gt;0,(D216+N216-O216),0)),2)</f>
        <v>2446.2</v>
      </c>
      <c r="Q216" s="27" t="n">
        <f aca="false">ROUND(IF(E216=0,IF((D216+N216-O216)&lt;0,ABS(D216+N216-O216),0),IF((N216-E216-O216)&lt;0,ABS(N216-E216-O216),0)),2)</f>
        <v>0</v>
      </c>
      <c r="R216" s="17"/>
      <c r="S216" s="17"/>
    </row>
    <row r="217" customFormat="false" ht="15" hidden="false" customHeight="true" outlineLevel="0" collapsed="false">
      <c r="A217" s="8" t="s">
        <v>647</v>
      </c>
      <c r="B217" s="8" t="str">
        <f aca="false">листопад!B217</f>
        <v>Почапський Ю.Т.</v>
      </c>
      <c r="C217" s="8" t="s">
        <v>649</v>
      </c>
      <c r="D217" s="27" t="n">
        <f aca="false">листопад!P217</f>
        <v>2272.85</v>
      </c>
      <c r="E217" s="27" t="n">
        <f aca="false">листопад!Q217</f>
        <v>0</v>
      </c>
      <c r="F217" s="27" t="n">
        <f aca="false">листопад!F217</f>
        <v>0</v>
      </c>
      <c r="G217" s="27" t="n">
        <f aca="false">листопад!G217</f>
        <v>62.39</v>
      </c>
      <c r="H217" s="27" t="n">
        <f aca="false">листопад!H217</f>
        <v>0</v>
      </c>
      <c r="I217" s="28" t="n">
        <f aca="false">листопад!I217</f>
        <v>4.1</v>
      </c>
      <c r="J217" s="27" t="n">
        <f aca="false">ROUND(G217*I217,2)</f>
        <v>255.8</v>
      </c>
      <c r="K217" s="27"/>
      <c r="L217" s="27"/>
      <c r="M217" s="27"/>
      <c r="N217" s="27" t="n">
        <f aca="false">ROUND((G217*I217)-K217-L217-M217,2)</f>
        <v>255.8</v>
      </c>
      <c r="O217" s="27"/>
      <c r="P217" s="27" t="n">
        <f aca="false">ROUND(IF(D217=0,IF((N217-E217-O217)&gt;0,(N217-E217-O217),0),IF((D217+N217-O217)&gt;0,(D217+N217-O217),0)),2)</f>
        <v>2528.65</v>
      </c>
      <c r="Q217" s="27" t="n">
        <f aca="false">ROUND(IF(E217=0,IF((D217+N217-O217)&lt;0,ABS(D217+N217-O217),0),IF((N217-E217-O217)&lt;0,ABS(N217-E217-O217),0)),2)</f>
        <v>0</v>
      </c>
      <c r="R217" s="17"/>
      <c r="S217" s="17"/>
    </row>
    <row r="218" customFormat="false" ht="15" hidden="false" customHeight="true" outlineLevel="0" collapsed="false">
      <c r="A218" s="8" t="s">
        <v>650</v>
      </c>
      <c r="B218" s="8" t="str">
        <f aca="false">листопад!B218</f>
        <v>Васильченко М.П.</v>
      </c>
      <c r="C218" s="8" t="s">
        <v>652</v>
      </c>
      <c r="D218" s="27" t="n">
        <f aca="false">листопад!P218</f>
        <v>15549.06</v>
      </c>
      <c r="E218" s="27" t="n">
        <f aca="false">листопад!Q218</f>
        <v>0</v>
      </c>
      <c r="F218" s="27" t="n">
        <f aca="false">листопад!F218</f>
        <v>0</v>
      </c>
      <c r="G218" s="27" t="n">
        <f aca="false">листопад!G218</f>
        <v>67.47</v>
      </c>
      <c r="H218" s="27" t="n">
        <f aca="false">листопад!H218</f>
        <v>0</v>
      </c>
      <c r="I218" s="28" t="n">
        <f aca="false">листопад!I218</f>
        <v>4.1</v>
      </c>
      <c r="J218" s="27" t="n">
        <f aca="false">ROUND(G218*I218,2)</f>
        <v>276.63</v>
      </c>
      <c r="K218" s="27"/>
      <c r="L218" s="27"/>
      <c r="M218" s="27"/>
      <c r="N218" s="27" t="n">
        <f aca="false">ROUND((G218*I218)-K218-L218-M218,2)</f>
        <v>276.63</v>
      </c>
      <c r="O218" s="27"/>
      <c r="P218" s="27" t="n">
        <f aca="false">ROUND(IF(D218=0,IF((N218-E218-O218)&gt;0,(N218-E218-O218),0),IF((D218+N218-O218)&gt;0,(D218+N218-O218),0)),2)</f>
        <v>15825.69</v>
      </c>
      <c r="Q218" s="27" t="n">
        <f aca="false">ROUND(IF(E218=0,IF((D218+N218-O218)&lt;0,ABS(D218+N218-O218),0),IF((N218-E218-O218)&lt;0,ABS(N218-E218-O218),0)),2)</f>
        <v>0</v>
      </c>
      <c r="R218" s="17"/>
      <c r="S218" s="17"/>
    </row>
    <row r="219" customFormat="false" ht="15" hidden="false" customHeight="true" outlineLevel="0" collapsed="false">
      <c r="A219" s="8" t="s">
        <v>653</v>
      </c>
      <c r="B219" s="8" t="str">
        <f aca="false">листопад!B219</f>
        <v>Черненко Т.А.</v>
      </c>
      <c r="C219" s="8" t="s">
        <v>655</v>
      </c>
      <c r="D219" s="27" t="n">
        <f aca="false">листопад!P219</f>
        <v>3175.48</v>
      </c>
      <c r="E219" s="27" t="n">
        <f aca="false">листопад!Q219</f>
        <v>0</v>
      </c>
      <c r="F219" s="27" t="n">
        <f aca="false">листопад!F219</f>
        <v>0</v>
      </c>
      <c r="G219" s="27" t="n">
        <f aca="false">листопад!G219</f>
        <v>70.41</v>
      </c>
      <c r="H219" s="27" t="n">
        <f aca="false">листопад!H219</f>
        <v>0</v>
      </c>
      <c r="I219" s="28" t="n">
        <f aca="false">листопад!I219</f>
        <v>4.1</v>
      </c>
      <c r="J219" s="27" t="n">
        <f aca="false">ROUND(G219*I219,2)</f>
        <v>288.68</v>
      </c>
      <c r="K219" s="27"/>
      <c r="L219" s="27"/>
      <c r="M219" s="27"/>
      <c r="N219" s="27" t="n">
        <f aca="false">ROUND((G219*I219)-K219-L219-M219,2)</f>
        <v>288.68</v>
      </c>
      <c r="O219" s="27"/>
      <c r="P219" s="27" t="n">
        <f aca="false">ROUND(IF(D219=0,IF((N219-E219-O219)&gt;0,(N219-E219-O219),0),IF((D219+N219-O219)&gt;0,(D219+N219-O219),0)),2)</f>
        <v>3464.16</v>
      </c>
      <c r="Q219" s="27" t="n">
        <f aca="false">ROUND(IF(E219=0,IF((D219+N219-O219)&lt;0,ABS(D219+N219-O219),0),IF((N219-E219-O219)&lt;0,ABS(N219-E219-O219),0)),2)</f>
        <v>0</v>
      </c>
      <c r="R219" s="17"/>
      <c r="S219" s="17"/>
    </row>
    <row r="220" customFormat="false" ht="15" hidden="false" customHeight="true" outlineLevel="0" collapsed="false">
      <c r="A220" s="8" t="s">
        <v>656</v>
      </c>
      <c r="B220" s="8" t="str">
        <f aca="false">листопад!B220</f>
        <v>Сиротенко Я.О.</v>
      </c>
      <c r="C220" s="8" t="s">
        <v>658</v>
      </c>
      <c r="D220" s="27" t="n">
        <f aca="false">листопад!P220</f>
        <v>6287.25</v>
      </c>
      <c r="E220" s="27" t="n">
        <f aca="false">листопад!Q220</f>
        <v>0</v>
      </c>
      <c r="F220" s="27" t="n">
        <f aca="false">листопад!F220</f>
        <v>0</v>
      </c>
      <c r="G220" s="27" t="n">
        <f aca="false">листопад!G220</f>
        <v>49.73</v>
      </c>
      <c r="H220" s="27" t="n">
        <f aca="false">листопад!H220</f>
        <v>0</v>
      </c>
      <c r="I220" s="28" t="n">
        <f aca="false">листопад!I220</f>
        <v>4.1</v>
      </c>
      <c r="J220" s="27" t="n">
        <f aca="false">ROUND(G220*I220,2)</f>
        <v>203.89</v>
      </c>
      <c r="K220" s="27"/>
      <c r="L220" s="27"/>
      <c r="M220" s="27"/>
      <c r="N220" s="27" t="n">
        <f aca="false">ROUND((G220*I220)-K220-L220-M220,2)</f>
        <v>203.89</v>
      </c>
      <c r="O220" s="27"/>
      <c r="P220" s="27" t="n">
        <f aca="false">ROUND(IF(D220=0,IF((N220-E220-O220)&gt;0,(N220-E220-O220),0),IF((D220+N220-O220)&gt;0,(D220+N220-O220),0)),2)</f>
        <v>6491.14</v>
      </c>
      <c r="Q220" s="27" t="n">
        <f aca="false">ROUND(IF(E220=0,IF((D220+N220-O220)&lt;0,ABS(D220+N220-O220),0),IF((N220-E220-O220)&lt;0,ABS(N220-E220-O220),0)),2)</f>
        <v>0</v>
      </c>
      <c r="R220" s="17"/>
      <c r="S220" s="17"/>
    </row>
    <row r="221" customFormat="false" ht="15.75" hidden="false" customHeight="true" outlineLevel="0" collapsed="false">
      <c r="A221" s="8" t="s">
        <v>659</v>
      </c>
      <c r="B221" s="8" t="str">
        <f aca="false">листопад!B221</f>
        <v>Корнюшенко О.О.</v>
      </c>
      <c r="C221" s="8" t="s">
        <v>661</v>
      </c>
      <c r="D221" s="27" t="n">
        <f aca="false">листопад!P221</f>
        <v>10321</v>
      </c>
      <c r="E221" s="27" t="n">
        <f aca="false">листопад!Q221</f>
        <v>0</v>
      </c>
      <c r="F221" s="27" t="n">
        <f aca="false">листопад!F221</f>
        <v>0</v>
      </c>
      <c r="G221" s="27" t="n">
        <f aca="false">листопад!G221</f>
        <v>62</v>
      </c>
      <c r="H221" s="27" t="n">
        <f aca="false">листопад!H221</f>
        <v>0</v>
      </c>
      <c r="I221" s="28" t="n">
        <f aca="false">листопад!I221</f>
        <v>4.1</v>
      </c>
      <c r="J221" s="27" t="n">
        <f aca="false">ROUND(G221*I221,2)</f>
        <v>254.2</v>
      </c>
      <c r="K221" s="27"/>
      <c r="L221" s="27"/>
      <c r="M221" s="27"/>
      <c r="N221" s="27" t="n">
        <f aca="false">ROUND((G221*I221)-K221-L221-M221,2)</f>
        <v>254.2</v>
      </c>
      <c r="O221" s="27"/>
      <c r="P221" s="27" t="n">
        <f aca="false">ROUND(IF(D221=0,IF((N221-E221-O221)&gt;0,(N221-E221-O221),0),IF((D221+N221-O221)&gt;0,(D221+N221-O221),0)),2)</f>
        <v>10575.2</v>
      </c>
      <c r="Q221" s="27" t="n">
        <f aca="false">ROUND(IF(E221=0,IF((D221+N221-O221)&lt;0,ABS(D221+N221-O221),0),IF((N221-E221-O221)&lt;0,ABS(N221-E221-O221),0)),2)</f>
        <v>0</v>
      </c>
      <c r="R221" s="17"/>
      <c r="S221" s="17"/>
    </row>
    <row r="222" customFormat="false" ht="15" hidden="false" customHeight="true" outlineLevel="0" collapsed="false">
      <c r="A222" s="29"/>
      <c r="B222" s="29"/>
      <c r="C222" s="29"/>
      <c r="D222" s="30" t="n">
        <f aca="false">SUM(D7:D221)</f>
        <v>1284754.78</v>
      </c>
      <c r="E222" s="30" t="n">
        <f aca="false">SUM(E7:E221)</f>
        <v>0</v>
      </c>
      <c r="F222" s="30"/>
      <c r="G222" s="30" t="n">
        <f aca="false">SUM(G7:G221)</f>
        <v>11652.42</v>
      </c>
      <c r="H222" s="30" t="n">
        <f aca="false">SUM(H7:H221)</f>
        <v>0</v>
      </c>
      <c r="I222" s="30"/>
      <c r="J222" s="30" t="n">
        <f aca="false">SUM(J7:J221)</f>
        <v>47774.99</v>
      </c>
      <c r="K222" s="30" t="n">
        <f aca="false">SUM(K7:K221)</f>
        <v>0</v>
      </c>
      <c r="L222" s="30" t="n">
        <f aca="false">SUM(L7:L221)</f>
        <v>0</v>
      </c>
      <c r="M222" s="30" t="n">
        <f aca="false">SUM(M7:M221)</f>
        <v>0</v>
      </c>
      <c r="N222" s="30" t="n">
        <f aca="false">SUM(N7:N221)</f>
        <v>47774.99</v>
      </c>
      <c r="O222" s="30" t="n">
        <f aca="false">SUM(O7:O221)</f>
        <v>0</v>
      </c>
      <c r="P222" s="30" t="n">
        <f aca="false">SUM(P7:P221)</f>
        <v>1332529.77</v>
      </c>
      <c r="Q222" s="30" t="n">
        <f aca="false">SUM(Q7:Q221)</f>
        <v>0</v>
      </c>
    </row>
    <row r="223" customFormat="false" ht="15.75" hidden="false" customHeight="true" outlineLevel="0" collapsed="false">
      <c r="A223" s="29"/>
      <c r="B223" s="29"/>
      <c r="C223" s="29"/>
      <c r="D223" s="30" t="n">
        <f aca="false">D222-E222</f>
        <v>1284754.78</v>
      </c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 t="n">
        <f aca="false">P222-Q222</f>
        <v>1332529.77</v>
      </c>
      <c r="Q223" s="30"/>
    </row>
    <row r="226" customFormat="false" ht="15" hidden="false" customHeight="false" outlineLevel="0" collapsed="false">
      <c r="U226" s="17" t="n">
        <v>33991.18</v>
      </c>
    </row>
    <row r="227" customFormat="false" ht="15" hidden="false" customHeight="false" outlineLevel="0" collapsed="false">
      <c r="U227" s="17" t="n">
        <f aca="false">U226-O222</f>
        <v>33991.18</v>
      </c>
    </row>
  </sheetData>
  <mergeCells count="17">
    <mergeCell ref="A1:C1"/>
    <mergeCell ref="N1:Q1"/>
    <mergeCell ref="B2:Q2"/>
    <mergeCell ref="B3:Q3"/>
    <mergeCell ref="A222:C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D223:E223"/>
    <mergeCell ref="P223:Q223"/>
  </mergeCells>
  <printOptions headings="false" gridLines="false" gridLinesSet="true" horizontalCentered="true" verticalCentered="false"/>
  <pageMargins left="0" right="0" top="0.354166666666667" bottom="0.157638888888889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20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59765625" defaultRowHeight="15" zeroHeight="false" outlineLevelRow="0" outlineLevelCol="0"/>
  <cols>
    <col collapsed="false" customWidth="true" hidden="false" outlineLevel="0" max="3" min="3" style="1" width="10.63"/>
    <col collapsed="false" customWidth="true" hidden="false" outlineLevel="0" max="7" min="7" style="1" width="9.26"/>
    <col collapsed="false" customWidth="true" hidden="false" outlineLevel="0" max="10" min="10" style="1" width="10.63"/>
  </cols>
  <sheetData>
    <row r="4" customFormat="false" ht="15" hidden="false" customHeight="false" outlineLevel="0" collapsed="false">
      <c r="B4" s="1" t="s">
        <v>673</v>
      </c>
    </row>
    <row r="5" customFormat="false" ht="15" hidden="false" customHeight="false" outlineLevel="0" collapsed="false">
      <c r="B5" s="1" t="s">
        <v>674</v>
      </c>
      <c r="C5" s="31" t="n">
        <f aca="false">січень!D223</f>
        <v>787012.8</v>
      </c>
    </row>
    <row r="6" customFormat="false" ht="15" hidden="false" customHeight="false" outlineLevel="0" collapsed="false">
      <c r="B6" s="1" t="s">
        <v>675</v>
      </c>
      <c r="C6" s="1" t="s">
        <v>676</v>
      </c>
      <c r="G6" s="1" t="s">
        <v>677</v>
      </c>
    </row>
    <row r="7" customFormat="false" ht="15" hidden="false" customHeight="false" outlineLevel="0" collapsed="false">
      <c r="B7" s="1" t="s">
        <v>19</v>
      </c>
      <c r="C7" s="17" t="n">
        <f aca="false">січень!N222</f>
        <v>47774.99</v>
      </c>
      <c r="D7" s="17"/>
      <c r="E7" s="17"/>
      <c r="F7" s="17"/>
      <c r="G7" s="17" t="n">
        <f aca="false">січень!O222</f>
        <v>27782.91</v>
      </c>
      <c r="H7" s="17"/>
      <c r="I7" s="17"/>
      <c r="J7" s="17" t="n">
        <f aca="false">C7-G7</f>
        <v>19992.08</v>
      </c>
    </row>
    <row r="8" customFormat="false" ht="15" hidden="false" customHeight="false" outlineLevel="0" collapsed="false">
      <c r="B8" s="1" t="s">
        <v>22</v>
      </c>
      <c r="C8" s="17" t="n">
        <f aca="false">лютий!N222</f>
        <v>47774.99</v>
      </c>
      <c r="D8" s="17"/>
      <c r="E8" s="17"/>
      <c r="F8" s="17"/>
      <c r="G8" s="17" t="n">
        <f aca="false">лютий!O222</f>
        <v>0</v>
      </c>
      <c r="H8" s="17"/>
      <c r="I8" s="17"/>
      <c r="J8" s="17" t="n">
        <f aca="false">C8-G8</f>
        <v>47774.99</v>
      </c>
    </row>
    <row r="9" customFormat="false" ht="15" hidden="false" customHeight="false" outlineLevel="0" collapsed="false">
      <c r="B9" s="1" t="s">
        <v>25</v>
      </c>
      <c r="C9" s="17" t="n">
        <f aca="false">березень!N222</f>
        <v>47774.99</v>
      </c>
      <c r="D9" s="17"/>
      <c r="E9" s="17"/>
      <c r="F9" s="17"/>
      <c r="G9" s="17" t="n">
        <f aca="false">березень!O222</f>
        <v>0</v>
      </c>
      <c r="H9" s="17"/>
      <c r="I9" s="17"/>
      <c r="J9" s="17" t="n">
        <f aca="false">C9-G9</f>
        <v>47774.99</v>
      </c>
    </row>
    <row r="10" customFormat="false" ht="15" hidden="false" customHeight="false" outlineLevel="0" collapsed="false">
      <c r="B10" s="1" t="s">
        <v>28</v>
      </c>
      <c r="C10" s="17" t="n">
        <f aca="false">квітень!N222</f>
        <v>47774.99</v>
      </c>
      <c r="D10" s="17"/>
      <c r="E10" s="17"/>
      <c r="F10" s="17"/>
      <c r="G10" s="17" t="n">
        <f aca="false">квітень!O222</f>
        <v>0</v>
      </c>
      <c r="H10" s="17"/>
      <c r="I10" s="17"/>
      <c r="J10" s="17" t="n">
        <f aca="false">C10-G10</f>
        <v>47774.99</v>
      </c>
    </row>
    <row r="11" customFormat="false" ht="15" hidden="false" customHeight="false" outlineLevel="0" collapsed="false">
      <c r="B11" s="1" t="s">
        <v>31</v>
      </c>
      <c r="C11" s="17" t="n">
        <f aca="false">травень!N222</f>
        <v>47774.99</v>
      </c>
      <c r="D11" s="17"/>
      <c r="E11" s="17"/>
      <c r="F11" s="17"/>
      <c r="G11" s="17" t="n">
        <f aca="false">травень!O222</f>
        <v>0</v>
      </c>
      <c r="H11" s="17"/>
      <c r="I11" s="17"/>
      <c r="J11" s="17" t="n">
        <f aca="false">C11-G11</f>
        <v>47774.99</v>
      </c>
    </row>
    <row r="12" customFormat="false" ht="15" hidden="false" customHeight="false" outlineLevel="0" collapsed="false">
      <c r="B12" s="1" t="s">
        <v>36</v>
      </c>
      <c r="C12" s="17" t="n">
        <f aca="false">червень!N222</f>
        <v>47774.99</v>
      </c>
      <c r="D12" s="17"/>
      <c r="E12" s="17"/>
      <c r="F12" s="17"/>
      <c r="G12" s="17" t="n">
        <f aca="false">червень!O222</f>
        <v>0</v>
      </c>
      <c r="H12" s="17"/>
      <c r="I12" s="17"/>
      <c r="J12" s="17" t="n">
        <f aca="false">C12-G12</f>
        <v>47774.99</v>
      </c>
    </row>
    <row r="13" customFormat="false" ht="15" hidden="false" customHeight="false" outlineLevel="0" collapsed="false">
      <c r="B13" s="1" t="s">
        <v>39</v>
      </c>
      <c r="C13" s="17" t="n">
        <f aca="false">липень!N222</f>
        <v>47774.99</v>
      </c>
      <c r="D13" s="17"/>
      <c r="E13" s="17"/>
      <c r="F13" s="17"/>
      <c r="G13" s="17" t="n">
        <f aca="false">липень!O222</f>
        <v>0</v>
      </c>
      <c r="H13" s="17"/>
      <c r="I13" s="17"/>
      <c r="J13" s="17" t="n">
        <f aca="false">C13-G13</f>
        <v>47774.99</v>
      </c>
    </row>
    <row r="14" customFormat="false" ht="15" hidden="false" customHeight="false" outlineLevel="0" collapsed="false">
      <c r="B14" s="1" t="s">
        <v>42</v>
      </c>
      <c r="C14" s="17" t="n">
        <f aca="false">серпень!N222</f>
        <v>47774.99</v>
      </c>
      <c r="D14" s="17"/>
      <c r="E14" s="17"/>
      <c r="F14" s="17"/>
      <c r="G14" s="17" t="n">
        <f aca="false">серпень!O222</f>
        <v>0</v>
      </c>
      <c r="H14" s="17"/>
      <c r="I14" s="17"/>
      <c r="J14" s="17" t="n">
        <f aca="false">C14-G14</f>
        <v>47774.99</v>
      </c>
    </row>
    <row r="15" customFormat="false" ht="15" hidden="false" customHeight="false" outlineLevel="0" collapsed="false">
      <c r="B15" s="1" t="s">
        <v>45</v>
      </c>
      <c r="C15" s="17" t="n">
        <f aca="false">вересень!N222</f>
        <v>47774.99</v>
      </c>
      <c r="D15" s="17"/>
      <c r="E15" s="17"/>
      <c r="F15" s="17"/>
      <c r="G15" s="17" t="n">
        <f aca="false">вересень!O222</f>
        <v>0</v>
      </c>
      <c r="H15" s="17"/>
      <c r="I15" s="17"/>
      <c r="J15" s="17" t="n">
        <f aca="false">C15-G15</f>
        <v>47774.99</v>
      </c>
    </row>
    <row r="16" customFormat="false" ht="15" hidden="false" customHeight="false" outlineLevel="0" collapsed="false">
      <c r="B16" s="1" t="s">
        <v>48</v>
      </c>
      <c r="C16" s="17" t="n">
        <f aca="false">жовтень!N222</f>
        <v>47774.99</v>
      </c>
      <c r="D16" s="17"/>
      <c r="E16" s="17"/>
      <c r="F16" s="17"/>
      <c r="G16" s="17" t="n">
        <f aca="false">жовтень!O222</f>
        <v>0</v>
      </c>
      <c r="H16" s="17"/>
      <c r="I16" s="17"/>
      <c r="J16" s="17" t="n">
        <f aca="false">C16-G16</f>
        <v>47774.99</v>
      </c>
    </row>
    <row r="17" customFormat="false" ht="15" hidden="false" customHeight="false" outlineLevel="0" collapsed="false">
      <c r="B17" s="1" t="s">
        <v>51</v>
      </c>
      <c r="C17" s="17" t="n">
        <f aca="false">листопад!N222</f>
        <v>47774.99</v>
      </c>
      <c r="D17" s="17"/>
      <c r="E17" s="17"/>
      <c r="F17" s="17"/>
      <c r="G17" s="17" t="n">
        <f aca="false">листопад!O222</f>
        <v>0</v>
      </c>
      <c r="H17" s="17"/>
      <c r="I17" s="17"/>
      <c r="J17" s="17" t="n">
        <f aca="false">C17-G17</f>
        <v>47774.99</v>
      </c>
    </row>
    <row r="18" customFormat="false" ht="15" hidden="false" customHeight="false" outlineLevel="0" collapsed="false">
      <c r="B18" s="1" t="s">
        <v>54</v>
      </c>
      <c r="C18" s="17" t="n">
        <f aca="false">грудень!N222</f>
        <v>47774.99</v>
      </c>
      <c r="D18" s="17"/>
      <c r="E18" s="17"/>
      <c r="F18" s="17"/>
      <c r="G18" s="17" t="n">
        <f aca="false">грудень!O222</f>
        <v>0</v>
      </c>
      <c r="H18" s="17"/>
      <c r="I18" s="17"/>
      <c r="J18" s="17" t="n">
        <f aca="false">C18-G18</f>
        <v>47774.99</v>
      </c>
    </row>
    <row r="19" customFormat="false" ht="15" hidden="false" customHeight="false" outlineLevel="0" collapsed="false">
      <c r="C19" s="17"/>
      <c r="D19" s="17"/>
      <c r="E19" s="17"/>
      <c r="F19" s="17"/>
      <c r="G19" s="17"/>
      <c r="H19" s="17"/>
      <c r="I19" s="17"/>
      <c r="J19" s="17"/>
    </row>
    <row r="20" customFormat="false" ht="15" hidden="false" customHeight="false" outlineLevel="0" collapsed="false">
      <c r="C20" s="17" t="n">
        <f aca="false">SUM(C7:C18)+C5</f>
        <v>1360312.68</v>
      </c>
      <c r="D20" s="17"/>
      <c r="E20" s="17"/>
      <c r="F20" s="17"/>
      <c r="G20" s="17" t="n">
        <f aca="false">SUM(G7:G18)</f>
        <v>27782.91</v>
      </c>
      <c r="H20" s="17"/>
      <c r="I20" s="17"/>
      <c r="J20" s="17" t="n">
        <f aca="false">C20-G20</f>
        <v>1332529.77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uk-UA</dc:language>
  <cp:lastModifiedBy/>
  <dcterms:modified xsi:type="dcterms:W3CDTF">2026-01-22T11:21:41Z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